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Ex2.xml" ContentType="application/vnd.ms-office.chartex+xml"/>
  <Override PartName="/xl/charts/style14.xml" ContentType="application/vnd.ms-office.chartstyle+xml"/>
  <Override PartName="/xl/charts/colors14.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slicers/slicer4.xml" ContentType="application/vnd.ms-excel.slicer+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slicers/slicer5.xml" ContentType="application/vnd.ms-excel.slicer+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9.xml" ContentType="application/vnd.openxmlformats-officedocument.spreadsheetml.pivotTable+xml"/>
  <Override PartName="/xl/drawings/drawing10.xml" ContentType="application/vnd.openxmlformats-officedocument.drawing+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balya\Desktop\projects\excel\HR dashboard\"/>
    </mc:Choice>
  </mc:AlternateContent>
  <xr:revisionPtr revIDLastSave="0" documentId="13_ncr:1_{AF52BDE4-A60F-4DF8-857A-AFEADCBD8B1E}" xr6:coauthVersionLast="47" xr6:coauthVersionMax="47" xr10:uidLastSave="{00000000-0000-0000-0000-000000000000}"/>
  <bookViews>
    <workbookView xWindow="-110" yWindow="-110" windowWidth="19420" windowHeight="10300" activeTab="4" xr2:uid="{00000000-000D-0000-FFFF-FFFF00000000}"/>
  </bookViews>
  <sheets>
    <sheet name="KPIs" sheetId="3" r:id="rId1"/>
    <sheet name="dashboard" sheetId="5" r:id="rId2"/>
    <sheet name="rating" sheetId="6" r:id="rId3"/>
    <sheet name="Gender" sheetId="7" r:id="rId4"/>
    <sheet name="educationn by attrition" sheetId="8" r:id="rId5"/>
    <sheet name="Attrition by jobrole" sheetId="10" r:id="rId6"/>
    <sheet name="Department wise attrition" sheetId="11" r:id="rId7"/>
    <sheet name="Attrition by Age group" sheetId="12" r:id="rId8"/>
    <sheet name="City wise Attrition " sheetId="13" r:id="rId9"/>
    <sheet name="Raw_HR_Data" sheetId="1" r:id="rId10"/>
  </sheets>
  <definedNames>
    <definedName name="_xlchart.v1.0" hidden="1">'Attrition by jobrole'!$D$4:$D$8</definedName>
    <definedName name="_xlchart.v1.1" hidden="1">'Attrition by jobrole'!$E$3</definedName>
    <definedName name="_xlchart.v1.2" hidden="1">'Attrition by jobrole'!$E$4:$E$8</definedName>
    <definedName name="_xlchart.v1.3" hidden="1">'Attrition by jobrole'!$D$4:$D$8</definedName>
    <definedName name="_xlchart.v1.4" hidden="1">'Attrition by jobrole'!$E$3</definedName>
    <definedName name="_xlchart.v1.5" hidden="1">'Attrition by jobrole'!$E$4:$E$8</definedName>
    <definedName name="Slicer_Department1">#N/A</definedName>
    <definedName name="Slicer_Education">#N/A</definedName>
    <definedName name="Slicer_Gender">#N/A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2" i="1" l="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D9" i="10"/>
  <c r="D8" i="10"/>
  <c r="D7" i="10"/>
  <c r="D6" i="10"/>
  <c r="D5" i="10"/>
  <c r="D4" i="10"/>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2" i="1"/>
  <c r="E9" i="10"/>
  <c r="F8" i="3"/>
  <c r="E6" i="10"/>
  <c r="B9" i="7"/>
  <c r="B16" i="13"/>
  <c r="A10" i="6"/>
  <c r="B17" i="13"/>
  <c r="E4" i="10"/>
  <c r="A8" i="3"/>
  <c r="B13" i="13"/>
  <c r="E5" i="10"/>
  <c r="B14" i="13"/>
  <c r="E8" i="10"/>
  <c r="B10" i="7"/>
  <c r="E7" i="10"/>
  <c r="B15" i="13"/>
  <c r="A12" i="6"/>
  <c r="C12" i="3"/>
  <c r="C8" i="3" l="1"/>
  <c r="B8" i="3"/>
  <c r="C10" i="7"/>
  <c r="C9" i="7"/>
  <c r="B11" i="6"/>
  <c r="B12" i="6"/>
  <c r="D8" i="3"/>
</calcChain>
</file>

<file path=xl/sharedStrings.xml><?xml version="1.0" encoding="utf-8"?>
<sst xmlns="http://schemas.openxmlformats.org/spreadsheetml/2006/main" count="11504" uniqueCount="1904">
  <si>
    <t>EmployeeID</t>
  </si>
  <si>
    <t>FirstName</t>
  </si>
  <si>
    <t>LastName</t>
  </si>
  <si>
    <t>Gender</t>
  </si>
  <si>
    <t>Age</t>
  </si>
  <si>
    <t>Department</t>
  </si>
  <si>
    <t>JobRole</t>
  </si>
  <si>
    <t>MonthlySalary</t>
  </si>
  <si>
    <t>JoiningDate</t>
  </si>
  <si>
    <t>Education</t>
  </si>
  <si>
    <t>ExperienceYears</t>
  </si>
  <si>
    <t>PerformanceRating</t>
  </si>
  <si>
    <t>OverTime</t>
  </si>
  <si>
    <t>Email</t>
  </si>
  <si>
    <t>Phone</t>
  </si>
  <si>
    <t>Meena</t>
  </si>
  <si>
    <t>Kumar</t>
  </si>
  <si>
    <t>Female</t>
  </si>
  <si>
    <t>IT</t>
  </si>
  <si>
    <t>Engineer</t>
  </si>
  <si>
    <t>Delhi</t>
  </si>
  <si>
    <t>B.Tech</t>
  </si>
  <si>
    <t>Yes</t>
  </si>
  <si>
    <t>No</t>
  </si>
  <si>
    <t>meena.kumar1001@company.com</t>
  </si>
  <si>
    <t>Ravi</t>
  </si>
  <si>
    <t>Reddy</t>
  </si>
  <si>
    <t>Male</t>
  </si>
  <si>
    <t>Hyderabad</t>
  </si>
  <si>
    <t>13-11-2018</t>
  </si>
  <si>
    <t>MBA</t>
  </si>
  <si>
    <t>ravi.reddy1002@company.com</t>
  </si>
  <si>
    <t>Sharma</t>
  </si>
  <si>
    <t>Marketing</t>
  </si>
  <si>
    <t>Associate</t>
  </si>
  <si>
    <t>Bengaluru</t>
  </si>
  <si>
    <t>02-03-2021</t>
  </si>
  <si>
    <t>Anil</t>
  </si>
  <si>
    <t>HR</t>
  </si>
  <si>
    <t>Executive</t>
  </si>
  <si>
    <t>B.Com</t>
  </si>
  <si>
    <t>anil.sharma1004@company.com</t>
  </si>
  <si>
    <t>Sneha</t>
  </si>
  <si>
    <t>Singh</t>
  </si>
  <si>
    <t>Chennai</t>
  </si>
  <si>
    <t>28-01-2019</t>
  </si>
  <si>
    <t>MCA</t>
  </si>
  <si>
    <t>sneha.singh1005@company.com</t>
  </si>
  <si>
    <t>16-12-2024</t>
  </si>
  <si>
    <t>M.Tech</t>
  </si>
  <si>
    <t>meena.singh1006@company.com</t>
  </si>
  <si>
    <t>ravi.singh1007@company.com</t>
  </si>
  <si>
    <t>ravi.sharma1008@company.com</t>
  </si>
  <si>
    <t>ravi.singh1009@company.com</t>
  </si>
  <si>
    <t>Rahul</t>
  </si>
  <si>
    <t>Manager</t>
  </si>
  <si>
    <t>Pune</t>
  </si>
  <si>
    <t>rahul.sharma1010@company.com</t>
  </si>
  <si>
    <t>Kiran</t>
  </si>
  <si>
    <t>kiran.reddy1011@company.com</t>
  </si>
  <si>
    <t>John</t>
  </si>
  <si>
    <t>Patel</t>
  </si>
  <si>
    <t>Sales</t>
  </si>
  <si>
    <t>kiran.patel1013@company.com</t>
  </si>
  <si>
    <t>Divya</t>
  </si>
  <si>
    <t>divya.reddy1014company.com</t>
  </si>
  <si>
    <t>sneha.sharma1015@company.com</t>
  </si>
  <si>
    <t>Arun</t>
  </si>
  <si>
    <t>arun.singh1016@company.com</t>
  </si>
  <si>
    <t>Finance</t>
  </si>
  <si>
    <t>20-03-2021</t>
  </si>
  <si>
    <t>ravi.reddy1017@company.com</t>
  </si>
  <si>
    <t>25-03-2020</t>
  </si>
  <si>
    <t>meena.sharma1019@company.com</t>
  </si>
  <si>
    <t>16-03-2024</t>
  </si>
  <si>
    <t>meena.sharma1020@company.com</t>
  </si>
  <si>
    <t>ravi.reddy1021@company.com</t>
  </si>
  <si>
    <t>Analyst</t>
  </si>
  <si>
    <t>sneha.reddy1022@company.com</t>
  </si>
  <si>
    <t>kiran.singh1023@company.com</t>
  </si>
  <si>
    <t>16-02-2022</t>
  </si>
  <si>
    <t>rahul.patel1024@company.com</t>
  </si>
  <si>
    <t>Priya</t>
  </si>
  <si>
    <t>09-01-2022</t>
  </si>
  <si>
    <t>priya.reddy1025@company.com</t>
  </si>
  <si>
    <t>rahul.kumar1026@company.com</t>
  </si>
  <si>
    <t>kiran.patel1027@company.com</t>
  </si>
  <si>
    <t>divya.kumar1028@company.com</t>
  </si>
  <si>
    <t>priya.kumar1029@company.com</t>
  </si>
  <si>
    <t>07-11-2022</t>
  </si>
  <si>
    <t>kiran.singh1030@company.com</t>
  </si>
  <si>
    <t>divya.kumar1031@company.com</t>
  </si>
  <si>
    <t>kiran.kumar1032@company.com</t>
  </si>
  <si>
    <t>anil.patel1033@company.com</t>
  </si>
  <si>
    <t>23-08-2023</t>
  </si>
  <si>
    <t>kiran.patel1034@company.com</t>
  </si>
  <si>
    <t>kiran.sharma1035@company.com</t>
  </si>
  <si>
    <t>divya.reddy1036@company.com</t>
  </si>
  <si>
    <t>27-08-2024</t>
  </si>
  <si>
    <t>rahul.sharma1037@company.com</t>
  </si>
  <si>
    <t>sneha.reddy1038@company.com</t>
  </si>
  <si>
    <t>19-09-2020</t>
  </si>
  <si>
    <t>priya.reddy1039@company.com</t>
  </si>
  <si>
    <t>arun.singh1040@company.com</t>
  </si>
  <si>
    <t>divya.sharma1041@company.com</t>
  </si>
  <si>
    <t>john.patel1042@company.com</t>
  </si>
  <si>
    <t>08-09-2020</t>
  </si>
  <si>
    <t>arun.kumar1043@company.com</t>
  </si>
  <si>
    <t>divya.patel1044@company.com</t>
  </si>
  <si>
    <t>05-12-2022</t>
  </si>
  <si>
    <t>sneha.singh1045@company.com</t>
  </si>
  <si>
    <t>ravi.kumar1046@company.com</t>
  </si>
  <si>
    <t>john.singh1047@company.com</t>
  </si>
  <si>
    <t>14-01-2020</t>
  </si>
  <si>
    <t>anil.reddy1048@company.com</t>
  </si>
  <si>
    <t>15-06-2018</t>
  </si>
  <si>
    <t>divya.patel1049@company.com</t>
  </si>
  <si>
    <t>arun.reddy1050@company.com</t>
  </si>
  <si>
    <t>rahul.singh1051@company.com</t>
  </si>
  <si>
    <t>anil.reddy1052@company.com</t>
  </si>
  <si>
    <t>priya.reddy1053@company.com</t>
  </si>
  <si>
    <t>19-10-2019</t>
  </si>
  <si>
    <t>anil.sharma1054@company.com</t>
  </si>
  <si>
    <t>ravi.sharma1055@company.com</t>
  </si>
  <si>
    <t>rahul.sharma1056@company.com</t>
  </si>
  <si>
    <t>anil.reddy1057@company.com</t>
  </si>
  <si>
    <t>17-12-2020</t>
  </si>
  <si>
    <t>john.kumar1059@company.com</t>
  </si>
  <si>
    <t>anil.patel1060@company.com</t>
  </si>
  <si>
    <t>kiran.sharma1061@company.com</t>
  </si>
  <si>
    <t>arun.reddy1062@company.com</t>
  </si>
  <si>
    <t>priya.singh1063@company.com</t>
  </si>
  <si>
    <t>kiran.singh1064@company.com</t>
  </si>
  <si>
    <t>priya.reddy1065@company.com</t>
  </si>
  <si>
    <t>meena.sharma1066@company.com</t>
  </si>
  <si>
    <t>ravi.reddy1067@company.com</t>
  </si>
  <si>
    <t>john.patel1068@company.com</t>
  </si>
  <si>
    <t>kiran.sharma1069@company.com</t>
  </si>
  <si>
    <t>kiran.sharma1070@company.com</t>
  </si>
  <si>
    <t>21-12-2020</t>
  </si>
  <si>
    <t>meena.kumar1071@company.com</t>
  </si>
  <si>
    <t>divya.sharma1072@company.com</t>
  </si>
  <si>
    <t>kiran.sharma1073@company.com</t>
  </si>
  <si>
    <t>06-02-2024</t>
  </si>
  <si>
    <t>divya.patel1074@company.com</t>
  </si>
  <si>
    <t>rahul.sharma1075@company.com</t>
  </si>
  <si>
    <t>kiran.patel1076@company.com</t>
  </si>
  <si>
    <t>john.patel1077@company.com</t>
  </si>
  <si>
    <t>kiran.reddy1078@company.com</t>
  </si>
  <si>
    <t>john.reddy1079@company.com</t>
  </si>
  <si>
    <t>divya.reddy1080@company.com</t>
  </si>
  <si>
    <t>kiran.sharma1081@company.com</t>
  </si>
  <si>
    <t>divya.patel1082company.com</t>
  </si>
  <si>
    <t>arun.singh1083@company.com</t>
  </si>
  <si>
    <t>anil.singh1084@company.com</t>
  </si>
  <si>
    <t>divya.sharma1085@company.com</t>
  </si>
  <si>
    <t>13-03-2022</t>
  </si>
  <si>
    <t>john.reddy1086@company.com</t>
  </si>
  <si>
    <t>03-06-2023</t>
  </si>
  <si>
    <t>divya.reddy1087@company.com</t>
  </si>
  <si>
    <t>sneha.patel1088@company.com</t>
  </si>
  <si>
    <t>meena.reddy1089@company.com</t>
  </si>
  <si>
    <t>sneha.singh1090@company.com</t>
  </si>
  <si>
    <t>10-12-2020</t>
  </si>
  <si>
    <t>kiran.patel1091@company.com</t>
  </si>
  <si>
    <t>kiran.singh1092@company.com</t>
  </si>
  <si>
    <t>ravi.kumar1093@company.com</t>
  </si>
  <si>
    <t>sneha.kumar1094@company.com</t>
  </si>
  <si>
    <t>22-10-2020</t>
  </si>
  <si>
    <t>priya.kumar1095@company.com</t>
  </si>
  <si>
    <t>09-08-2018</t>
  </si>
  <si>
    <t>rahul.reddy1096@company.com</t>
  </si>
  <si>
    <t>13-12-2022</t>
  </si>
  <si>
    <t>ravi.sharma1098@company.com</t>
  </si>
  <si>
    <t>priya.reddy1099@company.com</t>
  </si>
  <si>
    <t>22-11-2022</t>
  </si>
  <si>
    <t>john.reddy1100@company.com</t>
  </si>
  <si>
    <t>kiran.kumar1101@company.com</t>
  </si>
  <si>
    <t>sneha.kumar1102@company.com</t>
  </si>
  <si>
    <t>ravi.sharma1103company.com</t>
  </si>
  <si>
    <t>arun.sharma1104@company.com</t>
  </si>
  <si>
    <t>john.reddy1105@company.com</t>
  </si>
  <si>
    <t>meena.singh1106@company.com</t>
  </si>
  <si>
    <t>19-03-2019</t>
  </si>
  <si>
    <t>divya.sharma1107@company.com</t>
  </si>
  <si>
    <t>ravi.kumar1108@company.com</t>
  </si>
  <si>
    <t>14-11-2024</t>
  </si>
  <si>
    <t>ravi.singh1109@company.com</t>
  </si>
  <si>
    <t>arun.sharma1110@company.com</t>
  </si>
  <si>
    <t>20-02-2023</t>
  </si>
  <si>
    <t>arun.singh1111@company.com</t>
  </si>
  <si>
    <t>arun.singh1112company.com</t>
  </si>
  <si>
    <t>rahul.sharma1113@company.com</t>
  </si>
  <si>
    <t>anil.patel1114@company.com</t>
  </si>
  <si>
    <t>ravi.sharma1115@company.com</t>
  </si>
  <si>
    <t>john.singh1116@company.com</t>
  </si>
  <si>
    <t>28-08-2022</t>
  </si>
  <si>
    <t>meena.singh1117@company.com</t>
  </si>
  <si>
    <t>priya.patel1118@company.com</t>
  </si>
  <si>
    <t>meena.singh1105@company.com</t>
  </si>
  <si>
    <t>sneha.kumar1120@company.com</t>
  </si>
  <si>
    <t>rahul.patel1121@company.com</t>
  </si>
  <si>
    <t>kiran.singh1122@company.com</t>
  </si>
  <si>
    <t>priya.sharma1123@company.com</t>
  </si>
  <si>
    <t>meena.kumar1124@company.com</t>
  </si>
  <si>
    <t>meena.sharma1125@company.com</t>
  </si>
  <si>
    <t>priya.kumar1126@company.com</t>
  </si>
  <si>
    <t>ravi.singh1127@company.com</t>
  </si>
  <si>
    <t>23-03-2024</t>
  </si>
  <si>
    <t>sneha.reddy1128@company.com</t>
  </si>
  <si>
    <t>john.singh1129@company.com</t>
  </si>
  <si>
    <t>arun.sharma1130@company.com</t>
  </si>
  <si>
    <t>divya.patel1131@company.com</t>
  </si>
  <si>
    <t>anil.kumar1132@company.com</t>
  </si>
  <si>
    <t>22-09-2023</t>
  </si>
  <si>
    <t>sneha.patel1133@company.com</t>
  </si>
  <si>
    <t>21-05-2023</t>
  </si>
  <si>
    <t>sneha.singh1134@company.com</t>
  </si>
  <si>
    <t>06-06-2021</t>
  </si>
  <si>
    <t>kiran.kumar1135@company.com</t>
  </si>
  <si>
    <t>ravi.patel1136@company.com</t>
  </si>
  <si>
    <t>anil.patel1137@company.com</t>
  </si>
  <si>
    <t>arun.patel1138@company.com</t>
  </si>
  <si>
    <t>sneha.sharma1139@company.com</t>
  </si>
  <si>
    <t>meena.kumar1140@company.com</t>
  </si>
  <si>
    <t>anil.kumar1141@company.com</t>
  </si>
  <si>
    <t>divya.kumar1142@company.com</t>
  </si>
  <si>
    <t>12-02-2024</t>
  </si>
  <si>
    <t>priya.singh1143@company.com</t>
  </si>
  <si>
    <t>24-01-2018</t>
  </si>
  <si>
    <t>ravi.reddy1144@company.com</t>
  </si>
  <si>
    <t>anil.singh1145@company.com</t>
  </si>
  <si>
    <t>27-09-2022</t>
  </si>
  <si>
    <t>arun.reddy1146@company.com</t>
  </si>
  <si>
    <t>priya.reddy1147@company.com</t>
  </si>
  <si>
    <t>rahul.kumar1148@company.com</t>
  </si>
  <si>
    <t>17-08-2023</t>
  </si>
  <si>
    <t>kiran.patel1149@company.com</t>
  </si>
  <si>
    <t>john.sharma1150@company.com</t>
  </si>
  <si>
    <t>30-10-2019</t>
  </si>
  <si>
    <t>ravi.singh1151@company.com</t>
  </si>
  <si>
    <t>anil.sharma1152@company.com</t>
  </si>
  <si>
    <t>15-07-2021</t>
  </si>
  <si>
    <t>16-06-2024</t>
  </si>
  <si>
    <t>arun.kumar1154@company.com</t>
  </si>
  <si>
    <t>john.kumar1155@company.com</t>
  </si>
  <si>
    <t>meena.patel1156@company.com</t>
  </si>
  <si>
    <t>john.singh1157@company.com</t>
  </si>
  <si>
    <t>23-04-2021</t>
  </si>
  <si>
    <t>arun.sharma1158@company.com</t>
  </si>
  <si>
    <t>kiran.singh1159@company.com</t>
  </si>
  <si>
    <t>anil.kumar1160@company.com</t>
  </si>
  <si>
    <t>kiran.patel1161@company.com</t>
  </si>
  <si>
    <t>kiran.reddy1162@company.com</t>
  </si>
  <si>
    <t>meena.singh1163@company.com</t>
  </si>
  <si>
    <t>arun.sharma1165@company.com</t>
  </si>
  <si>
    <t>08-09-2019</t>
  </si>
  <si>
    <t>rahul.sharma1166@company.com</t>
  </si>
  <si>
    <t>26-02-2024</t>
  </si>
  <si>
    <t>sneha.singh1167@company.com</t>
  </si>
  <si>
    <t>sneha.reddy1169@company.com</t>
  </si>
  <si>
    <t>arun.kumar1170@company.com</t>
  </si>
  <si>
    <t>kiran.sharma1171@company.com</t>
  </si>
  <si>
    <t>meena.singh1172@company.com</t>
  </si>
  <si>
    <t>arun.singh1173@company.com</t>
  </si>
  <si>
    <t>26-05-2022</t>
  </si>
  <si>
    <t>divya.sharma1174@company.com</t>
  </si>
  <si>
    <t>17-07-2021</t>
  </si>
  <si>
    <t>john.singh1175@company.com</t>
  </si>
  <si>
    <t>16-06-2018</t>
  </si>
  <si>
    <t>john.kumar1176@company.com</t>
  </si>
  <si>
    <t>arun.reddy1177@company.com</t>
  </si>
  <si>
    <t>18-11-2021</t>
  </si>
  <si>
    <t>anil.patel1178@company.com</t>
  </si>
  <si>
    <t>sneha.sharma1179@company.com</t>
  </si>
  <si>
    <t>04-03-2019</t>
  </si>
  <si>
    <t>anil.singh1180@company.com</t>
  </si>
  <si>
    <t>rahul.patel1181@company.com</t>
  </si>
  <si>
    <t>john.reddy1182@company.com</t>
  </si>
  <si>
    <t>rahul.patel1183@company.com</t>
  </si>
  <si>
    <t>16-07-2019</t>
  </si>
  <si>
    <t>arun.reddy1184@company.com</t>
  </si>
  <si>
    <t>05-10-2021</t>
  </si>
  <si>
    <t>meena.kumar1185company.com</t>
  </si>
  <si>
    <t>kiran.kumar1186@company.com</t>
  </si>
  <si>
    <t>divya.singh1187@company.com</t>
  </si>
  <si>
    <t>sneha.reddy1188@company.com</t>
  </si>
  <si>
    <t>rahul.patel1189@company.com</t>
  </si>
  <si>
    <t>john.sharma1190@company.com</t>
  </si>
  <si>
    <t>ravi.sharma1191@company.com</t>
  </si>
  <si>
    <t>sneha.singh1192@company.com</t>
  </si>
  <si>
    <t>25-07-2019</t>
  </si>
  <si>
    <t>priya.patel1193@company.com</t>
  </si>
  <si>
    <t>priya.sharma1194@company.com</t>
  </si>
  <si>
    <t>09-05-2024</t>
  </si>
  <si>
    <t>anil.sharma1195@company.com</t>
  </si>
  <si>
    <t>divya.singh1196@company.com</t>
  </si>
  <si>
    <t>meena.reddy1197@company.com</t>
  </si>
  <si>
    <t>rahul.kumar1198@company.com</t>
  </si>
  <si>
    <t>ravi.kumar1199@company.com</t>
  </si>
  <si>
    <t>divya.patel1200@company.com</t>
  </si>
  <si>
    <t>divya.patel1201@company.com</t>
  </si>
  <si>
    <t>16-01-2018</t>
  </si>
  <si>
    <t>meena.patel1202@company.com</t>
  </si>
  <si>
    <t>28-11-2024</t>
  </si>
  <si>
    <t>divya.kumar1203@company.com</t>
  </si>
  <si>
    <t>arun.sharma1204@company.com</t>
  </si>
  <si>
    <t>arun.sharma1205@company.com</t>
  </si>
  <si>
    <t>06-02-2021</t>
  </si>
  <si>
    <t>priya.patel1206@company.com</t>
  </si>
  <si>
    <t>23-06-2023</t>
  </si>
  <si>
    <t>anil.singh1207@company.com</t>
  </si>
  <si>
    <t>divya.patel1208@company.com</t>
  </si>
  <si>
    <t>sneha.patel1209@company.com</t>
  </si>
  <si>
    <t>john.sharma1210@company.com</t>
  </si>
  <si>
    <t>24-02-2021</t>
  </si>
  <si>
    <t>kiran.kumar1211@company.com</t>
  </si>
  <si>
    <t>arun.singh1212@company.com</t>
  </si>
  <si>
    <t>anil.singh1213@company.com</t>
  </si>
  <si>
    <t>kiran.sharma1215@company.com</t>
  </si>
  <si>
    <t>john.patel1216@company.com</t>
  </si>
  <si>
    <t>priya.patel1217company.com</t>
  </si>
  <si>
    <t>priya.patel1218@company.com</t>
  </si>
  <si>
    <t>02-07-2024</t>
  </si>
  <si>
    <t>anil.patel1219@company.com</t>
  </si>
  <si>
    <t>09-06-2020</t>
  </si>
  <si>
    <t>rahul.reddy1220@company.com</t>
  </si>
  <si>
    <t>18-05-2024</t>
  </si>
  <si>
    <t>ravi.patel1221@company.com</t>
  </si>
  <si>
    <t>rahul.singh1222company.com</t>
  </si>
  <si>
    <t>divya.reddy1223@company.com</t>
  </si>
  <si>
    <t>ravi.reddy1224@company.com</t>
  </si>
  <si>
    <t>12-02-2018</t>
  </si>
  <si>
    <t>kiran.singh1225@company.com</t>
  </si>
  <si>
    <t>rahul.kumar1226@company.com</t>
  </si>
  <si>
    <t>kiran.singh1227@company.com</t>
  </si>
  <si>
    <t>01-02-2025</t>
  </si>
  <si>
    <t>divya.singh1228@company.com</t>
  </si>
  <si>
    <t>anil.kumar1229@company.com</t>
  </si>
  <si>
    <t>28-01-2018</t>
  </si>
  <si>
    <t>ravi.patel1230@company.com</t>
  </si>
  <si>
    <t>rahul.singh1231company.com</t>
  </si>
  <si>
    <t>john.singh1232@company.com</t>
  </si>
  <si>
    <t>meena.singh1233@company.com</t>
  </si>
  <si>
    <t>13-05-2019</t>
  </si>
  <si>
    <t>priya.patel1234@company.com</t>
  </si>
  <si>
    <t>kiran.singh1235@company.com</t>
  </si>
  <si>
    <t>john.sharma1236@company.com</t>
  </si>
  <si>
    <t>meena.singh1237@company.com</t>
  </si>
  <si>
    <t>anil.singh1238@company.com</t>
  </si>
  <si>
    <t>anil.patel1239@company.com</t>
  </si>
  <si>
    <t>sneha.sharma1240@company.com</t>
  </si>
  <si>
    <t>01-07-2019</t>
  </si>
  <si>
    <t>anil.kumar1241@company.com</t>
  </si>
  <si>
    <t>14-07-2023</t>
  </si>
  <si>
    <t>meena.patel1242@company.com</t>
  </si>
  <si>
    <t>sneha.singh1243@company.com</t>
  </si>
  <si>
    <t>rahul.kumar1244@company.com</t>
  </si>
  <si>
    <t>rahul.singh1245@company.com</t>
  </si>
  <si>
    <t>sneha.patel1246@company.com</t>
  </si>
  <si>
    <t>rahul.kumar1247@company.com</t>
  </si>
  <si>
    <t>08-01-2018</t>
  </si>
  <si>
    <t>rahul.sharma1248@company.com</t>
  </si>
  <si>
    <t>26-12-2024</t>
  </si>
  <si>
    <t>sneha.reddy1249@company.com</t>
  </si>
  <si>
    <t>priya.sharma1250company.com</t>
  </si>
  <si>
    <t>anil.patel1251@company.com</t>
  </si>
  <si>
    <t>20-01-2022</t>
  </si>
  <si>
    <t>john.kumar1252@company.com</t>
  </si>
  <si>
    <t>20-08-2018</t>
  </si>
  <si>
    <t>kiran.sharma1253@company.com</t>
  </si>
  <si>
    <t>divya.singh1254@company.com</t>
  </si>
  <si>
    <t>priya.sharma1255@company.com</t>
  </si>
  <si>
    <t>priya.kumar1256@company.com</t>
  </si>
  <si>
    <t>21-07-2018</t>
  </si>
  <si>
    <t>john.singh1257@company.com</t>
  </si>
  <si>
    <t>divya.singh1258@company.com</t>
  </si>
  <si>
    <t>22-06-2023</t>
  </si>
  <si>
    <t>john.sharma1259@company.com</t>
  </si>
  <si>
    <t>priya.kumar1260@company.com</t>
  </si>
  <si>
    <t>sneha.patel1261@company.com</t>
  </si>
  <si>
    <t>anil.singh1262@company.com</t>
  </si>
  <si>
    <t>17-04-2021</t>
  </si>
  <si>
    <t>arun.singh1263@company.com</t>
  </si>
  <si>
    <t>rahul.patel1264@company.com</t>
  </si>
  <si>
    <t>23-02-2021</t>
  </si>
  <si>
    <t>priya.singh1265@company.com</t>
  </si>
  <si>
    <t>sneha.kumar1266@company.com</t>
  </si>
  <si>
    <t>meena.kumar1267@company.com</t>
  </si>
  <si>
    <t>08-10-2018</t>
  </si>
  <si>
    <t>arun.reddy1268@company.com</t>
  </si>
  <si>
    <t>23-05-2023</t>
  </si>
  <si>
    <t>kiran.singh1269@company.com</t>
  </si>
  <si>
    <t>divya.kumar1270@company.com</t>
  </si>
  <si>
    <t>meena.sharma1271@company.com</t>
  </si>
  <si>
    <t>priya.singh1272@company.com</t>
  </si>
  <si>
    <t>09-03-2019</t>
  </si>
  <si>
    <t>john.patel1273@company.com</t>
  </si>
  <si>
    <t>sneha.patel1274@company.com</t>
  </si>
  <si>
    <t>27-11-2018</t>
  </si>
  <si>
    <t>sneha.reddy1275@company.com</t>
  </si>
  <si>
    <t>divya.reddy1276@company.com</t>
  </si>
  <si>
    <t>sneha.singh1277@company.com</t>
  </si>
  <si>
    <t>rahul.reddy1278@company.com</t>
  </si>
  <si>
    <t>12-09-2019</t>
  </si>
  <si>
    <t>kiran.reddy1279@company.com</t>
  </si>
  <si>
    <t>arun.sharma1280@company.com</t>
  </si>
  <si>
    <t>ravi.kumar1281@company.com</t>
  </si>
  <si>
    <t>sneha.singh1282@company.com</t>
  </si>
  <si>
    <t>meena.sharma1283@company.com</t>
  </si>
  <si>
    <t>rahul.sharma1284@company.com</t>
  </si>
  <si>
    <t>john.reddy1285@company.com</t>
  </si>
  <si>
    <t>john.sharma1286@company.com</t>
  </si>
  <si>
    <t>31-03-2020</t>
  </si>
  <si>
    <t>anil.kumar1287@company.com</t>
  </si>
  <si>
    <t>arun.patel1288@company.com</t>
  </si>
  <si>
    <t>sneha.singh1289@company.com</t>
  </si>
  <si>
    <t>john.reddy1290@company.com</t>
  </si>
  <si>
    <t>meena.kumar1291@company.com</t>
  </si>
  <si>
    <t>divya.kumar1292@company.com</t>
  </si>
  <si>
    <t>kiran.kumar1293@company.com</t>
  </si>
  <si>
    <t>divya.reddy1294@company.com</t>
  </si>
  <si>
    <t>27-02-2024</t>
  </si>
  <si>
    <t>arun.singh1295@company.com</t>
  </si>
  <si>
    <t>29-04-2023</t>
  </si>
  <si>
    <t>ravi.reddy1296@company.com</t>
  </si>
  <si>
    <t>priya.singh1297@company.com</t>
  </si>
  <si>
    <t>06-01-2025</t>
  </si>
  <si>
    <t>priya.singh1298@company.com</t>
  </si>
  <si>
    <t>kiran.sharma1299@company.com</t>
  </si>
  <si>
    <t>sneha.kumar1300@company.com</t>
  </si>
  <si>
    <t>john.singh1301@company.com</t>
  </si>
  <si>
    <t>28-12-2020</t>
  </si>
  <si>
    <t>meena.reddy1302@company.com</t>
  </si>
  <si>
    <t>sneha.singh1303company.com</t>
  </si>
  <si>
    <t>kiran.patel1304@company.com</t>
  </si>
  <si>
    <t>ravi.sharma1305@company.com</t>
  </si>
  <si>
    <t>priya.kumar1306@company.com</t>
  </si>
  <si>
    <t>10-06-2024</t>
  </si>
  <si>
    <t>john.kumar1307@company.com</t>
  </si>
  <si>
    <t>arun.kumar1308@company.com</t>
  </si>
  <si>
    <t>ravi.reddy1309@company.com</t>
  </si>
  <si>
    <t>rahul.singh1310@company.com</t>
  </si>
  <si>
    <t>17-07-2023</t>
  </si>
  <si>
    <t>meena.kumar1311@company.com</t>
  </si>
  <si>
    <t>meena.singh1312@company.com</t>
  </si>
  <si>
    <t>12-09-2024</t>
  </si>
  <si>
    <t>anil.patel1313@company.com</t>
  </si>
  <si>
    <t>ravi.reddy1314@company.com</t>
  </si>
  <si>
    <t>john.sharma1315@company.com</t>
  </si>
  <si>
    <t>ravi.singh1316@company.com</t>
  </si>
  <si>
    <t>arun.reddy1317@company.com</t>
  </si>
  <si>
    <t>arun.patel1318@company.com</t>
  </si>
  <si>
    <t>arun.reddy1319company.com</t>
  </si>
  <si>
    <t>13-04-2024</t>
  </si>
  <si>
    <t>kiran.reddy1320@company.com</t>
  </si>
  <si>
    <t>ravi.kumar1321@company.com</t>
  </si>
  <si>
    <t>20-07-2022</t>
  </si>
  <si>
    <t>sneha.patel1322@company.com</t>
  </si>
  <si>
    <t>kiran.sharma1323@company.com</t>
  </si>
  <si>
    <t>rahul.reddy1324@company.com</t>
  </si>
  <si>
    <t>01-03-2022</t>
  </si>
  <si>
    <t>priya.patel1325@company.com</t>
  </si>
  <si>
    <t>19-09-2023</t>
  </si>
  <si>
    <t>ravi.singh1326@company.com</t>
  </si>
  <si>
    <t>ravi.reddy1327@company.com</t>
  </si>
  <si>
    <t>meena.kumar1328@company.com</t>
  </si>
  <si>
    <t>john.patel1329@company.com</t>
  </si>
  <si>
    <t>sneha.kumar1330@company.com</t>
  </si>
  <si>
    <t>rahul.reddy1331@company.com</t>
  </si>
  <si>
    <t>arun.reddy1332@company.com</t>
  </si>
  <si>
    <t>john.reddy1333@company.com</t>
  </si>
  <si>
    <t>john.kumar1334@company.com</t>
  </si>
  <si>
    <t>meena.kumar1335@company.com</t>
  </si>
  <si>
    <t>26-05-2018</t>
  </si>
  <si>
    <t>priya.patel1336@company.com</t>
  </si>
  <si>
    <t>20-01-2023</t>
  </si>
  <si>
    <t>arun.sharma1337@company.com</t>
  </si>
  <si>
    <t>priya.patel1338@company.com</t>
  </si>
  <si>
    <t>sneha.kumar1339@company.com</t>
  </si>
  <si>
    <t>19-12-2022</t>
  </si>
  <si>
    <t>meena.patel1340company.com</t>
  </si>
  <si>
    <t>divya.patel1341@company.com</t>
  </si>
  <si>
    <t>17-10-2022</t>
  </si>
  <si>
    <t>arun.reddy1342@company.com</t>
  </si>
  <si>
    <t>kiran.patel1343@company.com</t>
  </si>
  <si>
    <t>11-04-2022</t>
  </si>
  <si>
    <t>16-09-2019</t>
  </si>
  <si>
    <t>meena.sharma1345@company.com</t>
  </si>
  <si>
    <t>anil.kumar1346company.com</t>
  </si>
  <si>
    <t>11-12-2019</t>
  </si>
  <si>
    <t>arun.sharma1347@company.com</t>
  </si>
  <si>
    <t>03-03-2022</t>
  </si>
  <si>
    <t>divya.reddy1348company.com</t>
  </si>
  <si>
    <t>anil.sharma1349@company.com</t>
  </si>
  <si>
    <t>sneha.singh1350@company.com</t>
  </si>
  <si>
    <t>rahul.singh1351@company.com</t>
  </si>
  <si>
    <t>arun.singh1352@company.com</t>
  </si>
  <si>
    <t>anil.reddy1353@company.com</t>
  </si>
  <si>
    <t>anil.sharma1354@company.com</t>
  </si>
  <si>
    <t>kiran.reddy1355@company.com</t>
  </si>
  <si>
    <t>18-02-2021</t>
  </si>
  <si>
    <t>john.patel1356@company.com</t>
  </si>
  <si>
    <t>john.singh1357@company.com</t>
  </si>
  <si>
    <t>17-06-2020</t>
  </si>
  <si>
    <t>ravi.singh1358@company.com</t>
  </si>
  <si>
    <t>anil.kumar1359@company.com</t>
  </si>
  <si>
    <t>20-04-2018</t>
  </si>
  <si>
    <t>ravi.sharma1360@company.com</t>
  </si>
  <si>
    <t>rahul.kumar1361@company.com</t>
  </si>
  <si>
    <t>sneha.sharma1362@company.com</t>
  </si>
  <si>
    <t>sneha.singh1363@company.com</t>
  </si>
  <si>
    <t>john.patel1364@company.com</t>
  </si>
  <si>
    <t>divya.reddy1365@company.com</t>
  </si>
  <si>
    <t>kiran.sharma1366@company.com</t>
  </si>
  <si>
    <t>priya.sharma1367@company.com</t>
  </si>
  <si>
    <t>ravi.kumar1368@company.com</t>
  </si>
  <si>
    <t>sneha.singh1369@company.com</t>
  </si>
  <si>
    <t>ravi.kumar1370@company.com</t>
  </si>
  <si>
    <t>rahul.sharma1371@company.com</t>
  </si>
  <si>
    <t>05-07-2020</t>
  </si>
  <si>
    <t>arun.singh1372@company.com</t>
  </si>
  <si>
    <t>anil.singh1373@company.com</t>
  </si>
  <si>
    <t>john.singh1374@company.com</t>
  </si>
  <si>
    <t>arun.sharma1375@company.com</t>
  </si>
  <si>
    <t>01-02-2024</t>
  </si>
  <si>
    <t>anil.reddy1376@company.com</t>
  </si>
  <si>
    <t>04-12-2023</t>
  </si>
  <si>
    <t>arun.reddy1377@company.com</t>
  </si>
  <si>
    <t>arun.sharma1378@company.com</t>
  </si>
  <si>
    <t>meena.sharma1379@company.com</t>
  </si>
  <si>
    <t>rahul.patel1380@company.com</t>
  </si>
  <si>
    <t>john.sharma1381@company.com</t>
  </si>
  <si>
    <t>ravi.reddy1382@company.com</t>
  </si>
  <si>
    <t>anil.singh1383@company.com</t>
  </si>
  <si>
    <t>priya.singh1384@company.com</t>
  </si>
  <si>
    <t>ravi.kumar1385@company.com</t>
  </si>
  <si>
    <t>meena.kumar1386@company.com</t>
  </si>
  <si>
    <t>meena.reddy1387@company.com</t>
  </si>
  <si>
    <t>26-02-2023</t>
  </si>
  <si>
    <t>kiran.patel1388@company.com</t>
  </si>
  <si>
    <t>sneha.singh1389@company.com</t>
  </si>
  <si>
    <t>10-01-2025</t>
  </si>
  <si>
    <t>divya.singh1390@company.com</t>
  </si>
  <si>
    <t>kiran.patel1391@company.com</t>
  </si>
  <si>
    <t>divya.reddy1392@company.com</t>
  </si>
  <si>
    <t>john.singh1393@company.com</t>
  </si>
  <si>
    <t>rahul.kumar1394@company.com</t>
  </si>
  <si>
    <t>meena.reddy1395@company.com</t>
  </si>
  <si>
    <t>priya.kumar1396@company.com</t>
  </si>
  <si>
    <t>17-09-2019</t>
  </si>
  <si>
    <t>rahul.reddy1397@company.com</t>
  </si>
  <si>
    <t>kiran.sharma1398@company.com</t>
  </si>
  <si>
    <t>ravi.kumar1399@company.com</t>
  </si>
  <si>
    <t>anil.patel1400@company.com</t>
  </si>
  <si>
    <t>26-03-2020</t>
  </si>
  <si>
    <t>divya.reddy1401@company.com</t>
  </si>
  <si>
    <t>priya.kumar1402@company.com</t>
  </si>
  <si>
    <t>kiran.reddy1403@company.com</t>
  </si>
  <si>
    <t>29-09-2021</t>
  </si>
  <si>
    <t>rahul.sharma1404@company.com</t>
  </si>
  <si>
    <t>divya.reddy1405@company.com</t>
  </si>
  <si>
    <t>john.patel1406@company.com</t>
  </si>
  <si>
    <t>rahul.patel1407@company.com</t>
  </si>
  <si>
    <t>17-03-2023</t>
  </si>
  <si>
    <t>john.patel1408@company.com</t>
  </si>
  <si>
    <t>15-02-2021</t>
  </si>
  <si>
    <t>arun.patel1409@company.com</t>
  </si>
  <si>
    <t>25-10-2023</t>
  </si>
  <si>
    <t>divya.singh1410@company.com</t>
  </si>
  <si>
    <t>24-12-2021</t>
  </si>
  <si>
    <t>arun.reddy1411@company.com</t>
  </si>
  <si>
    <t>arun.reddy1412@company.com</t>
  </si>
  <si>
    <t>arun.patel1413@company.com</t>
  </si>
  <si>
    <t>09-02-2019</t>
  </si>
  <si>
    <t>meena.singh1414@company.com</t>
  </si>
  <si>
    <t>sneha.patel1415@company.com</t>
  </si>
  <si>
    <t>12-10-2021</t>
  </si>
  <si>
    <t>arun.patel1416@company.com</t>
  </si>
  <si>
    <t>kiran.reddy1417@company.com</t>
  </si>
  <si>
    <t>25-06-2018</t>
  </si>
  <si>
    <t>arun.kumar1418@company.com</t>
  </si>
  <si>
    <t>25-04-2021</t>
  </si>
  <si>
    <t>anil.reddy1419@company.com</t>
  </si>
  <si>
    <t>22-07-2019</t>
  </si>
  <si>
    <t>rahul.singh1420@company.com</t>
  </si>
  <si>
    <t>meena.sharma1421@company.com</t>
  </si>
  <si>
    <t>rahul.sharma1422@company.com</t>
  </si>
  <si>
    <t>08-02-2018</t>
  </si>
  <si>
    <t>john.patel1423@company.com</t>
  </si>
  <si>
    <t>john.singh1424@company.com</t>
  </si>
  <si>
    <t>anil.sharma1425@company.com</t>
  </si>
  <si>
    <t>meena.reddy1426@company.com</t>
  </si>
  <si>
    <t>03-01-2023</t>
  </si>
  <si>
    <t>meena.reddy1427@company.com</t>
  </si>
  <si>
    <t>arun.kumar1428@company.com</t>
  </si>
  <si>
    <t>john.singh1429@company.com</t>
  </si>
  <si>
    <t>anil.kumar1430@company.com</t>
  </si>
  <si>
    <t>divya.kumar1431@company.com</t>
  </si>
  <si>
    <t>john.reddy1432@company.com</t>
  </si>
  <si>
    <t>meena.sharma1433@company.com</t>
  </si>
  <si>
    <t>anil.patel1434@company.com</t>
  </si>
  <si>
    <t>09-10-2023</t>
  </si>
  <si>
    <t>anil.singh1435@company.com</t>
  </si>
  <si>
    <t>divya.patel1436@company.com</t>
  </si>
  <si>
    <t>13-02-2018</t>
  </si>
  <si>
    <t>anil.sharma1437@company.com</t>
  </si>
  <si>
    <t>priya.singh1438@company.com</t>
  </si>
  <si>
    <t>priya.sharma1439@company.com</t>
  </si>
  <si>
    <t>divya.sharma1440@company.com</t>
  </si>
  <si>
    <t>meena.singh1441@company.com</t>
  </si>
  <si>
    <t>meena.patel1442@company.com</t>
  </si>
  <si>
    <t>sneha.reddy1443@company.com</t>
  </si>
  <si>
    <t>meena.singh1444@company.com</t>
  </si>
  <si>
    <t>divya.kumar1445company.com</t>
  </si>
  <si>
    <t>divya.patel1446@company.com</t>
  </si>
  <si>
    <t>divya.kumar1447@company.com</t>
  </si>
  <si>
    <t>sneha.sharma1448@company.com</t>
  </si>
  <si>
    <t>11-12-2021</t>
  </si>
  <si>
    <t>arun.patel1105@company.com</t>
  </si>
  <si>
    <t>10-02-2022</t>
  </si>
  <si>
    <t>meena.singh1450@company.com</t>
  </si>
  <si>
    <t>ravi.kumar1451@company.com</t>
  </si>
  <si>
    <t>19-05-2021</t>
  </si>
  <si>
    <t>kiran.singh1452@company.com</t>
  </si>
  <si>
    <t>divya.singh1453@company.com</t>
  </si>
  <si>
    <t>john.sharma1454@company.com</t>
  </si>
  <si>
    <t>sneha.sharma1455@company.com</t>
  </si>
  <si>
    <t>sneha.sharma1456@company.com</t>
  </si>
  <si>
    <t>05-03-2018</t>
  </si>
  <si>
    <t>john.reddy1457@company.com</t>
  </si>
  <si>
    <t>16-05-2022</t>
  </si>
  <si>
    <t>john.sharma1458@company.com</t>
  </si>
  <si>
    <t>arun.patel1459@company.com</t>
  </si>
  <si>
    <t>john.reddy1460@company.com</t>
  </si>
  <si>
    <t>rahul.sharma1461@company.com</t>
  </si>
  <si>
    <t>25-11-2023</t>
  </si>
  <si>
    <t>ravi.sharma1462@company.com</t>
  </si>
  <si>
    <t>kiran.reddy1463@company.com</t>
  </si>
  <si>
    <t>rahul.reddy1464@company.com</t>
  </si>
  <si>
    <t>priya.kumar1465company.com</t>
  </si>
  <si>
    <t>arun.reddy1466@company.com</t>
  </si>
  <si>
    <t>sneha.sharma1467@company.com</t>
  </si>
  <si>
    <t>divya.patel1468@company.com</t>
  </si>
  <si>
    <t>11-12-2018</t>
  </si>
  <si>
    <t>ravi.sharma1469@company.com</t>
  </si>
  <si>
    <t>rahul.singh1470@company.com</t>
  </si>
  <si>
    <t>arun.reddy1471@company.com</t>
  </si>
  <si>
    <t>sneha.sharma1472@company.com</t>
  </si>
  <si>
    <t>06-08-2021</t>
  </si>
  <si>
    <t>sneha.reddy1473@company.com</t>
  </si>
  <si>
    <t>priya.singh1474@company.com</t>
  </si>
  <si>
    <t>01-05-2018</t>
  </si>
  <si>
    <t>sneha.sharma1475@company.com</t>
  </si>
  <si>
    <t>priya.singh1476@company.com</t>
  </si>
  <si>
    <t>divya.reddy1477@company.com</t>
  </si>
  <si>
    <t>divya.kumar1478@company.com</t>
  </si>
  <si>
    <t>24-06-2018</t>
  </si>
  <si>
    <t>priya.sharma1479@company.com</t>
  </si>
  <si>
    <t>07-01-2024</t>
  </si>
  <si>
    <t>sneha.singh1480@company.com</t>
  </si>
  <si>
    <t>arun.sharma1481@company.com</t>
  </si>
  <si>
    <t>01-09-2021</t>
  </si>
  <si>
    <t>arun.kumar1482@company.com</t>
  </si>
  <si>
    <t>arun.kumar1483@company.com</t>
  </si>
  <si>
    <t>anil.patel1484@company.com</t>
  </si>
  <si>
    <t>john.reddy1485@company.com</t>
  </si>
  <si>
    <t>sneha.singh1486@company.com</t>
  </si>
  <si>
    <t>01-02-2021</t>
  </si>
  <si>
    <t>kiran.singh1487@company.com</t>
  </si>
  <si>
    <t>john.sharma1488@company.com</t>
  </si>
  <si>
    <t>15-03-2020</t>
  </si>
  <si>
    <t>priya.sharma1489@company.com</t>
  </si>
  <si>
    <t>16-03-2022</t>
  </si>
  <si>
    <t>arun.patel1490@company.com</t>
  </si>
  <si>
    <t>anil.patel1491company.com</t>
  </si>
  <si>
    <t>ravi.patel1492@company.com</t>
  </si>
  <si>
    <t>01-07-2020</t>
  </si>
  <si>
    <t>john.patel1493@company.com</t>
  </si>
  <si>
    <t>rahul.patel1494@company.com</t>
  </si>
  <si>
    <t>10-09-2018</t>
  </si>
  <si>
    <t>ravi.patel1495@company.com</t>
  </si>
  <si>
    <t>03-03-2023</t>
  </si>
  <si>
    <t>sneha.reddy1496@company.com</t>
  </si>
  <si>
    <t>27-04-2019</t>
  </si>
  <si>
    <t>anil.reddy1497@company.com</t>
  </si>
  <si>
    <t>john.sharma1498@company.com</t>
  </si>
  <si>
    <t>kiran.singh1499@company.com</t>
  </si>
  <si>
    <t>kiran.reddy1500@company.com</t>
  </si>
  <si>
    <t>07-09-2021</t>
  </si>
  <si>
    <t>14-02-2023</t>
  </si>
  <si>
    <t>anil.kumar1502@company.com</t>
  </si>
  <si>
    <t>23-06-2021</t>
  </si>
  <si>
    <t>priya.reddy1503@company.com</t>
  </si>
  <si>
    <t>john.singh1504@company.com</t>
  </si>
  <si>
    <t>priya.kumar1505@company.com</t>
  </si>
  <si>
    <t>john.reddy1506@company.com</t>
  </si>
  <si>
    <t>sneha.sharma1507@company.com</t>
  </si>
  <si>
    <t>meena.kumar1508@company.com</t>
  </si>
  <si>
    <t>john.reddy1509@company.com</t>
  </si>
  <si>
    <t>19-04-2021</t>
  </si>
  <si>
    <t>meena.patel1510@company.com</t>
  </si>
  <si>
    <t>09-12-2022</t>
  </si>
  <si>
    <t>rahul.patel1511@company.com</t>
  </si>
  <si>
    <t>rahul.singh1512@company.com</t>
  </si>
  <si>
    <t>meena.reddy1513@company.com</t>
  </si>
  <si>
    <t>arun.reddy1514@company.com</t>
  </si>
  <si>
    <t>21-02-2022</t>
  </si>
  <si>
    <t>priya.kumar1515@company.com</t>
  </si>
  <si>
    <t>16-03-2023</t>
  </si>
  <si>
    <t>kiran.singh1516@company.com</t>
  </si>
  <si>
    <t>anil.singh1517company.com</t>
  </si>
  <si>
    <t>meena.patel1518@company.com</t>
  </si>
  <si>
    <t>ravi.reddy1519@company.com</t>
  </si>
  <si>
    <t>ravi.kumar1520@company.com</t>
  </si>
  <si>
    <t>sneha.kumar1521@company.com</t>
  </si>
  <si>
    <t>kiran.sharma1522@company.com</t>
  </si>
  <si>
    <t>28-02-2024</t>
  </si>
  <si>
    <t>anil.sharma1523@company.com</t>
  </si>
  <si>
    <t>kiran.singh1524company.com</t>
  </si>
  <si>
    <t>priya.kumar1526company.com</t>
  </si>
  <si>
    <t>07-05-2024</t>
  </si>
  <si>
    <t>divya.reddy1527@company.com</t>
  </si>
  <si>
    <t>kiran.patel1528@company.com</t>
  </si>
  <si>
    <t>09-11-2024</t>
  </si>
  <si>
    <t>kiran.sharma1529@company.com</t>
  </si>
  <si>
    <t>john.reddy1530@company.com</t>
  </si>
  <si>
    <t>meena.sharma1531company.com</t>
  </si>
  <si>
    <t>priya.singh1532@company.com</t>
  </si>
  <si>
    <t>rahul.kumar1533@company.com</t>
  </si>
  <si>
    <t>kiran.singh1534@company.com</t>
  </si>
  <si>
    <t>sneha.kumar1535@company.com</t>
  </si>
  <si>
    <t>ravi.singh1536@company.com</t>
  </si>
  <si>
    <t>18-09-2020</t>
  </si>
  <si>
    <t>john.kumar1537@company.com</t>
  </si>
  <si>
    <t>anil.patel1538@company.com</t>
  </si>
  <si>
    <t>05-04-2018</t>
  </si>
  <si>
    <t>kiran.kumar1539@company.com</t>
  </si>
  <si>
    <t>05-10-2023</t>
  </si>
  <si>
    <t>kiran.singh1540@company.com</t>
  </si>
  <si>
    <t>01-07-2024</t>
  </si>
  <si>
    <t>divya.patel1541@company.com</t>
  </si>
  <si>
    <t>kiran.kumar1542@company.com</t>
  </si>
  <si>
    <t>26-08-2021</t>
  </si>
  <si>
    <t>john.kumar1543@company.com</t>
  </si>
  <si>
    <t>sneha.patel1544@company.com</t>
  </si>
  <si>
    <t>arun.sharma1545@company.com</t>
  </si>
  <si>
    <t>rahul.singh1546@company.com</t>
  </si>
  <si>
    <t>anil.patel1547@company.com</t>
  </si>
  <si>
    <t>kiran.singh1548@company.com</t>
  </si>
  <si>
    <t>anil.reddy1549@company.com</t>
  </si>
  <si>
    <t>13-02-2024</t>
  </si>
  <si>
    <t>anil.patel1551company.com</t>
  </si>
  <si>
    <t>john.reddy1552@company.com</t>
  </si>
  <si>
    <t>sneha.reddy1553@company.com</t>
  </si>
  <si>
    <t>02-08-2023</t>
  </si>
  <si>
    <t>priya.sharma1555@company.com</t>
  </si>
  <si>
    <t>divya.kumar1556@company.com</t>
  </si>
  <si>
    <t>rahul.singh1557@company.com</t>
  </si>
  <si>
    <t>divya.singh1558@company.com</t>
  </si>
  <si>
    <t>ravi.patel1559@company.com</t>
  </si>
  <si>
    <t>kiran.reddy1560@company.com</t>
  </si>
  <si>
    <t>04-03-2020</t>
  </si>
  <si>
    <t>divya.singh1561@company.com</t>
  </si>
  <si>
    <t>anil.sharma1562@company.com</t>
  </si>
  <si>
    <t>arun.reddy1563@company.com</t>
  </si>
  <si>
    <t>07-11-2019</t>
  </si>
  <si>
    <t>meena.kumar1564@company.com</t>
  </si>
  <si>
    <t>kiran.singh1565@company.com</t>
  </si>
  <si>
    <t>arun.singh1566@company.com</t>
  </si>
  <si>
    <t>meena.sharma1567@company.com</t>
  </si>
  <si>
    <t>sneha.reddy1568@company.com</t>
  </si>
  <si>
    <t>sneha.reddy1569@company.com</t>
  </si>
  <si>
    <t>john.reddy1570@company.com</t>
  </si>
  <si>
    <t>john.sharma1571@company.com</t>
  </si>
  <si>
    <t>sneha.kumar1572@company.com</t>
  </si>
  <si>
    <t>rahul.reddy1573company.com</t>
  </si>
  <si>
    <t>21-02-2018</t>
  </si>
  <si>
    <t>divya.sharma1574@company.com</t>
  </si>
  <si>
    <t>sneha.kumar1575@company.com</t>
  </si>
  <si>
    <t>18-11-2020</t>
  </si>
  <si>
    <t>sneha.reddy1576@company.com</t>
  </si>
  <si>
    <t>anil.reddy1577company.com</t>
  </si>
  <si>
    <t>john.singh1578@company.com</t>
  </si>
  <si>
    <t>09-03-2018</t>
  </si>
  <si>
    <t>rahul.singh1579@company.com</t>
  </si>
  <si>
    <t>arun.sharma1580@company.com</t>
  </si>
  <si>
    <t>priya.reddy1581@company.com</t>
  </si>
  <si>
    <t>arun.patel1582@company.com</t>
  </si>
  <si>
    <t>arun.sharma1583@company.com</t>
  </si>
  <si>
    <t>divya.reddy1584@company.com</t>
  </si>
  <si>
    <t>divya.sharma1585@company.com</t>
  </si>
  <si>
    <t>kiran.patel1586@company.com</t>
  </si>
  <si>
    <t>arun.patel1587@company.com</t>
  </si>
  <si>
    <t>arun.kumar1588@company.com</t>
  </si>
  <si>
    <t>anil.kumar1589@company.com</t>
  </si>
  <si>
    <t>rahul.singh1590@company.com</t>
  </si>
  <si>
    <t>john.sharma1591@company.com</t>
  </si>
  <si>
    <t>meena.singh1592@company.com</t>
  </si>
  <si>
    <t>30-09-2022</t>
  </si>
  <si>
    <t>anil.singh1593@company.com</t>
  </si>
  <si>
    <t>priya.sharma1594@company.com</t>
  </si>
  <si>
    <t>kiran.reddy1595@company.com</t>
  </si>
  <si>
    <t>sneha.sharma1596@company.com</t>
  </si>
  <si>
    <t>john.patel1597@company.com</t>
  </si>
  <si>
    <t>rahul.reddy1598company.com</t>
  </si>
  <si>
    <t>21-09-2021</t>
  </si>
  <si>
    <t>john.singh1599@company.com</t>
  </si>
  <si>
    <t>16-08-2021</t>
  </si>
  <si>
    <t>meena.reddy1600company.com</t>
  </si>
  <si>
    <t>sneha.singh1601@company.com</t>
  </si>
  <si>
    <t>john.kumar1602@company.com</t>
  </si>
  <si>
    <t>sneha.sharma1603@company.com</t>
  </si>
  <si>
    <t>kiran.sharma1604@company.com</t>
  </si>
  <si>
    <t>arun.kumar1605@company.com</t>
  </si>
  <si>
    <t>sneha.singh1606@company.com</t>
  </si>
  <si>
    <t>03-01-2018</t>
  </si>
  <si>
    <t>rahul.kumar1607@company.com</t>
  </si>
  <si>
    <t>priya.singh1608@company.com</t>
  </si>
  <si>
    <t>ravi.kumar1609@company.com</t>
  </si>
  <si>
    <t>john.sharma1610@company.com</t>
  </si>
  <si>
    <t>08-03-2021</t>
  </si>
  <si>
    <t>sneha.singh1611@company.com</t>
  </si>
  <si>
    <t>divya.kumar1612company.com</t>
  </si>
  <si>
    <t>14-12-2022</t>
  </si>
  <si>
    <t>john.singh1613@company.com</t>
  </si>
  <si>
    <t>arun.sharma1614@company.com</t>
  </si>
  <si>
    <t>09-04-2020</t>
  </si>
  <si>
    <t>arun.sharma1615@company.com</t>
  </si>
  <si>
    <t>priya.sharma1616@company.com</t>
  </si>
  <si>
    <t>kiran.reddy1617@company.com</t>
  </si>
  <si>
    <t>kiran.reddy1618@company.com</t>
  </si>
  <si>
    <t>10-07-2023</t>
  </si>
  <si>
    <t>kiran.reddy1619@company.com</t>
  </si>
  <si>
    <t>anil.reddy1620@company.com</t>
  </si>
  <si>
    <t>meena.kumar1621@company.com</t>
  </si>
  <si>
    <t>sneha.kumar1622@company.com</t>
  </si>
  <si>
    <t>meena.sharma1623@company.com</t>
  </si>
  <si>
    <t>meena.sharma1624@company.com</t>
  </si>
  <si>
    <t>ravi.patel1625@company.com</t>
  </si>
  <si>
    <t>06-09-2020</t>
  </si>
  <si>
    <t>arun.sharma1626@company.com</t>
  </si>
  <si>
    <t>03-02-2025</t>
  </si>
  <si>
    <t>rahul.reddy1627@company.com</t>
  </si>
  <si>
    <t>priya.sharma1628@company.com</t>
  </si>
  <si>
    <t>06-03-2023</t>
  </si>
  <si>
    <t>rahul.sharma1629@company.com</t>
  </si>
  <si>
    <t>28-04-2024</t>
  </si>
  <si>
    <t>anil.sharma1630@company.com</t>
  </si>
  <si>
    <t>kiran.reddy1631@company.com</t>
  </si>
  <si>
    <t>anil.kumar1632@company.com</t>
  </si>
  <si>
    <t>anil.reddy1633@company.com</t>
  </si>
  <si>
    <t>divya.singh1634@company.com</t>
  </si>
  <si>
    <t>ravi.sharma1635@company.com</t>
  </si>
  <si>
    <t>kiran.sharma1636@company.com</t>
  </si>
  <si>
    <t>15-03-2022</t>
  </si>
  <si>
    <t>kiran.singh1637@company.com</t>
  </si>
  <si>
    <t>06-07-2019</t>
  </si>
  <si>
    <t>kiran.patel1638@company.com</t>
  </si>
  <si>
    <t>04-05-2018</t>
  </si>
  <si>
    <t>divya.singh1639@company.com</t>
  </si>
  <si>
    <t>meena.kumar1640@company.com</t>
  </si>
  <si>
    <t>rahul.reddy1641@company.com</t>
  </si>
  <si>
    <t>ravi.sharma1642@company.com</t>
  </si>
  <si>
    <t>divya.kumar1643@company.com</t>
  </si>
  <si>
    <t>anil.reddy1644@company.com</t>
  </si>
  <si>
    <t>16-09-2023</t>
  </si>
  <si>
    <t>divya.reddy1645@company.com</t>
  </si>
  <si>
    <t>07-09-2023</t>
  </si>
  <si>
    <t>divya.sharma1646@company.com</t>
  </si>
  <si>
    <t>05-03-2021</t>
  </si>
  <si>
    <t>sneha.sharma1647@company.com</t>
  </si>
  <si>
    <t>divya.sharma1648@company.com</t>
  </si>
  <si>
    <t>sneha.reddy1649@company.com</t>
  </si>
  <si>
    <t>sneha.singh1650@company.com</t>
  </si>
  <si>
    <t>kiran.sharma1651@company.com</t>
  </si>
  <si>
    <t>18-11-2019</t>
  </si>
  <si>
    <t>arun.patel1652@company.com</t>
  </si>
  <si>
    <t>divya.singh1653@company.com</t>
  </si>
  <si>
    <t>arun.reddy1654@company.com</t>
  </si>
  <si>
    <t>kiran.patel1656@company.com</t>
  </si>
  <si>
    <t>22-02-2018</t>
  </si>
  <si>
    <t>arun.sharma1657@company.com</t>
  </si>
  <si>
    <t>24-08-2024</t>
  </si>
  <si>
    <t>anil.sharma1658@company.com</t>
  </si>
  <si>
    <t>08-08-2019</t>
  </si>
  <si>
    <t>anil.patel1659@company.com</t>
  </si>
  <si>
    <t>meena.patel1660@company.com</t>
  </si>
  <si>
    <t>17-02-2019</t>
  </si>
  <si>
    <t>ravi.reddy1661@company.com</t>
  </si>
  <si>
    <t>rahul.singh1662@company.com</t>
  </si>
  <si>
    <t>anil.kumar1663@company.com</t>
  </si>
  <si>
    <t>rahul.patel1664@company.com</t>
  </si>
  <si>
    <t>priya.kumar1665@company.com</t>
  </si>
  <si>
    <t>rahul.patel1666@company.com</t>
  </si>
  <si>
    <t>27-06-2020</t>
  </si>
  <si>
    <t>sneha.kumar1667@company.com</t>
  </si>
  <si>
    <t>ravi.kumar1668@company.com</t>
  </si>
  <si>
    <t>meena.reddy1669@company.com</t>
  </si>
  <si>
    <t>18-08-2018</t>
  </si>
  <si>
    <t>rahul.singh1670@company.com</t>
  </si>
  <si>
    <t>01-11-2020</t>
  </si>
  <si>
    <t>meena.sharma1671@company.com</t>
  </si>
  <si>
    <t>anil.sharma1672@company.com</t>
  </si>
  <si>
    <t>priya.singh1673@company.com</t>
  </si>
  <si>
    <t>ravi.patel1675@company.com</t>
  </si>
  <si>
    <t>arun.kumar1677@company.com</t>
  </si>
  <si>
    <t>priya.patel1678@company.com</t>
  </si>
  <si>
    <t>ravi.singh1679@company.com</t>
  </si>
  <si>
    <t>ravi.kumar1680@company.com</t>
  </si>
  <si>
    <t>ravi.singh1681@company.com</t>
  </si>
  <si>
    <t>25-02-2019</t>
  </si>
  <si>
    <t>ravi.reddy1682@company.com</t>
  </si>
  <si>
    <t>sneha.sharma1683@company.com</t>
  </si>
  <si>
    <t>arun.reddy1684@company.com</t>
  </si>
  <si>
    <t>kiran.singh1685@company.com</t>
  </si>
  <si>
    <t>14-11-2020</t>
  </si>
  <si>
    <t>kiran.singh1686@company.com</t>
  </si>
  <si>
    <t>07-04-2020</t>
  </si>
  <si>
    <t>divya.kumar1687@company.com</t>
  </si>
  <si>
    <t>31-07-2021</t>
  </si>
  <si>
    <t>ravi.kumar1688@company.com</t>
  </si>
  <si>
    <t>divya.singh1689@company.com</t>
  </si>
  <si>
    <t>divya.singh1690@company.com</t>
  </si>
  <si>
    <t>john.sharma1691@company.com</t>
  </si>
  <si>
    <t>15-02-2019</t>
  </si>
  <si>
    <t>arun.patel1692@company.com</t>
  </si>
  <si>
    <t>17-12-2018</t>
  </si>
  <si>
    <t>rahul.reddy1693@company.com</t>
  </si>
  <si>
    <t>john.patel1694@company.com</t>
  </si>
  <si>
    <t>rahul.kumar1695@company.com</t>
  </si>
  <si>
    <t>meena.sharma1696@company.com</t>
  </si>
  <si>
    <t>arun.reddy1697@company.com</t>
  </si>
  <si>
    <t>04-10-2018</t>
  </si>
  <si>
    <t>kiran.sharma1698@company.com</t>
  </si>
  <si>
    <t>09-09-2023</t>
  </si>
  <si>
    <t>sneha.kumar1699@company.com</t>
  </si>
  <si>
    <t>07-02-2024</t>
  </si>
  <si>
    <t>meena.sharma1700@company.com</t>
  </si>
  <si>
    <t>25-03-2021</t>
  </si>
  <si>
    <t>anil.sharma1702@company.com</t>
  </si>
  <si>
    <t>31-07-2020</t>
  </si>
  <si>
    <t>ravi.patel1703@company.com</t>
  </si>
  <si>
    <t>meena.sharma1704@company.com</t>
  </si>
  <si>
    <t>25-07-2023</t>
  </si>
  <si>
    <t>john.singh1705@company.com</t>
  </si>
  <si>
    <t>divya.patel1706@company.com</t>
  </si>
  <si>
    <t>kiran.sharma1707@company.com</t>
  </si>
  <si>
    <t>divya.kumar1708@company.com</t>
  </si>
  <si>
    <t>sneha.singh1709@company.com</t>
  </si>
  <si>
    <t>priya.reddy1710@company.com</t>
  </si>
  <si>
    <t>sneha.patel1711@company.com</t>
  </si>
  <si>
    <t>08-09-2023</t>
  </si>
  <si>
    <t>priya.reddy1712@company.com</t>
  </si>
  <si>
    <t>17-08-2019</t>
  </si>
  <si>
    <t>priya.reddy1713@company.com</t>
  </si>
  <si>
    <t>meena.patel1714@company.com</t>
  </si>
  <si>
    <t>meena.sharma1715@company.com</t>
  </si>
  <si>
    <t>sneha.reddy1716@company.com</t>
  </si>
  <si>
    <t>meena.kumar1717@company.com</t>
  </si>
  <si>
    <t>13-04-2023</t>
  </si>
  <si>
    <t>sneha.reddy1718@company.com</t>
  </si>
  <si>
    <t>sneha.patel1719@company.com</t>
  </si>
  <si>
    <t>john.singh1720@company.com</t>
  </si>
  <si>
    <t>ravi.singh1721@company.com</t>
  </si>
  <si>
    <t>meena.sharma1722@company.com</t>
  </si>
  <si>
    <t>divya.patel1723@company.com</t>
  </si>
  <si>
    <t>meena.sharma1724@company.com</t>
  </si>
  <si>
    <t>28-12-2019</t>
  </si>
  <si>
    <t>ravi.sharma1725@company.com</t>
  </si>
  <si>
    <t>john.patel1726@company.com</t>
  </si>
  <si>
    <t>arun.kumar1727@company.com</t>
  </si>
  <si>
    <t>21-11-2018</t>
  </si>
  <si>
    <t>divya.reddy1728@company.com</t>
  </si>
  <si>
    <t>31-07-2019</t>
  </si>
  <si>
    <t>rahul.kumar1729@company.com</t>
  </si>
  <si>
    <t>divya.singh1730@company.com</t>
  </si>
  <si>
    <t>ravi.reddy1731@company.com</t>
  </si>
  <si>
    <t>divya.sharma1732@company.com</t>
  </si>
  <si>
    <t>04-02-2024</t>
  </si>
  <si>
    <t>anil.patel1733@company.com</t>
  </si>
  <si>
    <t>01-12-2019</t>
  </si>
  <si>
    <t>ravi.singh1734@company.com</t>
  </si>
  <si>
    <t>john.singh1735@company.com</t>
  </si>
  <si>
    <t>john.singh1736@company.com</t>
  </si>
  <si>
    <t>john.reddy1737@company.com</t>
  </si>
  <si>
    <t>arun.patel1738@company.com</t>
  </si>
  <si>
    <t>12-05-2022</t>
  </si>
  <si>
    <t>sneha.singh1739@company.com</t>
  </si>
  <si>
    <t>rahul.kumar1740company.com</t>
  </si>
  <si>
    <t>arun.reddy1741@company.com</t>
  </si>
  <si>
    <t>12-10-2024</t>
  </si>
  <si>
    <t>ravi.reddy1743@company.com</t>
  </si>
  <si>
    <t>arun.sharma1744@company.com</t>
  </si>
  <si>
    <t>meena.reddy1745@company.com</t>
  </si>
  <si>
    <t>rahul.reddy1746@company.com</t>
  </si>
  <si>
    <t>09-08-2022</t>
  </si>
  <si>
    <t>arun.reddy1747@company.com</t>
  </si>
  <si>
    <t>meena.sharma1748@company.com</t>
  </si>
  <si>
    <t>priya.kumar1749company.com</t>
  </si>
  <si>
    <t>priya.reddy1750@company.com</t>
  </si>
  <si>
    <t>25-04-2024</t>
  </si>
  <si>
    <t>john.kumar1751company.com</t>
  </si>
  <si>
    <t>22-06-2021</t>
  </si>
  <si>
    <t>sneha.sharma1752@company.com</t>
  </si>
  <si>
    <t>priya.reddy1753@company.com</t>
  </si>
  <si>
    <t>arun.singh1754@company.com</t>
  </si>
  <si>
    <t>meena.kumar1755@company.com</t>
  </si>
  <si>
    <t>john.kumar1756company.com</t>
  </si>
  <si>
    <t>anil.kumar1757@company.com</t>
  </si>
  <si>
    <t>anil.sharma1758@company.com</t>
  </si>
  <si>
    <t>anil.sharma1759company.com</t>
  </si>
  <si>
    <t>sneha.kumar1760@company.com</t>
  </si>
  <si>
    <t>priya.singh1761@company.com</t>
  </si>
  <si>
    <t>arun.sharma1762@company.com</t>
  </si>
  <si>
    <t>rahul.reddy1763@company.com</t>
  </si>
  <si>
    <t>ravi.patel1764@company.com</t>
  </si>
  <si>
    <t>priya.kumar1765@company.com</t>
  </si>
  <si>
    <t>sneha.sharma1766@company.com</t>
  </si>
  <si>
    <t>meena.reddy1767@company.com</t>
  </si>
  <si>
    <t>30-08-2024</t>
  </si>
  <si>
    <t>john.singh1768@company.com</t>
  </si>
  <si>
    <t>ravi.reddy1769@company.com</t>
  </si>
  <si>
    <t>john.patel1770@company.com</t>
  </si>
  <si>
    <t>ravi.singh1772@company.com</t>
  </si>
  <si>
    <t>rahul.singh1773@company.com</t>
  </si>
  <si>
    <t>kiran.patel1774@company.com</t>
  </si>
  <si>
    <t>29-02-2024</t>
  </si>
  <si>
    <t>kiran.patel1775@company.com</t>
  </si>
  <si>
    <t>29-06-2021</t>
  </si>
  <si>
    <t>ravi.patel1776@company.com</t>
  </si>
  <si>
    <t>divya.kumar1777@company.com</t>
  </si>
  <si>
    <t>ravi.kumar1778@company.com</t>
  </si>
  <si>
    <t>09-01-2025</t>
  </si>
  <si>
    <t>sneha.singh1779@company.com</t>
  </si>
  <si>
    <t>rahul.reddy1781@company.com</t>
  </si>
  <si>
    <t>rahul.singh1782@company.com</t>
  </si>
  <si>
    <t>john.patel1783@company.com</t>
  </si>
  <si>
    <t>sneha.kumar1784@company.com</t>
  </si>
  <si>
    <t>07-05-2022</t>
  </si>
  <si>
    <t>priya.singh1785@company.com</t>
  </si>
  <si>
    <t>kiran.patel1786@company.com</t>
  </si>
  <si>
    <t>20-09-2021</t>
  </si>
  <si>
    <t>rahul.patel1788@company.com</t>
  </si>
  <si>
    <t>arun.kumar1789@company.com</t>
  </si>
  <si>
    <t>priya.sharma1790@company.com</t>
  </si>
  <si>
    <t>kiran.reddy1791@company.com</t>
  </si>
  <si>
    <t>anil.sharma1792@company.com</t>
  </si>
  <si>
    <t>meena.reddy1793company.com</t>
  </si>
  <si>
    <t>arun.sharma1794@company.com</t>
  </si>
  <si>
    <t>22-03-2022</t>
  </si>
  <si>
    <t>anil.singh1796@company.com</t>
  </si>
  <si>
    <t>divya.patel1797@company.com</t>
  </si>
  <si>
    <t>meena.sharma1798@company.com</t>
  </si>
  <si>
    <t>09-11-2020</t>
  </si>
  <si>
    <t>anil.kumar1799@company.com</t>
  </si>
  <si>
    <t>06-02-2018</t>
  </si>
  <si>
    <t>rahul.singh1800@company.com</t>
  </si>
  <si>
    <t>sneha.singh1801@company.com</t>
  </si>
  <si>
    <t>priya.sharma1802@company.com</t>
  </si>
  <si>
    <t>09-01-2018</t>
  </si>
  <si>
    <t>john.sharma1803@company.com</t>
  </si>
  <si>
    <t>divya.kumar1804@company.com</t>
  </si>
  <si>
    <t>priya.patel1805@company.com</t>
  </si>
  <si>
    <t>anil.singh1806@company.com</t>
  </si>
  <si>
    <t>sneha.reddy1807@company.com</t>
  </si>
  <si>
    <t>29-01-2018</t>
  </si>
  <si>
    <t>ravi.reddy1808@company.com</t>
  </si>
  <si>
    <t>ravi.patel1809@company.com</t>
  </si>
  <si>
    <t>divya.kumar1810@company.com</t>
  </si>
  <si>
    <t>arun.reddy1811@company.com</t>
  </si>
  <si>
    <t>priya.reddy1813@company.com</t>
  </si>
  <si>
    <t>kiran.patel1814company.com</t>
  </si>
  <si>
    <t>john.reddy1815@company.com</t>
  </si>
  <si>
    <t>anil.patel1816@company.com</t>
  </si>
  <si>
    <t>anil.sharma1817@company.com</t>
  </si>
  <si>
    <t>meena.reddy1818@company.com</t>
  </si>
  <si>
    <t>kiran.patel1819@company.com</t>
  </si>
  <si>
    <t>priya.reddy1820@company.com</t>
  </si>
  <si>
    <t>kiran.kumar1821@company.com</t>
  </si>
  <si>
    <t>priya.kumar1822@company.com</t>
  </si>
  <si>
    <t>04-01-2020</t>
  </si>
  <si>
    <t>anil.reddy1823@company.com</t>
  </si>
  <si>
    <t>anil.kumar1824@company.com</t>
  </si>
  <si>
    <t>john.sharma1825@company.com</t>
  </si>
  <si>
    <t>17-06-2022</t>
  </si>
  <si>
    <t>rahul.patel1826@company.com</t>
  </si>
  <si>
    <t>meena.kumar1827@company.com</t>
  </si>
  <si>
    <t>ravi.singh1828@company.com</t>
  </si>
  <si>
    <t>06-04-2024</t>
  </si>
  <si>
    <t>rahul.patel1829@company.com</t>
  </si>
  <si>
    <t>john.reddy1830@company.com</t>
  </si>
  <si>
    <t>23-02-2018</t>
  </si>
  <si>
    <t>priya.kumar1831@company.com</t>
  </si>
  <si>
    <t>19-09-2018</t>
  </si>
  <si>
    <t>sneha.kumar1832@company.com</t>
  </si>
  <si>
    <t>divya.singh1833@company.com</t>
  </si>
  <si>
    <t>meena.sharma1834@company.com</t>
  </si>
  <si>
    <t>30-07-2020</t>
  </si>
  <si>
    <t>rahul.reddy1835@company.com</t>
  </si>
  <si>
    <t>kiran.sharma1836@company.com</t>
  </si>
  <si>
    <t>divya.patel1837@company.com</t>
  </si>
  <si>
    <t>arun.kumar1838@company.com</t>
  </si>
  <si>
    <t>12-03-2022</t>
  </si>
  <si>
    <t>kiran.sharma1839@company.com</t>
  </si>
  <si>
    <t>divya.patel1840@company.com</t>
  </si>
  <si>
    <t>rahul.sharma1841@company.com</t>
  </si>
  <si>
    <t>rahul.patel1842@company.com</t>
  </si>
  <si>
    <t>arun.kumar1843@company.com</t>
  </si>
  <si>
    <t>meena.kumar1844@company.com</t>
  </si>
  <si>
    <t>meena.patel1845@company.com</t>
  </si>
  <si>
    <t>priya.sharma1846@company.com</t>
  </si>
  <si>
    <t>sneha.sharma1847@company.com</t>
  </si>
  <si>
    <t>sneha.singh1848@company.com</t>
  </si>
  <si>
    <t>11-06-2024</t>
  </si>
  <si>
    <t>kiran.sharma1849@company.com</t>
  </si>
  <si>
    <t>priya.patel1850@company.com</t>
  </si>
  <si>
    <t>arun.reddy1851@company.com</t>
  </si>
  <si>
    <t>divya.patel1852@company.com</t>
  </si>
  <si>
    <t>kiran.singh1853@company.com</t>
  </si>
  <si>
    <t>priya.singh1854@company.com</t>
  </si>
  <si>
    <t>arun.singh1855@company.com</t>
  </si>
  <si>
    <t>anil.singh1856@company.com</t>
  </si>
  <si>
    <t>rahul.singh1857@company.com</t>
  </si>
  <si>
    <t>sneha.sharma1858@company.com</t>
  </si>
  <si>
    <t>kiran.patel1859@company.com</t>
  </si>
  <si>
    <t>anil.sharma1860@company.com</t>
  </si>
  <si>
    <t>john.kumar1861@company.com</t>
  </si>
  <si>
    <t>24-09-2022</t>
  </si>
  <si>
    <t>kiran.patel1862@company.com</t>
  </si>
  <si>
    <t>divya.reddy1863@company.com</t>
  </si>
  <si>
    <t>15-11-2020</t>
  </si>
  <si>
    <t>priya.kumar1864@company.com</t>
  </si>
  <si>
    <t>john.singh1865@company.com</t>
  </si>
  <si>
    <t>john.patel1866@company.com</t>
  </si>
  <si>
    <t>sneha.singh1867company.com</t>
  </si>
  <si>
    <t>anil.reddy1868@company.com</t>
  </si>
  <si>
    <t>28-11-2019</t>
  </si>
  <si>
    <t>divya.patel1869@company.com</t>
  </si>
  <si>
    <t>anil.singh1870@company.com</t>
  </si>
  <si>
    <t>priya.singh1871@company.com</t>
  </si>
  <si>
    <t>priya.reddy1872@company.com</t>
  </si>
  <si>
    <t>arun.kumar1873@company.com</t>
  </si>
  <si>
    <t>john.reddy1874@company.com</t>
  </si>
  <si>
    <t>03-06-2019</t>
  </si>
  <si>
    <t>john.patel1875@company.com</t>
  </si>
  <si>
    <t>sneha.reddy1876@company.com</t>
  </si>
  <si>
    <t>sneha.reddy1877@company.com</t>
  </si>
  <si>
    <t>21-10-2018</t>
  </si>
  <si>
    <t>priya.kumar1878company.com</t>
  </si>
  <si>
    <t>23-12-2023</t>
  </si>
  <si>
    <t>rahul.sharma1879@company.com</t>
  </si>
  <si>
    <t>09-09-2020</t>
  </si>
  <si>
    <t>arun.singh1880@company.com</t>
  </si>
  <si>
    <t>john.sharma1881@company.com</t>
  </si>
  <si>
    <t>16-04-2021</t>
  </si>
  <si>
    <t>divya.kumar1882@company.com</t>
  </si>
  <si>
    <t>22-09-2022</t>
  </si>
  <si>
    <t>ravi.kumar1883@company.com</t>
  </si>
  <si>
    <t>10-01-2019</t>
  </si>
  <si>
    <t>arun.sharma1884@company.com</t>
  </si>
  <si>
    <t>07-06-2020</t>
  </si>
  <si>
    <t>sneha.kumar1885@company.com</t>
  </si>
  <si>
    <t>kiran.singh1886@company.com</t>
  </si>
  <si>
    <t>26-12-2018</t>
  </si>
  <si>
    <t>priya.sharma1887@company.com</t>
  </si>
  <si>
    <t>ravi.singh1888@company.com</t>
  </si>
  <si>
    <t>anil.reddy1889@company.com</t>
  </si>
  <si>
    <t>priya.reddy1890@company.com</t>
  </si>
  <si>
    <t>priya.patel1891@company.com</t>
  </si>
  <si>
    <t>19-05-2022</t>
  </si>
  <si>
    <t>divya.sharma1893@company.com</t>
  </si>
  <si>
    <t>23-12-2024</t>
  </si>
  <si>
    <t>anil.reddy1894company.com</t>
  </si>
  <si>
    <t>ravi.sharma1895@company.com</t>
  </si>
  <si>
    <t>17-12-2023</t>
  </si>
  <si>
    <t>priya.sharma1896@company.com</t>
  </si>
  <si>
    <t>john.reddy1897@company.com</t>
  </si>
  <si>
    <t>03-09-2022</t>
  </si>
  <si>
    <t>john.singh1898@company.com</t>
  </si>
  <si>
    <t>06-08-2024</t>
  </si>
  <si>
    <t>anil.sharma1899@company.com</t>
  </si>
  <si>
    <t>arun.singh1900company.com</t>
  </si>
  <si>
    <t>21-02-2024</t>
  </si>
  <si>
    <t>ravi.kumar1901@company.com</t>
  </si>
  <si>
    <t>22-01-2024</t>
  </si>
  <si>
    <t>meena.patel1902@company.com</t>
  </si>
  <si>
    <t>22-11-2021</t>
  </si>
  <si>
    <t>kiran.reddy1903@company.com</t>
  </si>
  <si>
    <t>rahul.reddy1904company.com</t>
  </si>
  <si>
    <t>15-11-2019</t>
  </si>
  <si>
    <t>rahul.reddy1905@company.com</t>
  </si>
  <si>
    <t>priya.patel1906@company.com</t>
  </si>
  <si>
    <t>06-09-2024</t>
  </si>
  <si>
    <t>john.singh1907@company.com</t>
  </si>
  <si>
    <t>rahul.patel1908@company.com</t>
  </si>
  <si>
    <t>priya.sharma1909@company.com</t>
  </si>
  <si>
    <t>rahul.sharma1910@company.com</t>
  </si>
  <si>
    <t>16-01-2023</t>
  </si>
  <si>
    <t>meena.patel1911@company.com</t>
  </si>
  <si>
    <t>meena.reddy1912@company.com</t>
  </si>
  <si>
    <t>ravi.kumar1913@company.com</t>
  </si>
  <si>
    <t>18-07-2018</t>
  </si>
  <si>
    <t>anil.singh1914@company.com</t>
  </si>
  <si>
    <t>divya.reddy1915@company.com</t>
  </si>
  <si>
    <t>18-05-2018</t>
  </si>
  <si>
    <t>sneha.reddy1916@company.com</t>
  </si>
  <si>
    <t>divya.singh1917@company.com</t>
  </si>
  <si>
    <t>rahul.patel1918@company.com</t>
  </si>
  <si>
    <t>divya.singh1919@company.com</t>
  </si>
  <si>
    <t>sneha.patel1920@company.com</t>
  </si>
  <si>
    <t>arun.reddy1921@company.com</t>
  </si>
  <si>
    <t>27-07-2020</t>
  </si>
  <si>
    <t>arun.sharma1922@company.com</t>
  </si>
  <si>
    <t>rahul.reddy1923@company.com</t>
  </si>
  <si>
    <t>meena.singh1924@company.com</t>
  </si>
  <si>
    <t>10-12-2022</t>
  </si>
  <si>
    <t>sneha.reddy1925@company.com</t>
  </si>
  <si>
    <t>25-05-2021</t>
  </si>
  <si>
    <t>sneha.kumar1926@company.com</t>
  </si>
  <si>
    <t>priya.singh1927@company.com</t>
  </si>
  <si>
    <t>ravi.sharma1928@company.com</t>
  </si>
  <si>
    <t>14-10-2023</t>
  </si>
  <si>
    <t>anil.reddy1929@company.com</t>
  </si>
  <si>
    <t>kiran.sharma1930@company.com</t>
  </si>
  <si>
    <t>01-07-2018</t>
  </si>
  <si>
    <t>arun.singh1931@company.com</t>
  </si>
  <si>
    <t>priya.patel1932@company.com</t>
  </si>
  <si>
    <t>03-06-2021</t>
  </si>
  <si>
    <t>ravi.kumar1934@company.com</t>
  </si>
  <si>
    <t>meena.reddy1935@company.com</t>
  </si>
  <si>
    <t>meena.singh1936@company.com</t>
  </si>
  <si>
    <t>kiran.kumar1937@company.com</t>
  </si>
  <si>
    <t>kiran.singh1938@company.com</t>
  </si>
  <si>
    <t>25-08-2023</t>
  </si>
  <si>
    <t>arun.patel1939@company.com</t>
  </si>
  <si>
    <t>sneha.reddy1940@company.com</t>
  </si>
  <si>
    <t>01-02-2020</t>
  </si>
  <si>
    <t>meena.patel1941@company.com</t>
  </si>
  <si>
    <t>arun.patel1942@company.com</t>
  </si>
  <si>
    <t>23-01-2025</t>
  </si>
  <si>
    <t>ravi.reddy1943@company.com</t>
  </si>
  <si>
    <t>divya.sharma1944@company.com</t>
  </si>
  <si>
    <t>divya.sharma1945@company.com</t>
  </si>
  <si>
    <t>rahul.patel1946@company.com</t>
  </si>
  <si>
    <t>divya.patel1947@company.com</t>
  </si>
  <si>
    <t>rahul.singh1948@company.com</t>
  </si>
  <si>
    <t>02-01-2018</t>
  </si>
  <si>
    <t>divya.kumar1949@company.com</t>
  </si>
  <si>
    <t>meena.kumar1950@company.com</t>
  </si>
  <si>
    <t>kiran.reddy1951@company.com</t>
  </si>
  <si>
    <t>24-04-2022</t>
  </si>
  <si>
    <t>john.reddy1952@company.com</t>
  </si>
  <si>
    <t>john.kumar1953@company.com</t>
  </si>
  <si>
    <t>rahul.singh1954company.com</t>
  </si>
  <si>
    <t>24-05-2018</t>
  </si>
  <si>
    <t>priya.kumar1955@company.com</t>
  </si>
  <si>
    <t>20-06-2021</t>
  </si>
  <si>
    <t>meena.singh1956@company.com</t>
  </si>
  <si>
    <t>meena.patel1957@company.com</t>
  </si>
  <si>
    <t>divya.reddy1958@company.com</t>
  </si>
  <si>
    <t>priya.kumar1959@company.com</t>
  </si>
  <si>
    <t>09-12-2019</t>
  </si>
  <si>
    <t>arun.sharma1960@company.com</t>
  </si>
  <si>
    <t>22-06-2018</t>
  </si>
  <si>
    <t>priya.kumar1961@company.com</t>
  </si>
  <si>
    <t>meena.patel1963@company.com</t>
  </si>
  <si>
    <t>anil.reddy1964@company.com</t>
  </si>
  <si>
    <t>ravi.singh1965@company.com</t>
  </si>
  <si>
    <t>anil.patel1966@company.com</t>
  </si>
  <si>
    <t>rahul.reddy1967@company.com</t>
  </si>
  <si>
    <t>divya.kumar1968@company.com</t>
  </si>
  <si>
    <t>arun.singh1969@company.com</t>
  </si>
  <si>
    <t>meena.reddy1970@company.com</t>
  </si>
  <si>
    <t>13-05-2020</t>
  </si>
  <si>
    <t>john.singh1971@company.com</t>
  </si>
  <si>
    <t>rahul.kumar1972@company.com</t>
  </si>
  <si>
    <t>rahul.patel1973@company.com</t>
  </si>
  <si>
    <t>25-08-2020</t>
  </si>
  <si>
    <t>john.patel1974@company.com</t>
  </si>
  <si>
    <t>23-01-2023</t>
  </si>
  <si>
    <t>28-03-2019</t>
  </si>
  <si>
    <t>ravi.singh1976@company.com</t>
  </si>
  <si>
    <t>anil.reddy1977@company.com</t>
  </si>
  <si>
    <t>anil.singh1978@company.com</t>
  </si>
  <si>
    <t>15-04-2021</t>
  </si>
  <si>
    <t>divya.patel1979@company.com</t>
  </si>
  <si>
    <t>26-07-2023</t>
  </si>
  <si>
    <t>john.kumar1980@company.com</t>
  </si>
  <si>
    <t>08-11-2021</t>
  </si>
  <si>
    <t>arun.reddy1981@company.com</t>
  </si>
  <si>
    <t>15-12-2020</t>
  </si>
  <si>
    <t>priya.singh1982@company.com</t>
  </si>
  <si>
    <t>kiran.singh1983@company.com</t>
  </si>
  <si>
    <t>arun.kumar1984@company.com</t>
  </si>
  <si>
    <t>ravi.reddy1985@company.com</t>
  </si>
  <si>
    <t>sneha.reddy1986@company.com</t>
  </si>
  <si>
    <t>kiran.singh1987@company.com</t>
  </si>
  <si>
    <t>17-10-2019</t>
  </si>
  <si>
    <t>rahul.patel1988@company.com</t>
  </si>
  <si>
    <t>16-02-2018</t>
  </si>
  <si>
    <t>sneha.reddy1989@company.com</t>
  </si>
  <si>
    <t>meena.kumar1990@company.com</t>
  </si>
  <si>
    <t>20-06-2022</t>
  </si>
  <si>
    <t>arun.sharma1991@company.com</t>
  </si>
  <si>
    <t>25-10-2018</t>
  </si>
  <si>
    <t>anil.reddy1993company.com</t>
  </si>
  <si>
    <t>priya.sharma1994@company.com</t>
  </si>
  <si>
    <t>ravi.sharma1995@company.com</t>
  </si>
  <si>
    <t>divya.kumar1996@company.com</t>
  </si>
  <si>
    <t>meena.singh1997@company.com</t>
  </si>
  <si>
    <t>kiran.patel1998@company.com</t>
  </si>
  <si>
    <t>27-03-2021</t>
  </si>
  <si>
    <t>anil.patel1999@company.com</t>
  </si>
  <si>
    <t>03-01-2024</t>
  </si>
  <si>
    <t>sneha.reddy2000company.com</t>
  </si>
  <si>
    <t>Missing</t>
  </si>
  <si>
    <t xml:space="preserve">Missing </t>
  </si>
  <si>
    <t>Missing email</t>
  </si>
  <si>
    <t>Phone validation</t>
  </si>
  <si>
    <t>Email.validation</t>
  </si>
  <si>
    <t/>
  </si>
  <si>
    <t>15-06-2019</t>
  </si>
  <si>
    <t>01-04-2020</t>
  </si>
  <si>
    <t>31-03-2024</t>
  </si>
  <si>
    <t>01-04-2022</t>
  </si>
  <si>
    <t>13-03-2021</t>
  </si>
  <si>
    <t>05-10-2019</t>
  </si>
  <si>
    <t>23-10-2018</t>
  </si>
  <si>
    <t>13-02-2020</t>
  </si>
  <si>
    <t>02-02-2018</t>
  </si>
  <si>
    <t>14-06-2022</t>
  </si>
  <si>
    <t>20-03-2024</t>
  </si>
  <si>
    <t>11-10-2022</t>
  </si>
  <si>
    <t>13-04-2019</t>
  </si>
  <si>
    <t>21-05-2024</t>
  </si>
  <si>
    <t>17-05-2024</t>
  </si>
  <si>
    <t>05-01-2020</t>
  </si>
  <si>
    <t>21-07-2020</t>
  </si>
  <si>
    <t>24-06-2019</t>
  </si>
  <si>
    <t>05-09-2018</t>
  </si>
  <si>
    <t>04-01-2019</t>
  </si>
  <si>
    <t>12-07-2022</t>
  </si>
  <si>
    <t>18-06-2022</t>
  </si>
  <si>
    <t>19-09-2022</t>
  </si>
  <si>
    <t>31-03-2018</t>
  </si>
  <si>
    <t>19-08-2023</t>
  </si>
  <si>
    <t>15-05-2019</t>
  </si>
  <si>
    <t>23-02-2022</t>
  </si>
  <si>
    <t>26-11-2022</t>
  </si>
  <si>
    <t>17-05-2020</t>
  </si>
  <si>
    <t>28-02-2019</t>
  </si>
  <si>
    <t>01-03-2018</t>
  </si>
  <si>
    <t>24-01-2025</t>
  </si>
  <si>
    <t>24-09-2023</t>
  </si>
  <si>
    <t>27-06-2022</t>
  </si>
  <si>
    <t>03-05-2024</t>
  </si>
  <si>
    <t>14-08-2020</t>
  </si>
  <si>
    <t>23-04-2024</t>
  </si>
  <si>
    <t>08-06-2022</t>
  </si>
  <si>
    <t>12-10-2020</t>
  </si>
  <si>
    <t>25-09-2022</t>
  </si>
  <si>
    <t>22-02-2022</t>
  </si>
  <si>
    <t>26-10-2022</t>
  </si>
  <si>
    <t>08-09-2022</t>
  </si>
  <si>
    <t>07-04-2023</t>
  </si>
  <si>
    <t>28-08-2018</t>
  </si>
  <si>
    <t>11-05-2022</t>
  </si>
  <si>
    <t>02-02-2022</t>
  </si>
  <si>
    <t>10-07-2018</t>
  </si>
  <si>
    <t>23-07-2024</t>
  </si>
  <si>
    <t>01-07-2022</t>
  </si>
  <si>
    <t>08-10-2020</t>
  </si>
  <si>
    <t>25-01-2021</t>
  </si>
  <si>
    <t>09-10-2022</t>
  </si>
  <si>
    <t>21-08-2021</t>
  </si>
  <si>
    <t>01-03-2024</t>
  </si>
  <si>
    <t>06-12-2023</t>
  </si>
  <si>
    <t>11-01-2021</t>
  </si>
  <si>
    <t>12-09-2023</t>
  </si>
  <si>
    <t>20-01-2019</t>
  </si>
  <si>
    <t>15-04-2019</t>
  </si>
  <si>
    <t>10-06-2021</t>
  </si>
  <si>
    <t>20-12-2023</t>
  </si>
  <si>
    <t>11-06-2018</t>
  </si>
  <si>
    <t>19-03-2024</t>
  </si>
  <si>
    <t>25-01-2018</t>
  </si>
  <si>
    <t>17-03-2022</t>
  </si>
  <si>
    <t>27-07-2023</t>
  </si>
  <si>
    <t>06-07-2023</t>
  </si>
  <si>
    <t>12-05-2020</t>
  </si>
  <si>
    <t>07-02-2023</t>
  </si>
  <si>
    <t>27-12-2022</t>
  </si>
  <si>
    <t>01-04-2018</t>
  </si>
  <si>
    <t>21-04-2019</t>
  </si>
  <si>
    <t>22-10-2024</t>
  </si>
  <si>
    <t>22-01-2021</t>
  </si>
  <si>
    <t>19-06-2024</t>
  </si>
  <si>
    <t>01-06-2023</t>
  </si>
  <si>
    <t>18-01-2024</t>
  </si>
  <si>
    <t>16-10-2020</t>
  </si>
  <si>
    <t>01-09-2019</t>
  </si>
  <si>
    <t>12-07-2019</t>
  </si>
  <si>
    <t>13-02-2025</t>
  </si>
  <si>
    <t>14-06-2020</t>
  </si>
  <si>
    <t>08-06-2021</t>
  </si>
  <si>
    <t>21-11-2019</t>
  </si>
  <si>
    <t>02-08-2021</t>
  </si>
  <si>
    <t>18-11-2023</t>
  </si>
  <si>
    <t>18-05-2022</t>
  </si>
  <si>
    <t>29-03-2022</t>
  </si>
  <si>
    <t>23-08-2019</t>
  </si>
  <si>
    <t>17-11-2022</t>
  </si>
  <si>
    <t>09-09-2021</t>
  </si>
  <si>
    <t>19-02-2020</t>
  </si>
  <si>
    <t>29-06-2018</t>
  </si>
  <si>
    <t>15-10-2022</t>
  </si>
  <si>
    <t>02-09-2019</t>
  </si>
  <si>
    <t>18-03-2023</t>
  </si>
  <si>
    <t>19-08-2021</t>
  </si>
  <si>
    <t>16-07-2022</t>
  </si>
  <si>
    <t>06-03-2019</t>
  </si>
  <si>
    <t>27-10-2019</t>
  </si>
  <si>
    <t>16-12-2021</t>
  </si>
  <si>
    <t>14-02-2018</t>
  </si>
  <si>
    <t>06-12-2021</t>
  </si>
  <si>
    <t>03-02-2018</t>
  </si>
  <si>
    <t>28-08-2020</t>
  </si>
  <si>
    <t>22-05-2023</t>
  </si>
  <si>
    <t>26-01-2019</t>
  </si>
  <si>
    <t>12-06-2018</t>
  </si>
  <si>
    <t>25-05-2023</t>
  </si>
  <si>
    <t>11-03-2024</t>
  </si>
  <si>
    <t>16-08-2019</t>
  </si>
  <si>
    <t>16-07-2020</t>
  </si>
  <si>
    <t>24-03-2024</t>
  </si>
  <si>
    <t>18-01-2025</t>
  </si>
  <si>
    <t>10-09-2019</t>
  </si>
  <si>
    <t>19-07-2023</t>
  </si>
  <si>
    <t>07-06-2018</t>
  </si>
  <si>
    <t>28-09-2019</t>
  </si>
  <si>
    <t>04-11-2022</t>
  </si>
  <si>
    <t>30-08-2020</t>
  </si>
  <si>
    <t>19-04-2023</t>
  </si>
  <si>
    <t>24-05-2021</t>
  </si>
  <si>
    <t>18-07-2023</t>
  </si>
  <si>
    <t>15-04-2024</t>
  </si>
  <si>
    <t>11-05-2019</t>
  </si>
  <si>
    <t>06-03-2018</t>
  </si>
  <si>
    <t>26-01-2022</t>
  </si>
  <si>
    <t>19-11-2020</t>
  </si>
  <si>
    <t>21-04-2021</t>
  </si>
  <si>
    <t>24-02-2023</t>
  </si>
  <si>
    <t>17-06-2018</t>
  </si>
  <si>
    <t>03-11-2020</t>
  </si>
  <si>
    <t>04-11-2020</t>
  </si>
  <si>
    <t>10-11-2024</t>
  </si>
  <si>
    <t>27-07-2019</t>
  </si>
  <si>
    <t>22-08-2022</t>
  </si>
  <si>
    <t>28-07-2023</t>
  </si>
  <si>
    <t>13-09-2018</t>
  </si>
  <si>
    <t>29-03-2023</t>
  </si>
  <si>
    <t>29-10-2023</t>
  </si>
  <si>
    <t>08-07-2019</t>
  </si>
  <si>
    <t>13-11-2023</t>
  </si>
  <si>
    <t>04-07-2019</t>
  </si>
  <si>
    <t>31-10-2021</t>
  </si>
  <si>
    <t>17-12-2022</t>
  </si>
  <si>
    <t>01-06-2024</t>
  </si>
  <si>
    <t>13-09-2020</t>
  </si>
  <si>
    <t>19-11-2022</t>
  </si>
  <si>
    <t>27-08-2020</t>
  </si>
  <si>
    <t>05-01-2023</t>
  </si>
  <si>
    <t>01-11-2023</t>
  </si>
  <si>
    <t>02-12-2023</t>
  </si>
  <si>
    <t>13-02-2022</t>
  </si>
  <si>
    <t>27-12-2021</t>
  </si>
  <si>
    <t>15-02-2024</t>
  </si>
  <si>
    <t>02-10-2020</t>
  </si>
  <si>
    <t>24-11-2018</t>
  </si>
  <si>
    <t>05-10-2024</t>
  </si>
  <si>
    <t>03-04-2022</t>
  </si>
  <si>
    <t>10-12-2021</t>
  </si>
  <si>
    <t>21-01-2023</t>
  </si>
  <si>
    <t>30-04-2021</t>
  </si>
  <si>
    <t>30-07-2019</t>
  </si>
  <si>
    <t>29-12-2020</t>
  </si>
  <si>
    <t>09-04-2022</t>
  </si>
  <si>
    <t>25-09-2024</t>
  </si>
  <si>
    <t>17-05-2018</t>
  </si>
  <si>
    <t>15-10-2020</t>
  </si>
  <si>
    <t>18-08-2022</t>
  </si>
  <si>
    <t>11-02-2025</t>
  </si>
  <si>
    <t>29-12-2023</t>
  </si>
  <si>
    <t>13-08-2024</t>
  </si>
  <si>
    <t>12-08-2020</t>
  </si>
  <si>
    <t>31-12-2023</t>
  </si>
  <si>
    <t>30-09-2021</t>
  </si>
  <si>
    <t>17-03-2021</t>
  </si>
  <si>
    <t>18-04-2023</t>
  </si>
  <si>
    <t>06-06-2018</t>
  </si>
  <si>
    <t>18-09-2019</t>
  </si>
  <si>
    <t>07-01-2021</t>
  </si>
  <si>
    <t>18-03-2018</t>
  </si>
  <si>
    <t>27-01-2023</t>
  </si>
  <si>
    <t>06-02-2020</t>
  </si>
  <si>
    <t>23-10-2019</t>
  </si>
  <si>
    <t>21-11-2020</t>
  </si>
  <si>
    <t>05-07-2022</t>
  </si>
  <si>
    <t>09-02-2021</t>
  </si>
  <si>
    <t>18-09-2023</t>
  </si>
  <si>
    <t>27-01-2025</t>
  </si>
  <si>
    <t>03-09-2021</t>
  </si>
  <si>
    <t>16-06-2023</t>
  </si>
  <si>
    <t>29-07-2021</t>
  </si>
  <si>
    <t>13-02-2019</t>
  </si>
  <si>
    <t>14-05-2023</t>
  </si>
  <si>
    <t>11-10-2021</t>
  </si>
  <si>
    <t>26-06-2019</t>
  </si>
  <si>
    <t>19-11-2018</t>
  </si>
  <si>
    <t>12-02-2021</t>
  </si>
  <si>
    <t>19-06-2018</t>
  </si>
  <si>
    <t>05-11-2018</t>
  </si>
  <si>
    <t>10-02-2025</t>
  </si>
  <si>
    <t>01-02-2018</t>
  </si>
  <si>
    <t>18-11-2018</t>
  </si>
  <si>
    <t>14-12-2021</t>
  </si>
  <si>
    <t>07-06-2023</t>
  </si>
  <si>
    <t>13-01-2019</t>
  </si>
  <si>
    <t>17-11-2023</t>
  </si>
  <si>
    <t>07-05-2018</t>
  </si>
  <si>
    <t>19-04-2018</t>
  </si>
  <si>
    <t>30-08-2021</t>
  </si>
  <si>
    <t>22-04-2021</t>
  </si>
  <si>
    <t>11-06-2022</t>
  </si>
  <si>
    <t>23-01-2019</t>
  </si>
  <si>
    <t>08-05-2020</t>
  </si>
  <si>
    <t>21-05-2018</t>
  </si>
  <si>
    <t>22-02-2023</t>
  </si>
  <si>
    <t>11-03-2019</t>
  </si>
  <si>
    <t>15-10-2021</t>
  </si>
  <si>
    <t>26-05-2020</t>
  </si>
  <si>
    <t>24-09-2021</t>
  </si>
  <si>
    <t>08-09-2018</t>
  </si>
  <si>
    <t>23-09-2021</t>
  </si>
  <si>
    <t>09-12-2018</t>
  </si>
  <si>
    <t>31-03-2019</t>
  </si>
  <si>
    <t>09-10-2019</t>
  </si>
  <si>
    <t>20-09-2018</t>
  </si>
  <si>
    <t>13-12-2018</t>
  </si>
  <si>
    <t>01-05-2019</t>
  </si>
  <si>
    <t>10-10-2024</t>
  </si>
  <si>
    <t>06-03-2020</t>
  </si>
  <si>
    <t>20-03-2022</t>
  </si>
  <si>
    <t>02-09-2020</t>
  </si>
  <si>
    <t>07-09-2024</t>
  </si>
  <si>
    <t>02-01-2025</t>
  </si>
  <si>
    <t>09-04-2023</t>
  </si>
  <si>
    <t>11-08-2021</t>
  </si>
  <si>
    <t>15-07-2020</t>
  </si>
  <si>
    <t>10-04-2023</t>
  </si>
  <si>
    <t>01-01-2018</t>
  </si>
  <si>
    <t>12-05-2021</t>
  </si>
  <si>
    <t>22-09-2024</t>
  </si>
  <si>
    <t>06-01-2021</t>
  </si>
  <si>
    <t>25-03-2019</t>
  </si>
  <si>
    <t>06-12-2020</t>
  </si>
  <si>
    <t>10-10-2018</t>
  </si>
  <si>
    <t>02-09-2024</t>
  </si>
  <si>
    <t>24-02-2020</t>
  </si>
  <si>
    <t>27-08-2022</t>
  </si>
  <si>
    <t>08-06-2019</t>
  </si>
  <si>
    <t>23-03-2022</t>
  </si>
  <si>
    <t>06-08-2023</t>
  </si>
  <si>
    <t>23-11-2021</t>
  </si>
  <si>
    <t>30-05-2020</t>
  </si>
  <si>
    <t>09-06-2022</t>
  </si>
  <si>
    <t>04-02-2023</t>
  </si>
  <si>
    <t>09-05-2022</t>
  </si>
  <si>
    <t>14-07-2022</t>
  </si>
  <si>
    <t>26-06-2023</t>
  </si>
  <si>
    <t>15-02-2020</t>
  </si>
  <si>
    <t>21-06-2021</t>
  </si>
  <si>
    <t>09-07-2019</t>
  </si>
  <si>
    <t>13-07-2023</t>
  </si>
  <si>
    <t>13-10-2024</t>
  </si>
  <si>
    <t>02-02-2019</t>
  </si>
  <si>
    <t>18-12-2024</t>
  </si>
  <si>
    <t>28-06-2024</t>
  </si>
  <si>
    <t>13-10-2021</t>
  </si>
  <si>
    <t>25-07-2024</t>
  </si>
  <si>
    <t>11-08-2024</t>
  </si>
  <si>
    <t>11-11-2020</t>
  </si>
  <si>
    <t>23-08-2021</t>
  </si>
  <si>
    <t>03-01-2025</t>
  </si>
  <si>
    <t>31-03-2023</t>
  </si>
  <si>
    <t>29-03-2019</t>
  </si>
  <si>
    <t>14-04-2018</t>
  </si>
  <si>
    <t>09-07-2024</t>
  </si>
  <si>
    <t>18-08-2019</t>
  </si>
  <si>
    <t>05-04-2024</t>
  </si>
  <si>
    <t>28-11-2020</t>
  </si>
  <si>
    <t>09-06-2023</t>
  </si>
  <si>
    <t>28-02-2022</t>
  </si>
  <si>
    <t>10-10-2022</t>
  </si>
  <si>
    <t>21-03-2024</t>
  </si>
  <si>
    <t>19-03-2020</t>
  </si>
  <si>
    <t>23-06-2024</t>
  </si>
  <si>
    <t>08-08-2018</t>
  </si>
  <si>
    <t>07-02-2021</t>
  </si>
  <si>
    <t>19-06-2022</t>
  </si>
  <si>
    <t>02-11-2021</t>
  </si>
  <si>
    <t>01-09-2018</t>
  </si>
  <si>
    <t>10-02-2023</t>
  </si>
  <si>
    <t>09-08-2021</t>
  </si>
  <si>
    <t>10-09-2020</t>
  </si>
  <si>
    <t>05-02-2018</t>
  </si>
  <si>
    <t>20-12-2024</t>
  </si>
  <si>
    <t>19-10-2024</t>
  </si>
  <si>
    <t>11-06-2023</t>
  </si>
  <si>
    <t>25-08-2024</t>
  </si>
  <si>
    <t>07-07-2023</t>
  </si>
  <si>
    <t>03-10-2018</t>
  </si>
  <si>
    <t>06-04-2020</t>
  </si>
  <si>
    <t>08-12-2023</t>
  </si>
  <si>
    <t>22-06-2022</t>
  </si>
  <si>
    <t>04-03-2018</t>
  </si>
  <si>
    <t>24-03-2023</t>
  </si>
  <si>
    <t>02-05-2020</t>
  </si>
  <si>
    <t>27-11-2024</t>
  </si>
  <si>
    <t>26-08-2022</t>
  </si>
  <si>
    <t>16-11-2019</t>
  </si>
  <si>
    <t>04-12-2019</t>
  </si>
  <si>
    <t>30-03-2023</t>
  </si>
  <si>
    <t>22-05-2020</t>
  </si>
  <si>
    <t>11-10-2018</t>
  </si>
  <si>
    <t>22-06-2024</t>
  </si>
  <si>
    <t>27-01-2021</t>
  </si>
  <si>
    <t>11-08-2018</t>
  </si>
  <si>
    <t>31-12-2020</t>
  </si>
  <si>
    <t>02-04-2023</t>
  </si>
  <si>
    <t>30-09-2020</t>
  </si>
  <si>
    <t>14-09-2019</t>
  </si>
  <si>
    <t>20-12-2018</t>
  </si>
  <si>
    <t>24-05-2019</t>
  </si>
  <si>
    <t>08-03-2022</t>
  </si>
  <si>
    <t>02-05-2018</t>
  </si>
  <si>
    <t>03-02-2024</t>
  </si>
  <si>
    <t>30-05-2021</t>
  </si>
  <si>
    <t>22-07-2023</t>
  </si>
  <si>
    <t>01-05-2023</t>
  </si>
  <si>
    <t>31-01-2022</t>
  </si>
  <si>
    <t>04-06-2018</t>
  </si>
  <si>
    <t>08-10-2019</t>
  </si>
  <si>
    <t>24-03-2020</t>
  </si>
  <si>
    <t>10-12-2024</t>
  </si>
  <si>
    <t>29-04-2021</t>
  </si>
  <si>
    <t>05-11-2023</t>
  </si>
  <si>
    <t>12-11-2022</t>
  </si>
  <si>
    <t>11-02-2018</t>
  </si>
  <si>
    <t>31-08-2018</t>
  </si>
  <si>
    <t>19-07-2018</t>
  </si>
  <si>
    <t>18-02-2018</t>
  </si>
  <si>
    <t>25-01-2022</t>
  </si>
  <si>
    <t>22-03-2023</t>
  </si>
  <si>
    <t>06-11-2018</t>
  </si>
  <si>
    <t>06-01-2019</t>
  </si>
  <si>
    <t>07-02-2025</t>
  </si>
  <si>
    <t>24-07-2023</t>
  </si>
  <si>
    <t>25-12-2019</t>
  </si>
  <si>
    <t>05-12-2021</t>
  </si>
  <si>
    <t>21-08-2024</t>
  </si>
  <si>
    <t>14-10-2021</t>
  </si>
  <si>
    <t>31-05-2019</t>
  </si>
  <si>
    <t>30-01-2022</t>
  </si>
  <si>
    <t>08-03-2024</t>
  </si>
  <si>
    <t>14-04-2022</t>
  </si>
  <si>
    <t>14-07-2024</t>
  </si>
  <si>
    <t>04-04-2023</t>
  </si>
  <si>
    <t>05-12-2023</t>
  </si>
  <si>
    <t>06-01-2020</t>
  </si>
  <si>
    <t>09-02-2023</t>
  </si>
  <si>
    <t>22-07-2020</t>
  </si>
  <si>
    <t>05-09-2020</t>
  </si>
  <si>
    <t>12-01-2020</t>
  </si>
  <si>
    <t>22-12-2019</t>
  </si>
  <si>
    <t>15-05-2022</t>
  </si>
  <si>
    <t>18-08-2023</t>
  </si>
  <si>
    <t>11-11-2024</t>
  </si>
  <si>
    <t>20-04-2019</t>
  </si>
  <si>
    <t>12-04-2021</t>
  </si>
  <si>
    <t>16-10-2022</t>
  </si>
  <si>
    <t>11-01-2024</t>
  </si>
  <si>
    <t>11-05-2020</t>
  </si>
  <si>
    <t>05-02-2022</t>
  </si>
  <si>
    <t>01-01-2023</t>
  </si>
  <si>
    <t>12-01-2018</t>
  </si>
  <si>
    <t>24-10-2018</t>
  </si>
  <si>
    <t>25-12-2021</t>
  </si>
  <si>
    <t>10-12-2019</t>
  </si>
  <si>
    <t>02-10-2018</t>
  </si>
  <si>
    <t>04-07-2024</t>
  </si>
  <si>
    <t>06-02-2019</t>
  </si>
  <si>
    <t>30-05-2023</t>
  </si>
  <si>
    <t>27-06-2024</t>
  </si>
  <si>
    <t>19-02-2021</t>
  </si>
  <si>
    <t>24-12-2020</t>
  </si>
  <si>
    <t>10-03-2022</t>
  </si>
  <si>
    <t>15-02-2018</t>
  </si>
  <si>
    <t>26-07-2022</t>
  </si>
  <si>
    <t>15-12-2018</t>
  </si>
  <si>
    <t>30-08-2023</t>
  </si>
  <si>
    <t>12-01-2021</t>
  </si>
  <si>
    <t>21-07-2019</t>
  </si>
  <si>
    <t>15-03-2023</t>
  </si>
  <si>
    <t>21-03-2019</t>
  </si>
  <si>
    <t>06-06-2022</t>
  </si>
  <si>
    <t>21-10-2019</t>
  </si>
  <si>
    <t>26-10-2024</t>
  </si>
  <si>
    <t>05-07-2019</t>
  </si>
  <si>
    <t>14-12-2020</t>
  </si>
  <si>
    <t>27-11-2023</t>
  </si>
  <si>
    <t>26-12-2022</t>
  </si>
  <si>
    <t>14-01-2024</t>
  </si>
  <si>
    <t>26-10-2020</t>
  </si>
  <si>
    <t>11-07-2019</t>
  </si>
  <si>
    <t>17-09-2021</t>
  </si>
  <si>
    <t>08-02-2024</t>
  </si>
  <si>
    <t>04-08-2019</t>
  </si>
  <si>
    <t>15-01-2019</t>
  </si>
  <si>
    <t>26-11-2023</t>
  </si>
  <si>
    <t>14-09-2022</t>
  </si>
  <si>
    <t>27-08-2021</t>
  </si>
  <si>
    <t>10-05-2023</t>
  </si>
  <si>
    <t>20-10-2021</t>
  </si>
  <si>
    <t>02-03-2019</t>
  </si>
  <si>
    <t>10-02-2018</t>
  </si>
  <si>
    <t>02-02-2020</t>
  </si>
  <si>
    <t>08-11-2024</t>
  </si>
  <si>
    <t>08-06-2020</t>
  </si>
  <si>
    <t>30-01-2025</t>
  </si>
  <si>
    <t>09-10-2024</t>
  </si>
  <si>
    <t>16-04-2018</t>
  </si>
  <si>
    <t>18-08-2021</t>
  </si>
  <si>
    <t>12-06-2019</t>
  </si>
  <si>
    <t>19-03-2023</t>
  </si>
  <si>
    <t>09-11-2019</t>
  </si>
  <si>
    <t>21-10-2020</t>
  </si>
  <si>
    <t>30-03-2022</t>
  </si>
  <si>
    <t>26-08-2024</t>
  </si>
  <si>
    <t>24-04-2021</t>
  </si>
  <si>
    <t>03-06-2022</t>
  </si>
  <si>
    <t>30-10-2023</t>
  </si>
  <si>
    <t>02-04-2022</t>
  </si>
  <si>
    <t>26-05-2019</t>
  </si>
  <si>
    <t>23-11-2019</t>
  </si>
  <si>
    <t>02-08-2019</t>
  </si>
  <si>
    <t>26-02-2020</t>
  </si>
  <si>
    <t>19-06-2019</t>
  </si>
  <si>
    <t>30-08-2018</t>
  </si>
  <si>
    <t>13-05-2023</t>
  </si>
  <si>
    <t>05-02-2024</t>
  </si>
  <si>
    <t>24-05-2022</t>
  </si>
  <si>
    <t>03-07-2019</t>
  </si>
  <si>
    <t>06-04-2019</t>
  </si>
  <si>
    <t>29-01-2023</t>
  </si>
  <si>
    <t>17-03-2020</t>
  </si>
  <si>
    <t>03-06-2024</t>
  </si>
  <si>
    <t>19-04-2019</t>
  </si>
  <si>
    <t>25-11-2020</t>
  </si>
  <si>
    <t>06-10-2024</t>
  </si>
  <si>
    <t>15-08-2020</t>
  </si>
  <si>
    <t>26-06-2018</t>
  </si>
  <si>
    <t>04-02-2019</t>
  </si>
  <si>
    <t>06-03-2021</t>
  </si>
  <si>
    <t>24-01-2022</t>
  </si>
  <si>
    <t>18-01-2022</t>
  </si>
  <si>
    <t>17-07-2024</t>
  </si>
  <si>
    <t>24-08-2020</t>
  </si>
  <si>
    <t>30-03-2018</t>
  </si>
  <si>
    <t>16-10-2021</t>
  </si>
  <si>
    <t>18-01-2020</t>
  </si>
  <si>
    <t>03-02-2023</t>
  </si>
  <si>
    <t>24-02-2019</t>
  </si>
  <si>
    <t>30-05-2022</t>
  </si>
  <si>
    <t>07-03-2019</t>
  </si>
  <si>
    <t>20-06-2024</t>
  </si>
  <si>
    <t>10-03-2018</t>
  </si>
  <si>
    <t>09-04-2018</t>
  </si>
  <si>
    <t>19-01-2021</t>
  </si>
  <si>
    <t>01-08-2018</t>
  </si>
  <si>
    <t>28-10-2022</t>
  </si>
  <si>
    <t>01-12-2022</t>
  </si>
  <si>
    <t>16-09-2020</t>
  </si>
  <si>
    <t>13-10-2022</t>
  </si>
  <si>
    <t>08-03-2020</t>
  </si>
  <si>
    <t>07-06-2024</t>
  </si>
  <si>
    <t>23-07-2020</t>
  </si>
  <si>
    <t>07-10-2022</t>
  </si>
  <si>
    <t>05-08-2024</t>
  </si>
  <si>
    <t>06-07-2020</t>
  </si>
  <si>
    <t>24-06-2022</t>
  </si>
  <si>
    <t>05-05-2022</t>
  </si>
  <si>
    <t>24-11-2022</t>
  </si>
  <si>
    <t>02-09-2021</t>
  </si>
  <si>
    <t>17-01-2019</t>
  </si>
  <si>
    <t>08-07-2023</t>
  </si>
  <si>
    <t>08-12-2022</t>
  </si>
  <si>
    <t>14-08-2021</t>
  </si>
  <si>
    <t>11-10-2023</t>
  </si>
  <si>
    <t>09-04-2021</t>
  </si>
  <si>
    <t>21-03-2021</t>
  </si>
  <si>
    <t>12-03-2018</t>
  </si>
  <si>
    <t>13-12-2023</t>
  </si>
  <si>
    <t>28-03-2022</t>
  </si>
  <si>
    <t>31-07-2023</t>
  </si>
  <si>
    <t>15-08-2019</t>
  </si>
  <si>
    <t>27-12-2024</t>
  </si>
  <si>
    <t>21-06-2023</t>
  </si>
  <si>
    <t>31-08-2022</t>
  </si>
  <si>
    <t>11-04-2021</t>
  </si>
  <si>
    <t>16-01-2022</t>
  </si>
  <si>
    <t>18-08-2024</t>
  </si>
  <si>
    <t>31-08-2023</t>
  </si>
  <si>
    <t>03-01-2020</t>
  </si>
  <si>
    <t>22-12-2022</t>
  </si>
  <si>
    <t>27-04-2022</t>
  </si>
  <si>
    <t>22-05-2019</t>
  </si>
  <si>
    <t>19-01-2019</t>
  </si>
  <si>
    <t>02-12-2024</t>
  </si>
  <si>
    <t>21-01-2019</t>
  </si>
  <si>
    <t>09-04-2024</t>
  </si>
  <si>
    <t>22-02-2021</t>
  </si>
  <si>
    <t>24-10-2021</t>
  </si>
  <si>
    <t>28-03-2023</t>
  </si>
  <si>
    <t>16-02-2019</t>
  </si>
  <si>
    <t>28-02-2023</t>
  </si>
  <si>
    <t>07-04-2024</t>
  </si>
  <si>
    <t>15-11-2021</t>
  </si>
  <si>
    <t>31-07-2024</t>
  </si>
  <si>
    <t>13-01-2018</t>
  </si>
  <si>
    <t>28-02-2020</t>
  </si>
  <si>
    <t>07-09-2020</t>
  </si>
  <si>
    <t>01-11-2024</t>
  </si>
  <si>
    <t>16-07-2023</t>
  </si>
  <si>
    <t>01-10-2018</t>
  </si>
  <si>
    <t>14-03-2021</t>
  </si>
  <si>
    <t>23-06-2019</t>
  </si>
  <si>
    <t>27-01-2018</t>
  </si>
  <si>
    <t>13-07-2019</t>
  </si>
  <si>
    <t>21-07-2022</t>
  </si>
  <si>
    <t>24-07-2019</t>
  </si>
  <si>
    <t>20-12-2021</t>
  </si>
  <si>
    <t>11-01-2025</t>
  </si>
  <si>
    <t>29-03-2024</t>
  </si>
  <si>
    <t>14-04-2020</t>
  </si>
  <si>
    <t>26-07-2021</t>
  </si>
  <si>
    <t>01-09-2024</t>
  </si>
  <si>
    <t>01-05-2020</t>
  </si>
  <si>
    <t>11-08-2020</t>
  </si>
  <si>
    <t>20-09-2019</t>
  </si>
  <si>
    <t>27-02-2023</t>
  </si>
  <si>
    <t>11-02-2023</t>
  </si>
  <si>
    <t>11-08-2023</t>
  </si>
  <si>
    <t>04-07-2021</t>
  </si>
  <si>
    <t>21-09-2020</t>
  </si>
  <si>
    <t>06-04-2018</t>
  </si>
  <si>
    <t>12-04-2019</t>
  </si>
  <si>
    <t>26-07-2020</t>
  </si>
  <si>
    <t>25-02-2020</t>
  </si>
  <si>
    <t>26-04-2018</t>
  </si>
  <si>
    <t>24-04-2018</t>
  </si>
  <si>
    <t>01-10-2020</t>
  </si>
  <si>
    <t>03-05-2022</t>
  </si>
  <si>
    <t>CITY</t>
  </si>
  <si>
    <t>Attrition</t>
  </si>
  <si>
    <t>Count of EmployeeID</t>
  </si>
  <si>
    <t>Row Labels</t>
  </si>
  <si>
    <t>Grand Total</t>
  </si>
  <si>
    <t>Count of Attrition</t>
  </si>
  <si>
    <t>Average of Age</t>
  </si>
  <si>
    <t>Total Employees</t>
  </si>
  <si>
    <t>attrtion rate</t>
  </si>
  <si>
    <t>active employees</t>
  </si>
  <si>
    <t>atttrtion count</t>
  </si>
  <si>
    <t>Average of PerformanceRating</t>
  </si>
  <si>
    <t>total rating</t>
  </si>
  <si>
    <t>rating</t>
  </si>
  <si>
    <t>blance rating</t>
  </si>
  <si>
    <t xml:space="preserve"> </t>
  </si>
  <si>
    <t>male</t>
  </si>
  <si>
    <t>Jobrole</t>
  </si>
  <si>
    <t>Age_Group</t>
  </si>
  <si>
    <t>18-24</t>
  </si>
  <si>
    <t>25-29</t>
  </si>
  <si>
    <t>30-34</t>
  </si>
  <si>
    <t>35-39</t>
  </si>
  <si>
    <t>40-49</t>
  </si>
  <si>
    <t>50+</t>
  </si>
  <si>
    <t>Count of CITY</t>
  </si>
  <si>
    <t>Column Labels</t>
  </si>
  <si>
    <t>z</t>
  </si>
  <si>
    <t>attrition count</t>
  </si>
  <si>
    <t>Average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</si>
</sst>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 #,##0"/>
    <numFmt numFmtId="165" formatCode="[$-14009]dd/mm/yyyy;@"/>
    <numFmt numFmtId="166" formatCode="0.0"/>
  </numFmts>
  <fonts count="5" x14ac:knownFonts="1">
    <font>
      <sz val="11"/>
      <color theme="1"/>
      <name val="Calibri"/>
      <family val="2"/>
      <scheme val="minor"/>
    </font>
    <font>
      <sz val="11"/>
      <color theme="1"/>
      <name val="Calibri"/>
      <family val="2"/>
      <scheme val="minor"/>
    </font>
    <font>
      <b/>
      <sz val="11"/>
      <color theme="1"/>
      <name val="Calibri"/>
      <family val="2"/>
      <scheme val="minor"/>
    </font>
    <font>
      <sz val="25"/>
      <color theme="1"/>
      <name val="Bodoni MT Black"/>
      <family val="1"/>
    </font>
    <font>
      <sz val="12"/>
      <color rgb="FF000000"/>
      <name val="Bodoni MT Black"/>
      <family val="1"/>
    </font>
  </fonts>
  <fills count="5">
    <fill>
      <patternFill patternType="none"/>
    </fill>
    <fill>
      <patternFill patternType="gray125"/>
    </fill>
    <fill>
      <patternFill patternType="solid">
        <fgColor theme="1"/>
        <bgColor indexed="64"/>
      </patternFill>
    </fill>
    <fill>
      <patternFill patternType="solid">
        <fgColor theme="0"/>
        <bgColor indexed="64"/>
      </patternFill>
    </fill>
    <fill>
      <patternFill patternType="solid">
        <fgColor rgb="FFFFFFFF"/>
      </patternFill>
    </fill>
  </fills>
  <borders count="9">
    <border>
      <left/>
      <right/>
      <top/>
      <bottom/>
      <diagonal/>
    </border>
    <border>
      <left style="thick">
        <color rgb="FF3F4F63"/>
      </left>
      <right/>
      <top style="thick">
        <color rgb="FF3F4F63"/>
      </top>
      <bottom/>
      <diagonal/>
    </border>
    <border>
      <left/>
      <right/>
      <top style="thick">
        <color rgb="FF3F4F63"/>
      </top>
      <bottom/>
      <diagonal/>
    </border>
    <border>
      <left/>
      <right style="thick">
        <color rgb="FF3F4F63"/>
      </right>
      <top style="thick">
        <color rgb="FF3F4F63"/>
      </top>
      <bottom/>
      <diagonal/>
    </border>
    <border>
      <left style="thick">
        <color rgb="FF3F4F63"/>
      </left>
      <right/>
      <top/>
      <bottom/>
      <diagonal/>
    </border>
    <border>
      <left/>
      <right style="thick">
        <color rgb="FF3F4F63"/>
      </right>
      <top/>
      <bottom/>
      <diagonal/>
    </border>
    <border>
      <left style="thick">
        <color rgb="FF3F4F63"/>
      </left>
      <right/>
      <top/>
      <bottom style="thick">
        <color rgb="FF3F4F63"/>
      </bottom>
      <diagonal/>
    </border>
    <border>
      <left/>
      <right/>
      <top/>
      <bottom style="thick">
        <color rgb="FF3F4F63"/>
      </bottom>
      <diagonal/>
    </border>
    <border>
      <left/>
      <right style="thick">
        <color rgb="FF3F4F63"/>
      </right>
      <top/>
      <bottom style="thick">
        <color rgb="FF3F4F63"/>
      </bottom>
      <diagonal/>
    </border>
  </borders>
  <cellStyleXfs count="2">
    <xf numFmtId="0" fontId="0" fillId="0" borderId="0"/>
    <xf numFmtId="9" fontId="1" fillId="0" borderId="0" applyFont="0" applyFill="0" applyBorder="0" applyAlignment="0" applyProtection="0"/>
  </cellStyleXfs>
  <cellXfs count="36">
    <xf numFmtId="0" fontId="0" fillId="0" borderId="0" xfId="0"/>
    <xf numFmtId="164" fontId="0" fillId="0" borderId="0" xfId="0" applyNumberFormat="1"/>
    <xf numFmtId="164" fontId="0" fillId="0" borderId="0" xfId="0" applyNumberFormat="1" applyAlignment="1">
      <alignment horizontal="left" indent="2"/>
    </xf>
    <xf numFmtId="0" fontId="0" fillId="0" borderId="0" xfId="0" applyAlignment="1">
      <alignment horizontal="left" indent="7"/>
    </xf>
    <xf numFmtId="0" fontId="0" fillId="2" borderId="0" xfId="0" applyFill="1"/>
    <xf numFmtId="164" fontId="0" fillId="2" borderId="0" xfId="0" applyNumberFormat="1" applyFill="1"/>
    <xf numFmtId="0" fontId="0" fillId="2" borderId="0" xfId="0" applyFill="1" applyAlignment="1">
      <alignment horizontal="center"/>
    </xf>
    <xf numFmtId="0" fontId="0" fillId="0" borderId="0" xfId="0" applyAlignment="1">
      <alignment horizontal="center"/>
    </xf>
    <xf numFmtId="1" fontId="0" fillId="2" borderId="0" xfId="0" applyNumberFormat="1" applyFill="1" applyAlignment="1">
      <alignment horizontal="center"/>
    </xf>
    <xf numFmtId="1" fontId="0" fillId="0" borderId="0" xfId="0" applyNumberFormat="1" applyAlignment="1">
      <alignment horizontal="center"/>
    </xf>
    <xf numFmtId="165" fontId="0" fillId="2" borderId="0" xfId="0" applyNumberFormat="1" applyFill="1"/>
    <xf numFmtId="165" fontId="0" fillId="0" borderId="0" xfId="0" applyNumberFormat="1"/>
    <xf numFmtId="0" fontId="0" fillId="3" borderId="0" xfId="0" applyFill="1"/>
    <xf numFmtId="0" fontId="0" fillId="0" borderId="0" xfId="0" pivotButton="1"/>
    <xf numFmtId="0" fontId="0" fillId="0" borderId="0" xfId="0" applyAlignment="1">
      <alignment horizontal="left"/>
    </xf>
    <xf numFmtId="0" fontId="2" fillId="0" borderId="0" xfId="0" applyFont="1"/>
    <xf numFmtId="166" fontId="0" fillId="0" borderId="0" xfId="0" applyNumberFormat="1"/>
    <xf numFmtId="1" fontId="0" fillId="0" borderId="0" xfId="0" applyNumberFormat="1"/>
    <xf numFmtId="9" fontId="0" fillId="0" borderId="0" xfId="1" applyFont="1"/>
    <xf numFmtId="9" fontId="0" fillId="0" borderId="0" xfId="1" applyFont="1" applyAlignment="1">
      <alignment horizontal="center"/>
    </xf>
    <xf numFmtId="166" fontId="0" fillId="0" borderId="0" xfId="0" applyNumberFormat="1" applyAlignment="1">
      <alignment horizontal="left"/>
    </xf>
    <xf numFmtId="0" fontId="4" fillId="0" borderId="0" xfId="0" applyFont="1"/>
    <xf numFmtId="10" fontId="0" fillId="0" borderId="0" xfId="0" applyNumberFormat="1"/>
    <xf numFmtId="0" fontId="0" fillId="0" borderId="0" xfId="1" applyNumberFormat="1" applyFont="1"/>
    <xf numFmtId="0" fontId="0" fillId="4" borderId="1" xfId="0" applyFill="1" applyBorder="1" applyAlignment="1">
      <alignment horizontal="center" vertical="top" wrapText="1"/>
    </xf>
    <xf numFmtId="0" fontId="0" fillId="4" borderId="2" xfId="0" applyFill="1" applyBorder="1"/>
    <xf numFmtId="0" fontId="0" fillId="4" borderId="3" xfId="0" applyFill="1" applyBorder="1"/>
    <xf numFmtId="0" fontId="0" fillId="4" borderId="4" xfId="0" applyFill="1" applyBorder="1"/>
    <xf numFmtId="0" fontId="0" fillId="4" borderId="0" xfId="0" applyFill="1"/>
    <xf numFmtId="0" fontId="0" fillId="4" borderId="5" xfId="0" applyFill="1" applyBorder="1"/>
    <xf numFmtId="0" fontId="0" fillId="4" borderId="6" xfId="0" applyFill="1" applyBorder="1"/>
    <xf numFmtId="0" fontId="0" fillId="4" borderId="7" xfId="0" applyFill="1" applyBorder="1"/>
    <xf numFmtId="0" fontId="0" fillId="4" borderId="8" xfId="0" applyFill="1" applyBorder="1"/>
    <xf numFmtId="0" fontId="3" fillId="4" borderId="1" xfId="0" applyFont="1" applyFill="1" applyBorder="1" applyAlignment="1">
      <alignment horizontal="center" vertical="top" wrapText="1"/>
    </xf>
    <xf numFmtId="0" fontId="0" fillId="0" borderId="0" xfId="0" applyNumberFormat="1"/>
    <xf numFmtId="0" fontId="0" fillId="0" borderId="0" xfId="0" applyNumberFormat="1" applyAlignment="1">
      <alignment horizontal="center"/>
    </xf>
  </cellXfs>
  <cellStyles count="2">
    <cellStyle name="Normal" xfId="0" builtinId="0"/>
    <cellStyle name="Percent" xfId="1" builtinId="5"/>
  </cellStyles>
  <dxfs count="793">
    <dxf>
      <numFmt numFmtId="1" formatCode="0"/>
    </dxf>
    <dxf>
      <numFmt numFmtId="166" formatCode="0.0"/>
    </dxf>
    <dxf>
      <alignment horizontal="center"/>
    </dxf>
    <dxf>
      <alignment horizontal="center"/>
    </dxf>
    <dxf>
      <alignment horizontal="center"/>
    </dxf>
    <dxf>
      <numFmt numFmtId="0" formatCode="General"/>
    </dxf>
    <dxf>
      <numFmt numFmtId="14" formatCode="0.00%"/>
    </dxf>
    <dxf>
      <alignment horizontal="center"/>
    </dxf>
    <dxf>
      <alignment horizontal="center"/>
    </dxf>
    <dxf>
      <numFmt numFmtId="1" formatCode="0"/>
    </dxf>
    <dxf>
      <numFmt numFmtId="166" formatCode="0.0"/>
    </dxf>
    <dxf>
      <alignment horizontal="center"/>
    </dxf>
    <dxf>
      <alignment horizontal="center"/>
    </dxf>
    <dxf>
      <alignment horizontal="center"/>
    </dxf>
    <dxf>
      <numFmt numFmtId="0" formatCode="General"/>
    </dxf>
    <dxf>
      <numFmt numFmtId="14" formatCode="0.00%"/>
    </dxf>
    <dxf>
      <alignment horizontal="center"/>
    </dxf>
    <dxf>
      <alignment horizontal="center"/>
    </dxf>
    <dxf>
      <numFmt numFmtId="1" formatCode="0"/>
    </dxf>
    <dxf>
      <numFmt numFmtId="166" formatCode="0.0"/>
    </dxf>
    <dxf>
      <alignment horizontal="center"/>
    </dxf>
    <dxf>
      <alignment horizontal="center"/>
    </dxf>
    <dxf>
      <alignment horizontal="center"/>
    </dxf>
    <dxf>
      <numFmt numFmtId="0" formatCode="General"/>
    </dxf>
    <dxf>
      <numFmt numFmtId="14" formatCode="0.00%"/>
    </dxf>
    <dxf>
      <alignment horizontal="center"/>
    </dxf>
    <dxf>
      <alignment horizontal="center"/>
    </dxf>
    <dxf>
      <numFmt numFmtId="1" formatCode="0"/>
    </dxf>
    <dxf>
      <numFmt numFmtId="166" formatCode="0.0"/>
    </dxf>
    <dxf>
      <alignment horizontal="center"/>
    </dxf>
    <dxf>
      <alignment horizontal="center"/>
    </dxf>
    <dxf>
      <alignment horizontal="center"/>
    </dxf>
    <dxf>
      <numFmt numFmtId="0" formatCode="General"/>
    </dxf>
    <dxf>
      <numFmt numFmtId="14" formatCode="0.00%"/>
    </dxf>
    <dxf>
      <alignment horizontal="center"/>
    </dxf>
    <dxf>
      <alignment horizontal="center"/>
    </dxf>
    <dxf>
      <numFmt numFmtId="166" formatCode="0.0"/>
    </dxf>
    <dxf>
      <numFmt numFmtId="1" formatCode="0"/>
    </dxf>
    <dxf>
      <alignment horizontal="center"/>
    </dxf>
    <dxf>
      <alignment horizontal="center"/>
    </dxf>
    <dxf>
      <alignment horizontal="center"/>
    </dxf>
    <dxf>
      <numFmt numFmtId="0" formatCode="General"/>
    </dxf>
    <dxf>
      <numFmt numFmtId="14" formatCode="0.00%"/>
    </dxf>
    <dxf>
      <alignment horizontal="center"/>
    </dxf>
    <dxf>
      <alignment horizontal="center"/>
    </dxf>
    <dxf>
      <numFmt numFmtId="1" formatCode="0"/>
    </dxf>
    <dxf>
      <numFmt numFmtId="166" formatCode="0.0"/>
    </dxf>
    <dxf>
      <alignment horizontal="center"/>
    </dxf>
    <dxf>
      <alignment horizontal="center"/>
    </dxf>
    <dxf>
      <alignment horizontal="center"/>
    </dxf>
    <dxf>
      <numFmt numFmtId="0" formatCode="General"/>
    </dxf>
    <dxf>
      <numFmt numFmtId="14" formatCode="0.00%"/>
    </dxf>
    <dxf>
      <alignment horizontal="center"/>
    </dxf>
    <dxf>
      <alignment horizontal="center"/>
    </dxf>
    <dxf>
      <numFmt numFmtId="166" formatCode="0.0"/>
    </dxf>
    <dxf>
      <numFmt numFmtId="1" formatCode="0"/>
    </dxf>
    <dxf>
      <alignment horizontal="center"/>
    </dxf>
    <dxf>
      <alignment horizontal="center"/>
    </dxf>
    <dxf>
      <alignment horizontal="center"/>
    </dxf>
    <dxf>
      <numFmt numFmtId="0" formatCode="General"/>
    </dxf>
    <dxf>
      <numFmt numFmtId="14" formatCode="0.00%"/>
    </dxf>
    <dxf>
      <alignment horizontal="center"/>
    </dxf>
    <dxf>
      <alignment horizontal="center"/>
    </dxf>
    <dxf>
      <numFmt numFmtId="166" formatCode="0.0"/>
    </dxf>
    <dxf>
      <numFmt numFmtId="1" formatCode="0"/>
    </dxf>
    <dxf>
      <alignment horizontal="center"/>
    </dxf>
    <dxf>
      <alignment horizontal="center"/>
    </dxf>
    <dxf>
      <alignment horizontal="center"/>
    </dxf>
    <dxf>
      <numFmt numFmtId="0" formatCode="General"/>
    </dxf>
    <dxf>
      <numFmt numFmtId="14" formatCode="0.00%"/>
    </dxf>
    <dxf>
      <alignment horizontal="center"/>
    </dxf>
    <dxf>
      <alignment horizontal="center"/>
    </dxf>
    <dxf>
      <numFmt numFmtId="1" formatCode="0"/>
    </dxf>
    <dxf>
      <numFmt numFmtId="166" formatCode="0.0"/>
    </dxf>
    <dxf>
      <alignment horizontal="center"/>
    </dxf>
    <dxf>
      <alignment horizontal="center"/>
    </dxf>
    <dxf>
      <alignment horizontal="center"/>
    </dxf>
    <dxf>
      <numFmt numFmtId="0" formatCode="General"/>
    </dxf>
    <dxf>
      <numFmt numFmtId="14" formatCode="0.00%"/>
    </dxf>
    <dxf>
      <alignment horizontal="center"/>
    </dxf>
    <dxf>
      <alignment horizontal="center"/>
    </dxf>
    <dxf>
      <numFmt numFmtId="1" formatCode="0"/>
    </dxf>
    <dxf>
      <numFmt numFmtId="166" formatCode="0.0"/>
    </dxf>
    <dxf>
      <alignment horizontal="center"/>
    </dxf>
    <dxf>
      <alignment horizontal="center"/>
    </dxf>
    <dxf>
      <alignment horizontal="center"/>
    </dxf>
    <dxf>
      <numFmt numFmtId="0" formatCode="General"/>
    </dxf>
    <dxf>
      <numFmt numFmtId="14" formatCode="0.00%"/>
    </dxf>
    <dxf>
      <alignment horizontal="center"/>
    </dxf>
    <dxf>
      <alignment horizontal="center"/>
    </dxf>
    <dxf>
      <numFmt numFmtId="1" formatCode="0"/>
    </dxf>
    <dxf>
      <numFmt numFmtId="166" formatCode="0.0"/>
    </dxf>
    <dxf>
      <alignment horizontal="center"/>
    </dxf>
    <dxf>
      <alignment horizontal="center"/>
    </dxf>
    <dxf>
      <alignment horizontal="center"/>
    </dxf>
    <dxf>
      <numFmt numFmtId="0" formatCode="General"/>
    </dxf>
    <dxf>
      <numFmt numFmtId="14" formatCode="0.00%"/>
    </dxf>
    <dxf>
      <alignment horizontal="center"/>
    </dxf>
    <dxf>
      <alignment horizontal="center"/>
    </dxf>
    <dxf>
      <numFmt numFmtId="1" formatCode="0"/>
    </dxf>
    <dxf>
      <numFmt numFmtId="166" formatCode="0.0"/>
    </dxf>
    <dxf>
      <alignment horizontal="center"/>
    </dxf>
    <dxf>
      <alignment horizontal="center"/>
    </dxf>
    <dxf>
      <alignment horizontal="center"/>
    </dxf>
    <dxf>
      <numFmt numFmtId="0" formatCode="General"/>
    </dxf>
    <dxf>
      <numFmt numFmtId="14" formatCode="0.00%"/>
    </dxf>
    <dxf>
      <alignment horizontal="center"/>
    </dxf>
    <dxf>
      <alignment horizontal="center"/>
    </dxf>
    <dxf>
      <numFmt numFmtId="1" formatCode="0"/>
    </dxf>
    <dxf>
      <numFmt numFmtId="166" formatCode="0.0"/>
    </dxf>
    <dxf>
      <alignment horizontal="center"/>
    </dxf>
    <dxf>
      <alignment horizontal="center"/>
    </dxf>
    <dxf>
      <alignment horizontal="center"/>
    </dxf>
    <dxf>
      <numFmt numFmtId="0" formatCode="General"/>
    </dxf>
    <dxf>
      <numFmt numFmtId="14" formatCode="0.00%"/>
    </dxf>
    <dxf>
      <alignment horizontal="center"/>
    </dxf>
    <dxf>
      <alignment horizontal="center"/>
    </dxf>
    <dxf>
      <numFmt numFmtId="1" formatCode="0"/>
    </dxf>
    <dxf>
      <numFmt numFmtId="166" formatCode="0.0"/>
    </dxf>
    <dxf>
      <alignment horizontal="center"/>
    </dxf>
    <dxf>
      <alignment horizontal="center"/>
    </dxf>
    <dxf>
      <alignment horizontal="center"/>
    </dxf>
    <dxf>
      <numFmt numFmtId="0" formatCode="General"/>
    </dxf>
    <dxf>
      <numFmt numFmtId="14" formatCode="0.00%"/>
    </dxf>
    <dxf>
      <alignment horizontal="center"/>
    </dxf>
    <dxf>
      <alignment horizontal="center"/>
    </dxf>
    <dxf>
      <numFmt numFmtId="1" formatCode="0"/>
    </dxf>
    <dxf>
      <numFmt numFmtId="166" formatCode="0.0"/>
    </dxf>
    <dxf>
      <alignment horizontal="center"/>
    </dxf>
    <dxf>
      <alignment horizontal="center"/>
    </dxf>
    <dxf>
      <alignment horizontal="center"/>
    </dxf>
    <dxf>
      <numFmt numFmtId="0" formatCode="General"/>
    </dxf>
    <dxf>
      <numFmt numFmtId="14" formatCode="0.00%"/>
    </dxf>
    <dxf>
      <alignment horizontal="center"/>
    </dxf>
    <dxf>
      <alignment horizontal="center"/>
    </dxf>
    <dxf>
      <numFmt numFmtId="1" formatCode="0"/>
    </dxf>
    <dxf>
      <numFmt numFmtId="166" formatCode="0.0"/>
    </dxf>
    <dxf>
      <alignment horizontal="center"/>
    </dxf>
    <dxf>
      <alignment horizontal="center"/>
    </dxf>
    <dxf>
      <alignment horizontal="center"/>
    </dxf>
    <dxf>
      <numFmt numFmtId="0" formatCode="General"/>
    </dxf>
    <dxf>
      <numFmt numFmtId="14" formatCode="0.00%"/>
    </dxf>
    <dxf>
      <alignment horizontal="center"/>
    </dxf>
    <dxf>
      <alignment horizontal="center"/>
    </dxf>
    <dxf>
      <numFmt numFmtId="1" formatCode="0"/>
    </dxf>
    <dxf>
      <numFmt numFmtId="166" formatCode="0.0"/>
    </dxf>
    <dxf>
      <alignment horizontal="center"/>
    </dxf>
    <dxf>
      <alignment horizontal="center"/>
    </dxf>
    <dxf>
      <alignment horizontal="center"/>
    </dxf>
    <dxf>
      <numFmt numFmtId="0" formatCode="General"/>
    </dxf>
    <dxf>
      <numFmt numFmtId="14" formatCode="0.00%"/>
    </dxf>
    <dxf>
      <alignment horizontal="center"/>
    </dxf>
    <dxf>
      <alignment horizontal="center"/>
    </dxf>
    <dxf>
      <numFmt numFmtId="1" formatCode="0"/>
    </dxf>
    <dxf>
      <numFmt numFmtId="166" formatCode="0.0"/>
    </dxf>
    <dxf>
      <alignment horizontal="center"/>
    </dxf>
    <dxf>
      <alignment horizontal="center"/>
    </dxf>
    <dxf>
      <alignment horizontal="center"/>
    </dxf>
    <dxf>
      <numFmt numFmtId="0" formatCode="General"/>
    </dxf>
    <dxf>
      <numFmt numFmtId="14" formatCode="0.00%"/>
    </dxf>
    <dxf>
      <alignment horizontal="center"/>
    </dxf>
    <dxf>
      <alignment horizontal="center"/>
    </dxf>
    <dxf>
      <numFmt numFmtId="1" formatCode="0"/>
    </dxf>
    <dxf>
      <numFmt numFmtId="166" formatCode="0.0"/>
    </dxf>
    <dxf>
      <alignment horizontal="center"/>
    </dxf>
    <dxf>
      <alignment horizontal="center"/>
    </dxf>
    <dxf>
      <alignment horizontal="center"/>
    </dxf>
    <dxf>
      <numFmt numFmtId="0" formatCode="General"/>
    </dxf>
    <dxf>
      <numFmt numFmtId="14" formatCode="0.00%"/>
    </dxf>
    <dxf>
      <alignment horizontal="center"/>
    </dxf>
    <dxf>
      <alignment horizontal="center"/>
    </dxf>
    <dxf>
      <numFmt numFmtId="1" formatCode="0"/>
    </dxf>
    <dxf>
      <numFmt numFmtId="166" formatCode="0.0"/>
    </dxf>
    <dxf>
      <alignment horizontal="center"/>
    </dxf>
    <dxf>
      <alignment horizontal="center"/>
    </dxf>
    <dxf>
      <alignment horizontal="center"/>
    </dxf>
    <dxf>
      <numFmt numFmtId="0" formatCode="General"/>
    </dxf>
    <dxf>
      <numFmt numFmtId="14" formatCode="0.00%"/>
    </dxf>
    <dxf>
      <alignment horizontal="center"/>
    </dxf>
    <dxf>
      <alignment horizontal="center"/>
    </dxf>
    <dxf>
      <numFmt numFmtId="1" formatCode="0"/>
    </dxf>
    <dxf>
      <numFmt numFmtId="166" formatCode="0.0"/>
    </dxf>
    <dxf>
      <alignment horizontal="center"/>
    </dxf>
    <dxf>
      <alignment horizontal="center"/>
    </dxf>
    <dxf>
      <alignment horizontal="center"/>
    </dxf>
    <dxf>
      <numFmt numFmtId="0" formatCode="General"/>
    </dxf>
    <dxf>
      <numFmt numFmtId="14" formatCode="0.00%"/>
    </dxf>
    <dxf>
      <alignment horizontal="center"/>
    </dxf>
    <dxf>
      <alignment horizontal="center"/>
    </dxf>
    <dxf>
      <numFmt numFmtId="1" formatCode="0"/>
    </dxf>
    <dxf>
      <numFmt numFmtId="166" formatCode="0.0"/>
    </dxf>
    <dxf>
      <alignment horizontal="center"/>
    </dxf>
    <dxf>
      <alignment horizontal="center"/>
    </dxf>
    <dxf>
      <alignment horizontal="center"/>
    </dxf>
    <dxf>
      <numFmt numFmtId="0" formatCode="General"/>
    </dxf>
    <dxf>
      <numFmt numFmtId="14" formatCode="0.00%"/>
    </dxf>
    <dxf>
      <alignment horizontal="center"/>
    </dxf>
    <dxf>
      <alignment horizontal="center"/>
    </dxf>
    <dxf>
      <numFmt numFmtId="1" formatCode="0"/>
    </dxf>
    <dxf>
      <numFmt numFmtId="166" formatCode="0.0"/>
    </dxf>
    <dxf>
      <alignment horizontal="center"/>
    </dxf>
    <dxf>
      <alignment horizontal="center"/>
    </dxf>
    <dxf>
      <alignment horizontal="center"/>
    </dxf>
    <dxf>
      <numFmt numFmtId="0" formatCode="General"/>
    </dxf>
    <dxf>
      <numFmt numFmtId="14" formatCode="0.00%"/>
    </dxf>
    <dxf>
      <alignment horizontal="center"/>
    </dxf>
    <dxf>
      <alignment horizontal="center"/>
    </dxf>
    <dxf>
      <numFmt numFmtId="1" formatCode="0"/>
    </dxf>
    <dxf>
      <numFmt numFmtId="166" formatCode="0.0"/>
    </dxf>
    <dxf>
      <alignment horizontal="center"/>
    </dxf>
    <dxf>
      <alignment horizontal="center"/>
    </dxf>
    <dxf>
      <alignment horizontal="center"/>
    </dxf>
    <dxf>
      <numFmt numFmtId="0" formatCode="General"/>
    </dxf>
    <dxf>
      <numFmt numFmtId="14" formatCode="0.00%"/>
    </dxf>
    <dxf>
      <alignment horizontal="center"/>
    </dxf>
    <dxf>
      <alignment horizontal="center"/>
    </dxf>
    <dxf>
      <numFmt numFmtId="1" formatCode="0"/>
    </dxf>
    <dxf>
      <numFmt numFmtId="166" formatCode="0.0"/>
    </dxf>
    <dxf>
      <alignment horizontal="center"/>
    </dxf>
    <dxf>
      <alignment horizontal="center"/>
    </dxf>
    <dxf>
      <alignment horizontal="center"/>
    </dxf>
    <dxf>
      <numFmt numFmtId="0" formatCode="General"/>
    </dxf>
    <dxf>
      <numFmt numFmtId="14" formatCode="0.00%"/>
    </dxf>
    <dxf>
      <alignment horizontal="center"/>
    </dxf>
    <dxf>
      <alignment horizontal="center"/>
    </dxf>
    <dxf>
      <numFmt numFmtId="1" formatCode="0"/>
    </dxf>
    <dxf>
      <numFmt numFmtId="166" formatCode="0.0"/>
    </dxf>
    <dxf>
      <alignment horizontal="center"/>
    </dxf>
    <dxf>
      <alignment horizontal="center"/>
    </dxf>
    <dxf>
      <alignment horizontal="center"/>
    </dxf>
    <dxf>
      <numFmt numFmtId="0" formatCode="General"/>
    </dxf>
    <dxf>
      <numFmt numFmtId="14" formatCode="0.00%"/>
    </dxf>
    <dxf>
      <alignment horizontal="center"/>
    </dxf>
    <dxf>
      <alignment horizontal="center"/>
    </dxf>
    <dxf>
      <numFmt numFmtId="166" formatCode="0.0"/>
    </dxf>
    <dxf>
      <numFmt numFmtId="1" formatCode="0"/>
    </dxf>
    <dxf>
      <alignment horizontal="center"/>
    </dxf>
    <dxf>
      <alignment horizontal="center"/>
    </dxf>
    <dxf>
      <alignment horizontal="center"/>
    </dxf>
    <dxf>
      <numFmt numFmtId="0" formatCode="General"/>
    </dxf>
    <dxf>
      <numFmt numFmtId="14" formatCode="0.00%"/>
    </dxf>
    <dxf>
      <alignment horizontal="center"/>
    </dxf>
    <dxf>
      <alignment horizontal="center"/>
    </dxf>
    <dxf>
      <numFmt numFmtId="166" formatCode="0.0"/>
    </dxf>
    <dxf>
      <numFmt numFmtId="1" formatCode="0"/>
    </dxf>
    <dxf>
      <alignment horizontal="center"/>
    </dxf>
    <dxf>
      <alignment horizontal="center"/>
    </dxf>
    <dxf>
      <alignment horizontal="center"/>
    </dxf>
    <dxf>
      <numFmt numFmtId="0" formatCode="General"/>
    </dxf>
    <dxf>
      <numFmt numFmtId="14" formatCode="0.00%"/>
    </dxf>
    <dxf>
      <alignment horizontal="center"/>
    </dxf>
    <dxf>
      <alignment horizontal="center"/>
    </dxf>
    <dxf>
      <numFmt numFmtId="166" formatCode="0.0"/>
    </dxf>
    <dxf>
      <numFmt numFmtId="1" formatCode="0"/>
    </dxf>
    <dxf>
      <alignment horizontal="center"/>
    </dxf>
    <dxf>
      <alignment horizontal="center"/>
    </dxf>
    <dxf>
      <alignment horizontal="center"/>
    </dxf>
    <dxf>
      <numFmt numFmtId="0" formatCode="General"/>
    </dxf>
    <dxf>
      <numFmt numFmtId="14" formatCode="0.00%"/>
    </dxf>
    <dxf>
      <alignment horizontal="center"/>
    </dxf>
    <dxf>
      <alignment horizontal="center"/>
    </dxf>
    <dxf>
      <numFmt numFmtId="1" formatCode="0"/>
    </dxf>
    <dxf>
      <numFmt numFmtId="166" formatCode="0.0"/>
    </dxf>
    <dxf>
      <alignment horizontal="center"/>
    </dxf>
    <dxf>
      <alignment horizontal="center"/>
    </dxf>
    <dxf>
      <alignment horizontal="center"/>
    </dxf>
    <dxf>
      <numFmt numFmtId="0" formatCode="General"/>
    </dxf>
    <dxf>
      <numFmt numFmtId="14" formatCode="0.00%"/>
    </dxf>
    <dxf>
      <alignment horizontal="center"/>
    </dxf>
    <dxf>
      <alignment horizontal="center"/>
    </dxf>
    <dxf>
      <numFmt numFmtId="1" formatCode="0"/>
    </dxf>
    <dxf>
      <numFmt numFmtId="166" formatCode="0.0"/>
    </dxf>
    <dxf>
      <alignment horizontal="center"/>
    </dxf>
    <dxf>
      <alignment horizontal="center"/>
    </dxf>
    <dxf>
      <alignment horizontal="center"/>
    </dxf>
    <dxf>
      <numFmt numFmtId="0" formatCode="General"/>
    </dxf>
    <dxf>
      <numFmt numFmtId="14" formatCode="0.00%"/>
    </dxf>
    <dxf>
      <alignment horizontal="center"/>
    </dxf>
    <dxf>
      <alignment horizontal="center"/>
    </dxf>
    <dxf>
      <numFmt numFmtId="166" formatCode="0.0"/>
    </dxf>
    <dxf>
      <numFmt numFmtId="1" formatCode="0"/>
    </dxf>
    <dxf>
      <alignment horizontal="center"/>
    </dxf>
    <dxf>
      <alignment horizontal="center"/>
    </dxf>
    <dxf>
      <alignment horizontal="center"/>
    </dxf>
    <dxf>
      <numFmt numFmtId="0" formatCode="General"/>
    </dxf>
    <dxf>
      <numFmt numFmtId="14" formatCode="0.00%"/>
    </dxf>
    <dxf>
      <alignment horizontal="center"/>
    </dxf>
    <dxf>
      <alignment horizontal="center"/>
    </dxf>
    <dxf>
      <numFmt numFmtId="166" formatCode="0.0"/>
    </dxf>
    <dxf>
      <numFmt numFmtId="1" formatCode="0"/>
    </dxf>
    <dxf>
      <alignment horizontal="center"/>
    </dxf>
    <dxf>
      <alignment horizontal="center"/>
    </dxf>
    <dxf>
      <alignment horizontal="center"/>
    </dxf>
    <dxf>
      <numFmt numFmtId="0" formatCode="General"/>
    </dxf>
    <dxf>
      <numFmt numFmtId="14" formatCode="0.00%"/>
    </dxf>
    <dxf>
      <alignment horizontal="center"/>
    </dxf>
    <dxf>
      <alignment horizontal="center"/>
    </dxf>
    <dxf>
      <numFmt numFmtId="1" formatCode="0"/>
    </dxf>
    <dxf>
      <numFmt numFmtId="166" formatCode="0.0"/>
    </dxf>
    <dxf>
      <alignment horizontal="center"/>
    </dxf>
    <dxf>
      <alignment horizontal="center"/>
    </dxf>
    <dxf>
      <alignment horizontal="center"/>
    </dxf>
    <dxf>
      <numFmt numFmtId="0" formatCode="General"/>
    </dxf>
    <dxf>
      <numFmt numFmtId="14" formatCode="0.00%"/>
    </dxf>
    <dxf>
      <alignment horizontal="center"/>
    </dxf>
    <dxf>
      <alignment horizontal="center"/>
    </dxf>
    <dxf>
      <numFmt numFmtId="1" formatCode="0"/>
    </dxf>
    <dxf>
      <numFmt numFmtId="166" formatCode="0.0"/>
    </dxf>
    <dxf>
      <alignment horizontal="center"/>
    </dxf>
    <dxf>
      <alignment horizontal="center"/>
    </dxf>
    <dxf>
      <alignment horizontal="center"/>
    </dxf>
    <dxf>
      <numFmt numFmtId="0" formatCode="General"/>
    </dxf>
    <dxf>
      <numFmt numFmtId="14" formatCode="0.00%"/>
    </dxf>
    <dxf>
      <alignment horizontal="center"/>
    </dxf>
    <dxf>
      <alignment horizontal="center"/>
    </dxf>
    <dxf>
      <numFmt numFmtId="1" formatCode="0"/>
    </dxf>
    <dxf>
      <numFmt numFmtId="166" formatCode="0.0"/>
    </dxf>
    <dxf>
      <alignment horizontal="center"/>
    </dxf>
    <dxf>
      <alignment horizontal="center"/>
    </dxf>
    <dxf>
      <alignment horizontal="center"/>
    </dxf>
    <dxf>
      <numFmt numFmtId="0" formatCode="General"/>
    </dxf>
    <dxf>
      <numFmt numFmtId="14" formatCode="0.00%"/>
    </dxf>
    <dxf>
      <alignment horizontal="center"/>
    </dxf>
    <dxf>
      <alignment horizontal="center"/>
    </dxf>
    <dxf>
      <numFmt numFmtId="1" formatCode="0"/>
    </dxf>
    <dxf>
      <numFmt numFmtId="166" formatCode="0.0"/>
    </dxf>
    <dxf>
      <alignment horizontal="center"/>
    </dxf>
    <dxf>
      <alignment horizontal="center"/>
    </dxf>
    <dxf>
      <alignment horizontal="center"/>
    </dxf>
    <dxf>
      <numFmt numFmtId="0" formatCode="General"/>
    </dxf>
    <dxf>
      <numFmt numFmtId="14" formatCode="0.00%"/>
    </dxf>
    <dxf>
      <alignment horizontal="center"/>
    </dxf>
    <dxf>
      <alignment horizontal="center"/>
    </dxf>
    <dxf>
      <numFmt numFmtId="1" formatCode="0"/>
    </dxf>
    <dxf>
      <numFmt numFmtId="166" formatCode="0.0"/>
    </dxf>
    <dxf>
      <alignment horizontal="center"/>
    </dxf>
    <dxf>
      <alignment horizontal="center"/>
    </dxf>
    <dxf>
      <alignment horizontal="center"/>
    </dxf>
    <dxf>
      <numFmt numFmtId="0" formatCode="General"/>
    </dxf>
    <dxf>
      <numFmt numFmtId="14" formatCode="0.00%"/>
    </dxf>
    <dxf>
      <alignment horizontal="center"/>
    </dxf>
    <dxf>
      <alignment horizontal="center"/>
    </dxf>
    <dxf>
      <numFmt numFmtId="166" formatCode="0.0"/>
    </dxf>
    <dxf>
      <numFmt numFmtId="1" formatCode="0"/>
    </dxf>
    <dxf>
      <alignment horizontal="center"/>
    </dxf>
    <dxf>
      <alignment horizontal="center"/>
    </dxf>
    <dxf>
      <alignment horizontal="center"/>
    </dxf>
    <dxf>
      <numFmt numFmtId="0" formatCode="General"/>
    </dxf>
    <dxf>
      <numFmt numFmtId="14" formatCode="0.00%"/>
    </dxf>
    <dxf>
      <alignment horizontal="center"/>
    </dxf>
    <dxf>
      <alignment horizontal="center"/>
    </dxf>
    <dxf>
      <numFmt numFmtId="1" formatCode="0"/>
    </dxf>
    <dxf>
      <numFmt numFmtId="166" formatCode="0.0"/>
    </dxf>
    <dxf>
      <alignment horizontal="center"/>
    </dxf>
    <dxf>
      <alignment horizontal="center"/>
    </dxf>
    <dxf>
      <alignment horizontal="center"/>
    </dxf>
    <dxf>
      <numFmt numFmtId="0" formatCode="General"/>
    </dxf>
    <dxf>
      <numFmt numFmtId="14" formatCode="0.00%"/>
    </dxf>
    <dxf>
      <alignment horizontal="center"/>
    </dxf>
    <dxf>
      <alignment horizontal="center"/>
    </dxf>
    <dxf>
      <numFmt numFmtId="1" formatCode="0"/>
    </dxf>
    <dxf>
      <numFmt numFmtId="166" formatCode="0.0"/>
    </dxf>
    <dxf>
      <alignment horizontal="center"/>
    </dxf>
    <dxf>
      <alignment horizontal="center"/>
    </dxf>
    <dxf>
      <alignment horizontal="center"/>
    </dxf>
    <dxf>
      <numFmt numFmtId="0" formatCode="General"/>
    </dxf>
    <dxf>
      <numFmt numFmtId="14" formatCode="0.00%"/>
    </dxf>
    <dxf>
      <alignment horizontal="center"/>
    </dxf>
    <dxf>
      <alignment horizontal="center"/>
    </dxf>
    <dxf>
      <numFmt numFmtId="166" formatCode="0.0"/>
    </dxf>
    <dxf>
      <numFmt numFmtId="1" formatCode="0"/>
    </dxf>
    <dxf>
      <alignment horizontal="center"/>
    </dxf>
    <dxf>
      <alignment horizontal="center"/>
    </dxf>
    <dxf>
      <alignment horizontal="center"/>
    </dxf>
    <dxf>
      <numFmt numFmtId="0" formatCode="General"/>
    </dxf>
    <dxf>
      <numFmt numFmtId="14" formatCode="0.00%"/>
    </dxf>
    <dxf>
      <alignment horizontal="center"/>
    </dxf>
    <dxf>
      <alignment horizontal="center"/>
    </dxf>
    <dxf>
      <numFmt numFmtId="166" formatCode="0.0"/>
    </dxf>
    <dxf>
      <numFmt numFmtId="1" formatCode="0"/>
    </dxf>
    <dxf>
      <alignment horizontal="center"/>
    </dxf>
    <dxf>
      <alignment horizontal="center"/>
    </dxf>
    <dxf>
      <alignment horizontal="center"/>
    </dxf>
    <dxf>
      <numFmt numFmtId="0" formatCode="General"/>
    </dxf>
    <dxf>
      <numFmt numFmtId="14" formatCode="0.00%"/>
    </dxf>
    <dxf>
      <alignment horizontal="center"/>
    </dxf>
    <dxf>
      <alignment horizontal="center"/>
    </dxf>
    <dxf>
      <numFmt numFmtId="166" formatCode="0.0"/>
    </dxf>
    <dxf>
      <numFmt numFmtId="1" formatCode="0"/>
    </dxf>
    <dxf>
      <alignment horizontal="center"/>
    </dxf>
    <dxf>
      <alignment horizontal="center"/>
    </dxf>
    <dxf>
      <alignment horizontal="center"/>
    </dxf>
    <dxf>
      <numFmt numFmtId="0" formatCode="General"/>
    </dxf>
    <dxf>
      <numFmt numFmtId="14" formatCode="0.00%"/>
    </dxf>
    <dxf>
      <alignment horizontal="center"/>
    </dxf>
    <dxf>
      <alignment horizontal="center"/>
    </dxf>
    <dxf>
      <numFmt numFmtId="166" formatCode="0.0"/>
    </dxf>
    <dxf>
      <numFmt numFmtId="1" formatCode="0"/>
    </dxf>
    <dxf>
      <alignment horizontal="center"/>
    </dxf>
    <dxf>
      <alignment horizontal="center"/>
    </dxf>
    <dxf>
      <alignment horizontal="center"/>
    </dxf>
    <dxf>
      <numFmt numFmtId="0" formatCode="General"/>
    </dxf>
    <dxf>
      <numFmt numFmtId="14" formatCode="0.00%"/>
    </dxf>
    <dxf>
      <alignment horizontal="center"/>
    </dxf>
    <dxf>
      <alignment horizontal="center"/>
    </dxf>
    <dxf>
      <numFmt numFmtId="1" formatCode="0"/>
    </dxf>
    <dxf>
      <numFmt numFmtId="166" formatCode="0.0"/>
    </dxf>
    <dxf>
      <alignment horizontal="center"/>
    </dxf>
    <dxf>
      <alignment horizontal="center"/>
    </dxf>
    <dxf>
      <alignment horizontal="center"/>
    </dxf>
    <dxf>
      <numFmt numFmtId="0" formatCode="General"/>
    </dxf>
    <dxf>
      <numFmt numFmtId="14" formatCode="0.00%"/>
    </dxf>
    <dxf>
      <alignment horizontal="center"/>
    </dxf>
    <dxf>
      <alignment horizontal="center"/>
    </dxf>
    <dxf>
      <numFmt numFmtId="1" formatCode="0"/>
    </dxf>
    <dxf>
      <numFmt numFmtId="166" formatCode="0.0"/>
    </dxf>
    <dxf>
      <alignment horizontal="center"/>
    </dxf>
    <dxf>
      <alignment horizontal="center"/>
    </dxf>
    <dxf>
      <alignment horizontal="center"/>
    </dxf>
    <dxf>
      <numFmt numFmtId="0" formatCode="General"/>
    </dxf>
    <dxf>
      <numFmt numFmtId="14" formatCode="0.00%"/>
    </dxf>
    <dxf>
      <alignment horizontal="center"/>
    </dxf>
    <dxf>
      <alignment horizontal="center"/>
    </dxf>
    <dxf>
      <numFmt numFmtId="1" formatCode="0"/>
    </dxf>
    <dxf>
      <numFmt numFmtId="166" formatCode="0.0"/>
    </dxf>
    <dxf>
      <alignment horizontal="center"/>
    </dxf>
    <dxf>
      <alignment horizontal="center"/>
    </dxf>
    <dxf>
      <alignment horizontal="center"/>
    </dxf>
    <dxf>
      <numFmt numFmtId="0" formatCode="General"/>
    </dxf>
    <dxf>
      <numFmt numFmtId="14" formatCode="0.00%"/>
    </dxf>
    <dxf>
      <alignment horizontal="center"/>
    </dxf>
    <dxf>
      <alignment horizontal="center"/>
    </dxf>
    <dxf>
      <numFmt numFmtId="1" formatCode="0"/>
    </dxf>
    <dxf>
      <numFmt numFmtId="166" formatCode="0.0"/>
    </dxf>
    <dxf>
      <alignment horizontal="center"/>
    </dxf>
    <dxf>
      <alignment horizontal="center"/>
    </dxf>
    <dxf>
      <alignment horizontal="center"/>
    </dxf>
    <dxf>
      <numFmt numFmtId="0" formatCode="General"/>
    </dxf>
    <dxf>
      <numFmt numFmtId="14" formatCode="0.00%"/>
    </dxf>
    <dxf>
      <alignment horizontal="center"/>
    </dxf>
    <dxf>
      <alignment horizontal="center"/>
    </dxf>
    <dxf>
      <numFmt numFmtId="1" formatCode="0"/>
    </dxf>
    <dxf>
      <numFmt numFmtId="166" formatCode="0.0"/>
    </dxf>
    <dxf>
      <alignment horizontal="center"/>
    </dxf>
    <dxf>
      <alignment horizontal="center"/>
    </dxf>
    <dxf>
      <alignment horizontal="center"/>
    </dxf>
    <dxf>
      <numFmt numFmtId="0" formatCode="General"/>
    </dxf>
    <dxf>
      <numFmt numFmtId="14" formatCode="0.00%"/>
    </dxf>
    <dxf>
      <alignment horizontal="center"/>
    </dxf>
    <dxf>
      <alignment horizontal="center"/>
    </dxf>
    <dxf>
      <numFmt numFmtId="1" formatCode="0"/>
    </dxf>
    <dxf>
      <numFmt numFmtId="166" formatCode="0.0"/>
    </dxf>
    <dxf>
      <alignment horizontal="center"/>
    </dxf>
    <dxf>
      <alignment horizontal="center"/>
    </dxf>
    <dxf>
      <alignment horizontal="center"/>
    </dxf>
    <dxf>
      <numFmt numFmtId="0" formatCode="General"/>
    </dxf>
    <dxf>
      <numFmt numFmtId="14" formatCode="0.00%"/>
    </dxf>
    <dxf>
      <alignment horizontal="center"/>
    </dxf>
    <dxf>
      <alignment horizontal="center"/>
    </dxf>
    <dxf>
      <numFmt numFmtId="1" formatCode="0"/>
    </dxf>
    <dxf>
      <numFmt numFmtId="166" formatCode="0.0"/>
    </dxf>
    <dxf>
      <alignment horizontal="center"/>
    </dxf>
    <dxf>
      <alignment horizontal="center"/>
    </dxf>
    <dxf>
      <alignment horizontal="center"/>
    </dxf>
    <dxf>
      <numFmt numFmtId="0" formatCode="General"/>
    </dxf>
    <dxf>
      <numFmt numFmtId="14" formatCode="0.00%"/>
    </dxf>
    <dxf>
      <alignment horizontal="center"/>
    </dxf>
    <dxf>
      <alignment horizontal="center"/>
    </dxf>
    <dxf>
      <numFmt numFmtId="1" formatCode="0"/>
    </dxf>
    <dxf>
      <numFmt numFmtId="166" formatCode="0.0"/>
    </dxf>
    <dxf>
      <alignment horizontal="center"/>
    </dxf>
    <dxf>
      <alignment horizontal="center"/>
    </dxf>
    <dxf>
      <alignment horizontal="center"/>
    </dxf>
    <dxf>
      <numFmt numFmtId="0" formatCode="General"/>
    </dxf>
    <dxf>
      <numFmt numFmtId="14" formatCode="0.00%"/>
    </dxf>
    <dxf>
      <alignment horizontal="center"/>
    </dxf>
    <dxf>
      <alignment horizontal="center"/>
    </dxf>
    <dxf>
      <numFmt numFmtId="1" formatCode="0"/>
    </dxf>
    <dxf>
      <numFmt numFmtId="166" formatCode="0.0"/>
    </dxf>
    <dxf>
      <alignment horizontal="center"/>
    </dxf>
    <dxf>
      <alignment horizontal="center"/>
    </dxf>
    <dxf>
      <alignment horizontal="center"/>
    </dxf>
    <dxf>
      <numFmt numFmtId="0" formatCode="General"/>
    </dxf>
    <dxf>
      <numFmt numFmtId="14" formatCode="0.00%"/>
    </dxf>
    <dxf>
      <alignment horizontal="center"/>
    </dxf>
    <dxf>
      <alignment horizontal="center"/>
    </dxf>
    <dxf>
      <numFmt numFmtId="1" formatCode="0"/>
    </dxf>
    <dxf>
      <numFmt numFmtId="166" formatCode="0.0"/>
    </dxf>
    <dxf>
      <alignment horizontal="center"/>
    </dxf>
    <dxf>
      <alignment horizontal="center"/>
    </dxf>
    <dxf>
      <alignment horizontal="center"/>
    </dxf>
    <dxf>
      <numFmt numFmtId="0" formatCode="General"/>
    </dxf>
    <dxf>
      <numFmt numFmtId="14" formatCode="0.00%"/>
    </dxf>
    <dxf>
      <alignment horizontal="center"/>
    </dxf>
    <dxf>
      <alignment horizontal="center"/>
    </dxf>
    <dxf>
      <numFmt numFmtId="1" formatCode="0"/>
    </dxf>
    <dxf>
      <numFmt numFmtId="166" formatCode="0.0"/>
    </dxf>
    <dxf>
      <alignment horizontal="center"/>
    </dxf>
    <dxf>
      <alignment horizontal="center"/>
    </dxf>
    <dxf>
      <alignment horizontal="center"/>
    </dxf>
    <dxf>
      <numFmt numFmtId="0" formatCode="General"/>
    </dxf>
    <dxf>
      <numFmt numFmtId="14" formatCode="0.00%"/>
    </dxf>
    <dxf>
      <alignment horizontal="center"/>
    </dxf>
    <dxf>
      <alignment horizontal="center"/>
    </dxf>
    <dxf>
      <numFmt numFmtId="1" formatCode="0"/>
    </dxf>
    <dxf>
      <numFmt numFmtId="166" formatCode="0.0"/>
    </dxf>
    <dxf>
      <alignment horizontal="center"/>
    </dxf>
    <dxf>
      <alignment horizontal="center"/>
    </dxf>
    <dxf>
      <alignment horizontal="center"/>
    </dxf>
    <dxf>
      <numFmt numFmtId="0" formatCode="General"/>
    </dxf>
    <dxf>
      <numFmt numFmtId="14" formatCode="0.00%"/>
    </dxf>
    <dxf>
      <alignment horizontal="center"/>
    </dxf>
    <dxf>
      <alignment horizontal="center"/>
    </dxf>
    <dxf>
      <numFmt numFmtId="1" formatCode="0"/>
    </dxf>
    <dxf>
      <numFmt numFmtId="166" formatCode="0.0"/>
    </dxf>
    <dxf>
      <alignment horizontal="center"/>
    </dxf>
    <dxf>
      <alignment horizontal="center"/>
    </dxf>
    <dxf>
      <alignment horizontal="center"/>
    </dxf>
    <dxf>
      <numFmt numFmtId="0" formatCode="General"/>
    </dxf>
    <dxf>
      <numFmt numFmtId="14" formatCode="0.00%"/>
    </dxf>
    <dxf>
      <alignment horizontal="center"/>
    </dxf>
    <dxf>
      <alignment horizontal="center"/>
    </dxf>
    <dxf>
      <numFmt numFmtId="1" formatCode="0"/>
    </dxf>
    <dxf>
      <numFmt numFmtId="166" formatCode="0.0"/>
    </dxf>
    <dxf>
      <alignment horizontal="center"/>
    </dxf>
    <dxf>
      <alignment horizontal="center"/>
    </dxf>
    <dxf>
      <alignment horizontal="center"/>
    </dxf>
    <dxf>
      <numFmt numFmtId="0" formatCode="General"/>
    </dxf>
    <dxf>
      <numFmt numFmtId="14" formatCode="0.00%"/>
    </dxf>
    <dxf>
      <alignment horizontal="center"/>
    </dxf>
    <dxf>
      <alignment horizontal="center"/>
    </dxf>
    <dxf>
      <numFmt numFmtId="1" formatCode="0"/>
    </dxf>
    <dxf>
      <numFmt numFmtId="166" formatCode="0.0"/>
    </dxf>
    <dxf>
      <alignment horizontal="center"/>
    </dxf>
    <dxf>
      <alignment horizontal="center"/>
    </dxf>
    <dxf>
      <alignment horizontal="center"/>
    </dxf>
    <dxf>
      <numFmt numFmtId="0" formatCode="General"/>
    </dxf>
    <dxf>
      <numFmt numFmtId="14" formatCode="0.00%"/>
    </dxf>
    <dxf>
      <alignment horizontal="center"/>
    </dxf>
    <dxf>
      <alignment horizontal="center"/>
    </dxf>
    <dxf>
      <numFmt numFmtId="166" formatCode="0.0"/>
    </dxf>
    <dxf>
      <numFmt numFmtId="1" formatCode="0"/>
    </dxf>
    <dxf>
      <alignment horizontal="center"/>
    </dxf>
    <dxf>
      <alignment horizontal="center"/>
    </dxf>
    <dxf>
      <alignment horizontal="center"/>
    </dxf>
    <dxf>
      <numFmt numFmtId="0" formatCode="General"/>
    </dxf>
    <dxf>
      <numFmt numFmtId="14" formatCode="0.00%"/>
    </dxf>
    <dxf>
      <alignment horizontal="center"/>
    </dxf>
    <dxf>
      <alignment horizontal="center"/>
    </dxf>
    <dxf>
      <numFmt numFmtId="166" formatCode="0.0"/>
    </dxf>
    <dxf>
      <numFmt numFmtId="1" formatCode="0"/>
    </dxf>
    <dxf>
      <alignment horizontal="center"/>
    </dxf>
    <dxf>
      <alignment horizontal="center"/>
    </dxf>
    <dxf>
      <alignment horizontal="center"/>
    </dxf>
    <dxf>
      <numFmt numFmtId="0" formatCode="General"/>
    </dxf>
    <dxf>
      <numFmt numFmtId="14" formatCode="0.00%"/>
    </dxf>
    <dxf>
      <alignment horizontal="center"/>
    </dxf>
    <dxf>
      <alignment horizontal="center"/>
    </dxf>
    <dxf>
      <numFmt numFmtId="166" formatCode="0.0"/>
    </dxf>
    <dxf>
      <numFmt numFmtId="1" formatCode="0"/>
    </dxf>
    <dxf>
      <alignment horizontal="center"/>
    </dxf>
    <dxf>
      <alignment horizontal="center"/>
    </dxf>
    <dxf>
      <alignment horizontal="center"/>
    </dxf>
    <dxf>
      <numFmt numFmtId="0" formatCode="General"/>
    </dxf>
    <dxf>
      <numFmt numFmtId="14" formatCode="0.00%"/>
    </dxf>
    <dxf>
      <alignment horizontal="center"/>
    </dxf>
    <dxf>
      <alignment horizontal="center"/>
    </dxf>
    <dxf>
      <numFmt numFmtId="166" formatCode="0.0"/>
    </dxf>
    <dxf>
      <numFmt numFmtId="1" formatCode="0"/>
    </dxf>
    <dxf>
      <alignment horizontal="center"/>
    </dxf>
    <dxf>
      <alignment horizontal="center"/>
    </dxf>
    <dxf>
      <alignment horizontal="center"/>
    </dxf>
    <dxf>
      <numFmt numFmtId="0" formatCode="General"/>
    </dxf>
    <dxf>
      <numFmt numFmtId="14" formatCode="0.00%"/>
    </dxf>
    <dxf>
      <alignment horizontal="center"/>
    </dxf>
    <dxf>
      <alignment horizontal="center"/>
    </dxf>
    <dxf>
      <numFmt numFmtId="1" formatCode="0"/>
    </dxf>
    <dxf>
      <numFmt numFmtId="166" formatCode="0.0"/>
    </dxf>
    <dxf>
      <alignment horizontal="center"/>
    </dxf>
    <dxf>
      <alignment horizontal="center"/>
    </dxf>
    <dxf>
      <alignment horizontal="center"/>
    </dxf>
    <dxf>
      <numFmt numFmtId="0" formatCode="General"/>
    </dxf>
    <dxf>
      <numFmt numFmtId="14" formatCode="0.00%"/>
    </dxf>
    <dxf>
      <alignment horizontal="center"/>
    </dxf>
    <dxf>
      <alignment horizontal="center"/>
    </dxf>
    <dxf>
      <numFmt numFmtId="1" formatCode="0"/>
    </dxf>
    <dxf>
      <numFmt numFmtId="166" formatCode="0.0"/>
    </dxf>
    <dxf>
      <alignment horizontal="center"/>
    </dxf>
    <dxf>
      <alignment horizontal="center"/>
    </dxf>
    <dxf>
      <alignment horizontal="center"/>
    </dxf>
    <dxf>
      <numFmt numFmtId="0" formatCode="General"/>
    </dxf>
    <dxf>
      <numFmt numFmtId="14" formatCode="0.00%"/>
    </dxf>
    <dxf>
      <alignment horizontal="center"/>
    </dxf>
    <dxf>
      <alignment horizontal="center"/>
    </dxf>
    <dxf>
      <numFmt numFmtId="1" formatCode="0"/>
    </dxf>
    <dxf>
      <numFmt numFmtId="166" formatCode="0.0"/>
    </dxf>
    <dxf>
      <alignment horizontal="center"/>
    </dxf>
    <dxf>
      <alignment horizontal="center"/>
    </dxf>
    <dxf>
      <alignment horizontal="center"/>
    </dxf>
    <dxf>
      <numFmt numFmtId="0" formatCode="General"/>
    </dxf>
    <dxf>
      <numFmt numFmtId="14" formatCode="0.00%"/>
    </dxf>
    <dxf>
      <alignment horizontal="center"/>
    </dxf>
    <dxf>
      <alignment horizontal="center"/>
    </dxf>
    <dxf>
      <numFmt numFmtId="1" formatCode="0"/>
    </dxf>
    <dxf>
      <numFmt numFmtId="166" formatCode="0.0"/>
    </dxf>
    <dxf>
      <alignment horizontal="center"/>
    </dxf>
    <dxf>
      <alignment horizontal="center"/>
    </dxf>
    <dxf>
      <alignment horizontal="center"/>
    </dxf>
    <dxf>
      <numFmt numFmtId="0" formatCode="General"/>
    </dxf>
    <dxf>
      <numFmt numFmtId="14" formatCode="0.00%"/>
    </dxf>
    <dxf>
      <alignment horizontal="center"/>
    </dxf>
    <dxf>
      <alignment horizontal="center"/>
    </dxf>
    <dxf>
      <numFmt numFmtId="1" formatCode="0"/>
    </dxf>
    <dxf>
      <numFmt numFmtId="166" formatCode="0.0"/>
    </dxf>
    <dxf>
      <alignment horizontal="center"/>
    </dxf>
    <dxf>
      <alignment horizontal="center"/>
    </dxf>
    <dxf>
      <alignment horizontal="center"/>
    </dxf>
    <dxf>
      <numFmt numFmtId="0" formatCode="General"/>
    </dxf>
    <dxf>
      <numFmt numFmtId="14" formatCode="0.00%"/>
    </dxf>
    <dxf>
      <alignment horizontal="center"/>
    </dxf>
    <dxf>
      <alignment horizontal="center"/>
    </dxf>
    <dxf>
      <numFmt numFmtId="1" formatCode="0"/>
    </dxf>
    <dxf>
      <numFmt numFmtId="166" formatCode="0.0"/>
    </dxf>
    <dxf>
      <alignment horizontal="center"/>
    </dxf>
    <dxf>
      <alignment horizontal="center"/>
    </dxf>
    <dxf>
      <alignment horizontal="center"/>
    </dxf>
    <dxf>
      <numFmt numFmtId="0" formatCode="General"/>
    </dxf>
    <dxf>
      <numFmt numFmtId="14" formatCode="0.00%"/>
    </dxf>
    <dxf>
      <alignment horizontal="center"/>
    </dxf>
    <dxf>
      <alignment horizontal="center"/>
    </dxf>
    <dxf>
      <numFmt numFmtId="1" formatCode="0"/>
    </dxf>
    <dxf>
      <numFmt numFmtId="166" formatCode="0.0"/>
    </dxf>
    <dxf>
      <alignment horizontal="center"/>
    </dxf>
    <dxf>
      <alignment horizontal="center"/>
    </dxf>
    <dxf>
      <alignment horizontal="center"/>
    </dxf>
    <dxf>
      <numFmt numFmtId="0" formatCode="General"/>
    </dxf>
    <dxf>
      <numFmt numFmtId="14" formatCode="0.00%"/>
    </dxf>
    <dxf>
      <alignment horizontal="center"/>
    </dxf>
    <dxf>
      <alignment horizontal="center"/>
    </dxf>
    <dxf>
      <numFmt numFmtId="1" formatCode="0"/>
    </dxf>
    <dxf>
      <numFmt numFmtId="166" formatCode="0.0"/>
    </dxf>
    <dxf>
      <alignment horizontal="center"/>
    </dxf>
    <dxf>
      <alignment horizontal="center"/>
    </dxf>
    <dxf>
      <alignment horizontal="center"/>
    </dxf>
    <dxf>
      <numFmt numFmtId="0" formatCode="General"/>
    </dxf>
    <dxf>
      <numFmt numFmtId="14" formatCode="0.00%"/>
    </dxf>
    <dxf>
      <alignment horizontal="center"/>
    </dxf>
    <dxf>
      <alignment horizontal="center"/>
    </dxf>
    <dxf>
      <numFmt numFmtId="1" formatCode="0"/>
    </dxf>
    <dxf>
      <numFmt numFmtId="166" formatCode="0.0"/>
    </dxf>
    <dxf>
      <alignment horizontal="center"/>
    </dxf>
    <dxf>
      <alignment horizontal="center"/>
    </dxf>
    <dxf>
      <alignment horizontal="center"/>
    </dxf>
    <dxf>
      <numFmt numFmtId="0" formatCode="General"/>
    </dxf>
    <dxf>
      <numFmt numFmtId="14" formatCode="0.00%"/>
    </dxf>
    <dxf>
      <alignment horizontal="center"/>
    </dxf>
    <dxf>
      <alignment horizontal="center"/>
    </dxf>
    <dxf>
      <numFmt numFmtId="1" formatCode="0"/>
    </dxf>
    <dxf>
      <numFmt numFmtId="166" formatCode="0.0"/>
    </dxf>
    <dxf>
      <alignment horizontal="center"/>
    </dxf>
    <dxf>
      <alignment horizontal="center"/>
    </dxf>
    <dxf>
      <alignment horizontal="center"/>
    </dxf>
    <dxf>
      <numFmt numFmtId="0" formatCode="General"/>
    </dxf>
    <dxf>
      <numFmt numFmtId="14" formatCode="0.00%"/>
    </dxf>
    <dxf>
      <alignment horizontal="center"/>
    </dxf>
    <dxf>
      <alignment horizontal="center"/>
    </dxf>
    <dxf>
      <numFmt numFmtId="1" formatCode="0"/>
    </dxf>
    <dxf>
      <numFmt numFmtId="166" formatCode="0.0"/>
    </dxf>
    <dxf>
      <alignment horizontal="center"/>
    </dxf>
    <dxf>
      <alignment horizontal="center"/>
    </dxf>
    <dxf>
      <alignment horizontal="center"/>
    </dxf>
    <dxf>
      <numFmt numFmtId="0" formatCode="General"/>
    </dxf>
    <dxf>
      <numFmt numFmtId="14" formatCode="0.00%"/>
    </dxf>
    <dxf>
      <alignment horizontal="center"/>
    </dxf>
    <dxf>
      <alignment horizontal="center"/>
    </dxf>
    <dxf>
      <numFmt numFmtId="1" formatCode="0"/>
    </dxf>
    <dxf>
      <numFmt numFmtId="166" formatCode="0.0"/>
    </dxf>
    <dxf>
      <alignment horizontal="center"/>
    </dxf>
    <dxf>
      <alignment horizontal="center"/>
    </dxf>
    <dxf>
      <alignment horizontal="center"/>
    </dxf>
    <dxf>
      <numFmt numFmtId="0" formatCode="General"/>
    </dxf>
    <dxf>
      <numFmt numFmtId="14" formatCode="0.00%"/>
    </dxf>
    <dxf>
      <alignment horizontal="center"/>
    </dxf>
    <dxf>
      <alignment horizontal="center"/>
    </dxf>
    <dxf>
      <numFmt numFmtId="1" formatCode="0"/>
    </dxf>
    <dxf>
      <numFmt numFmtId="166" formatCode="0.0"/>
    </dxf>
    <dxf>
      <alignment horizontal="center"/>
    </dxf>
    <dxf>
      <alignment horizontal="center"/>
    </dxf>
    <dxf>
      <alignment horizontal="center"/>
    </dxf>
    <dxf>
      <numFmt numFmtId="0" formatCode="General"/>
    </dxf>
    <dxf>
      <numFmt numFmtId="14" formatCode="0.00%"/>
    </dxf>
    <dxf>
      <alignment horizontal="center"/>
    </dxf>
    <dxf>
      <alignment horizontal="center"/>
    </dxf>
    <dxf>
      <numFmt numFmtId="1" formatCode="0"/>
    </dxf>
    <dxf>
      <numFmt numFmtId="166" formatCode="0.0"/>
    </dxf>
    <dxf>
      <alignment horizontal="center"/>
    </dxf>
    <dxf>
      <alignment horizontal="center"/>
    </dxf>
    <dxf>
      <alignment horizontal="center"/>
    </dxf>
    <dxf>
      <numFmt numFmtId="0" formatCode="General"/>
    </dxf>
    <dxf>
      <numFmt numFmtId="14" formatCode="0.00%"/>
    </dxf>
    <dxf>
      <alignment horizontal="center"/>
    </dxf>
    <dxf>
      <alignment horizontal="center"/>
    </dxf>
    <dxf>
      <numFmt numFmtId="1" formatCode="0"/>
    </dxf>
    <dxf>
      <numFmt numFmtId="166" formatCode="0.0"/>
    </dxf>
    <dxf>
      <alignment horizontal="center"/>
    </dxf>
    <dxf>
      <alignment horizontal="center"/>
    </dxf>
    <dxf>
      <alignment horizontal="center"/>
    </dxf>
    <dxf>
      <numFmt numFmtId="0" formatCode="General"/>
    </dxf>
    <dxf>
      <numFmt numFmtId="14" formatCode="0.00%"/>
    </dxf>
    <dxf>
      <alignment horizontal="center"/>
    </dxf>
    <dxf>
      <alignment horizontal="center"/>
    </dxf>
    <dxf>
      <numFmt numFmtId="1" formatCode="0"/>
    </dxf>
    <dxf>
      <numFmt numFmtId="166" formatCode="0.0"/>
    </dxf>
    <dxf>
      <alignment horizontal="center"/>
    </dxf>
    <dxf>
      <alignment horizontal="center"/>
    </dxf>
    <dxf>
      <alignment horizontal="center"/>
    </dxf>
    <dxf>
      <numFmt numFmtId="0" formatCode="General"/>
    </dxf>
    <dxf>
      <numFmt numFmtId="14" formatCode="0.00%"/>
    </dxf>
    <dxf>
      <alignment horizontal="center"/>
    </dxf>
    <dxf>
      <alignment horizontal="center"/>
    </dxf>
    <dxf>
      <numFmt numFmtId="1" formatCode="0"/>
    </dxf>
    <dxf>
      <numFmt numFmtId="166" formatCode="0.0"/>
    </dxf>
    <dxf>
      <alignment horizontal="center"/>
    </dxf>
    <dxf>
      <alignment horizontal="center"/>
    </dxf>
    <dxf>
      <alignment horizontal="center"/>
    </dxf>
    <dxf>
      <numFmt numFmtId="0" formatCode="General"/>
    </dxf>
    <dxf>
      <numFmt numFmtId="14" formatCode="0.00%"/>
    </dxf>
    <dxf>
      <alignment horizontal="center"/>
    </dxf>
    <dxf>
      <alignment horizontal="center"/>
    </dxf>
    <dxf>
      <numFmt numFmtId="1" formatCode="0"/>
    </dxf>
    <dxf>
      <numFmt numFmtId="166" formatCode="0.0"/>
    </dxf>
    <dxf>
      <alignment horizontal="center"/>
    </dxf>
    <dxf>
      <alignment horizontal="center"/>
    </dxf>
    <dxf>
      <alignment horizontal="center"/>
    </dxf>
    <dxf>
      <numFmt numFmtId="0" formatCode="General"/>
    </dxf>
    <dxf>
      <numFmt numFmtId="14" formatCode="0.00%"/>
    </dxf>
    <dxf>
      <alignment horizontal="center"/>
    </dxf>
    <dxf>
      <alignment horizontal="center"/>
    </dxf>
    <dxf>
      <numFmt numFmtId="1" formatCode="0"/>
    </dxf>
    <dxf>
      <numFmt numFmtId="166" formatCode="0.0"/>
    </dxf>
    <dxf>
      <alignment horizontal="center"/>
    </dxf>
    <dxf>
      <alignment horizontal="center"/>
    </dxf>
    <dxf>
      <alignment horizontal="center"/>
    </dxf>
    <dxf>
      <numFmt numFmtId="0" formatCode="General"/>
    </dxf>
    <dxf>
      <numFmt numFmtId="14" formatCode="0.00%"/>
    </dxf>
    <dxf>
      <alignment horizontal="center"/>
    </dxf>
    <dxf>
      <alignment horizontal="center"/>
    </dxf>
    <dxf>
      <numFmt numFmtId="1" formatCode="0"/>
    </dxf>
    <dxf>
      <numFmt numFmtId="166" formatCode="0.0"/>
    </dxf>
    <dxf>
      <alignment horizontal="center"/>
    </dxf>
    <dxf>
      <alignment horizontal="center"/>
    </dxf>
    <dxf>
      <alignment horizontal="center"/>
    </dxf>
    <dxf>
      <numFmt numFmtId="0" formatCode="General"/>
    </dxf>
    <dxf>
      <numFmt numFmtId="14" formatCode="0.00%"/>
    </dxf>
    <dxf>
      <alignment horizontal="center"/>
    </dxf>
    <dxf>
      <alignment horizontal="center"/>
    </dxf>
    <dxf>
      <numFmt numFmtId="1" formatCode="0"/>
    </dxf>
    <dxf>
      <numFmt numFmtId="166" formatCode="0.0"/>
    </dxf>
    <dxf>
      <alignment horizontal="center"/>
    </dxf>
    <dxf>
      <alignment horizontal="center"/>
    </dxf>
    <dxf>
      <alignment horizontal="center"/>
    </dxf>
    <dxf>
      <numFmt numFmtId="0" formatCode="General"/>
    </dxf>
    <dxf>
      <numFmt numFmtId="14" formatCode="0.00%"/>
    </dxf>
    <dxf>
      <alignment horizontal="center"/>
    </dxf>
    <dxf>
      <alignment horizontal="center"/>
    </dxf>
    <dxf>
      <numFmt numFmtId="1" formatCode="0"/>
    </dxf>
    <dxf>
      <numFmt numFmtId="166" formatCode="0.0"/>
    </dxf>
    <dxf>
      <alignment horizontal="center"/>
    </dxf>
    <dxf>
      <alignment horizontal="center"/>
    </dxf>
    <dxf>
      <alignment horizontal="center"/>
    </dxf>
    <dxf>
      <numFmt numFmtId="0" formatCode="General"/>
    </dxf>
    <dxf>
      <numFmt numFmtId="14" formatCode="0.00%"/>
    </dxf>
    <dxf>
      <alignment horizontal="center"/>
    </dxf>
    <dxf>
      <alignment horizontal="center"/>
    </dxf>
    <dxf>
      <font>
        <color rgb="FF9C0006"/>
      </font>
      <fill>
        <patternFill>
          <bgColor rgb="FFFFC7CE"/>
        </patternFill>
      </fill>
    </dxf>
    <dxf>
      <font>
        <b/>
        <i val="0"/>
        <color rgb="FFFF0000"/>
      </font>
    </dxf>
    <dxf>
      <font>
        <b/>
        <i val="0"/>
        <color rgb="FFFF0000"/>
      </font>
    </dxf>
    <dxf>
      <font>
        <color rgb="FF9C0006"/>
      </font>
      <fill>
        <patternFill>
          <bgColor rgb="FFFFC7CE"/>
        </patternFill>
      </fill>
    </dxf>
    <dxf>
      <numFmt numFmtId="0" formatCode="General"/>
    </dxf>
    <dxf>
      <numFmt numFmtId="0" formatCode="General"/>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65" formatCode="[$-14009]dd/mm/yyyy;@"/>
    </dxf>
    <dxf>
      <numFmt numFmtId="164" formatCode="&quot;₹&quot;\ #,##0"/>
    </dxf>
    <dxf>
      <fill>
        <patternFill patternType="solid">
          <fgColor indexed="64"/>
          <bgColor theme="1"/>
        </patternFill>
      </fill>
    </dxf>
    <dxf>
      <alignment horizontal="center"/>
    </dxf>
    <dxf>
      <alignment horizontal="center"/>
    </dxf>
    <dxf>
      <numFmt numFmtId="14" formatCode="0.00%"/>
    </dxf>
    <dxf>
      <numFmt numFmtId="0" formatCode="General"/>
    </dxf>
    <dxf>
      <numFmt numFmtId="166" formatCode="0.0"/>
    </dxf>
    <dxf>
      <numFmt numFmtId="1" formatCode="0"/>
    </dxf>
    <dxf>
      <alignment horizontal="center"/>
    </dxf>
    <dxf>
      <alignment horizontal="center"/>
    </dxf>
    <dxf>
      <alignment horizontal="center"/>
    </dxf>
  </dxfs>
  <tableStyles count="1" defaultTableStyle="TableStyleMedium9" defaultPivotStyle="PivotStyleLight16">
    <tableStyle name="Slicer Style 1" pivot="0" table="0" count="1" xr9:uid="{6E96D413-4C51-4E5A-B1AC-713A76298D40}"/>
  </tableStyles>
  <colors>
    <mruColors>
      <color rgb="FF631E6A"/>
      <color rgb="FF602928"/>
      <color rgb="FFA17F47"/>
      <color rgb="FF793181"/>
      <color rgb="FFCF3FBE"/>
      <color rgb="FFF11DBF"/>
      <color rgb="FFA8669A"/>
    </mruColors>
  </colors>
  <extLst>
    <ext xmlns:x14="http://schemas.microsoft.com/office/spreadsheetml/2009/9/main" uri="{46F421CA-312F-682f-3DD2-61675219B42D}">
      <x14:dxfs count="1">
        <dxf>
          <font>
            <b/>
            <i val="0"/>
            <color theme="7" tint="-0.499984740745262"/>
            <name val="Calibri"/>
            <family val="2"/>
            <scheme val="minor"/>
          </font>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3567708333333334"/>
          <c:y val="0.12307692307692308"/>
          <c:w val="0.39322916666666669"/>
          <c:h val="0.77435897435897438"/>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267-4C12-BF09-D9598E1D513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267-4C12-BF09-D9598E1D5132}"/>
              </c:ext>
            </c:extLst>
          </c:dPt>
          <c:val>
            <c:numRef>
              <c:f>rating!$B$11:$B$12</c:f>
              <c:numCache>
                <c:formatCode>0%</c:formatCode>
                <c:ptCount val="2"/>
                <c:pt idx="0">
                  <c:v>0.59740000000000004</c:v>
                </c:pt>
                <c:pt idx="1">
                  <c:v>0.40259999999999996</c:v>
                </c:pt>
              </c:numCache>
            </c:numRef>
          </c:val>
          <c:extLst>
            <c:ext xmlns:c16="http://schemas.microsoft.com/office/drawing/2014/chart" uri="{C3380CC4-5D6E-409C-BE32-E72D297353CC}">
              <c16:uniqueId val="{00000004-9267-4C12-BF09-D9598E1D5132}"/>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bar"/>
        <c:grouping val="stacked"/>
        <c:varyColors val="0"/>
        <c:ser>
          <c:idx val="0"/>
          <c:order val="0"/>
          <c:spPr>
            <a:solidFill>
              <a:schemeClr val="tx1">
                <a:lumMod val="75000"/>
                <a:lumOff val="25000"/>
              </a:schemeClr>
            </a:solidFill>
            <a:ln>
              <a:noFill/>
            </a:ln>
            <a:effectLst/>
          </c:spPr>
          <c:invertIfNegative val="0"/>
          <c:val>
            <c:numRef>
              <c:f>rating!$B$11</c:f>
              <c:numCache>
                <c:formatCode>0%</c:formatCode>
                <c:ptCount val="1"/>
                <c:pt idx="0">
                  <c:v>0.59740000000000004</c:v>
                </c:pt>
              </c:numCache>
            </c:numRef>
          </c:val>
          <c:extLst>
            <c:ext xmlns:c16="http://schemas.microsoft.com/office/drawing/2014/chart" uri="{C3380CC4-5D6E-409C-BE32-E72D297353CC}">
              <c16:uniqueId val="{00000000-6891-401F-9250-F07C11E8EABB}"/>
            </c:ext>
          </c:extLst>
        </c:ser>
        <c:ser>
          <c:idx val="1"/>
          <c:order val="1"/>
          <c:spPr>
            <a:noFill/>
            <a:ln>
              <a:noFill/>
            </a:ln>
            <a:effectLst/>
          </c:spPr>
          <c:invertIfNegative val="0"/>
          <c:val>
            <c:numRef>
              <c:f>rating!$B$12</c:f>
              <c:numCache>
                <c:formatCode>0%</c:formatCode>
                <c:ptCount val="1"/>
                <c:pt idx="0">
                  <c:v>0.40259999999999996</c:v>
                </c:pt>
              </c:numCache>
            </c:numRef>
          </c:val>
          <c:extLst>
            <c:ext xmlns:c16="http://schemas.microsoft.com/office/drawing/2014/chart" uri="{C3380CC4-5D6E-409C-BE32-E72D297353CC}">
              <c16:uniqueId val="{00000001-6891-401F-9250-F07C11E8EABB}"/>
            </c:ext>
          </c:extLst>
        </c:ser>
        <c:dLbls>
          <c:showLegendKey val="0"/>
          <c:showVal val="0"/>
          <c:showCatName val="0"/>
          <c:showSerName val="0"/>
          <c:showPercent val="0"/>
          <c:showBubbleSize val="0"/>
        </c:dLbls>
        <c:gapWidth val="0"/>
        <c:overlap val="100"/>
        <c:axId val="30650944"/>
        <c:axId val="22184016"/>
      </c:barChart>
      <c:catAx>
        <c:axId val="30650944"/>
        <c:scaling>
          <c:orientation val="minMax"/>
        </c:scaling>
        <c:delete val="1"/>
        <c:axPos val="l"/>
        <c:majorTickMark val="out"/>
        <c:minorTickMark val="none"/>
        <c:tickLblPos val="nextTo"/>
        <c:crossAx val="22184016"/>
        <c:crosses val="autoZero"/>
        <c:auto val="1"/>
        <c:lblAlgn val="ctr"/>
        <c:lblOffset val="100"/>
        <c:noMultiLvlLbl val="0"/>
      </c:catAx>
      <c:valAx>
        <c:axId val="22184016"/>
        <c:scaling>
          <c:orientation val="minMax"/>
          <c:max val="1"/>
        </c:scaling>
        <c:delete val="1"/>
        <c:axPos val="b"/>
        <c:numFmt formatCode="0%" sourceLinked="1"/>
        <c:majorTickMark val="out"/>
        <c:minorTickMark val="none"/>
        <c:tickLblPos val="nextTo"/>
        <c:crossAx val="30650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834222222222222"/>
          <c:y val="0.15208666666666668"/>
          <c:w val="0.6912228395061728"/>
          <c:h val="0.6912228395061728"/>
        </c:manualLayout>
      </c:layout>
      <c:doughnutChart>
        <c:varyColors val="1"/>
        <c:ser>
          <c:idx val="0"/>
          <c:order val="0"/>
          <c:dPt>
            <c:idx val="0"/>
            <c:bubble3D val="0"/>
            <c:spPr>
              <a:solidFill>
                <a:srgbClr val="CF3FBE"/>
              </a:solidFill>
              <a:ln w="19050">
                <a:solidFill>
                  <a:schemeClr val="lt1"/>
                </a:solidFill>
              </a:ln>
              <a:effectLst/>
            </c:spPr>
            <c:extLst>
              <c:ext xmlns:c16="http://schemas.microsoft.com/office/drawing/2014/chart" uri="{C3380CC4-5D6E-409C-BE32-E72D297353CC}">
                <c16:uniqueId val="{00000001-21A4-45A3-88CE-2C29578998F0}"/>
              </c:ext>
            </c:extLst>
          </c:dPt>
          <c:dPt>
            <c:idx val="1"/>
            <c:bubble3D val="0"/>
            <c:spPr>
              <a:solidFill>
                <a:schemeClr val="bg2">
                  <a:lumMod val="75000"/>
                  <a:alpha val="32000"/>
                </a:schemeClr>
              </a:solidFill>
              <a:ln w="19050">
                <a:solidFill>
                  <a:schemeClr val="lt1"/>
                </a:solidFill>
              </a:ln>
              <a:effectLst/>
            </c:spPr>
            <c:extLst>
              <c:ext xmlns:c16="http://schemas.microsoft.com/office/drawing/2014/chart" uri="{C3380CC4-5D6E-409C-BE32-E72D297353CC}">
                <c16:uniqueId val="{00000003-21A4-45A3-88CE-2C29578998F0}"/>
              </c:ext>
            </c:extLst>
          </c:dPt>
          <c:val>
            <c:numRef>
              <c:f>Gender!$C$9:$C$10</c:f>
              <c:numCache>
                <c:formatCode>0%</c:formatCode>
                <c:ptCount val="2"/>
                <c:pt idx="0">
                  <c:v>0.495</c:v>
                </c:pt>
                <c:pt idx="1">
                  <c:v>0.505</c:v>
                </c:pt>
              </c:numCache>
            </c:numRef>
          </c:val>
          <c:extLst>
            <c:ext xmlns:c16="http://schemas.microsoft.com/office/drawing/2014/chart" uri="{C3380CC4-5D6E-409C-BE32-E72D297353CC}">
              <c16:uniqueId val="{00000004-21A4-45A3-88CE-2C29578998F0}"/>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834222222222222"/>
          <c:y val="0.15208666666666668"/>
          <c:w val="0.6912228395061728"/>
          <c:h val="0.6912228395061728"/>
        </c:manualLayout>
      </c:layout>
      <c:doughnutChart>
        <c:varyColors val="1"/>
        <c:ser>
          <c:idx val="0"/>
          <c:order val="0"/>
          <c:dPt>
            <c:idx val="0"/>
            <c:bubble3D val="0"/>
            <c:spPr>
              <a:solidFill>
                <a:schemeClr val="bg1">
                  <a:lumMod val="85000"/>
                </a:schemeClr>
              </a:solidFill>
              <a:ln w="19050">
                <a:solidFill>
                  <a:schemeClr val="accent1">
                    <a:shade val="15000"/>
                    <a:alpha val="0"/>
                  </a:schemeClr>
                </a:solidFill>
              </a:ln>
              <a:effectLst/>
            </c:spPr>
            <c:extLst>
              <c:ext xmlns:c16="http://schemas.microsoft.com/office/drawing/2014/chart" uri="{C3380CC4-5D6E-409C-BE32-E72D297353CC}">
                <c16:uniqueId val="{00000001-B8F2-45FB-B480-362A7D082A60}"/>
              </c:ext>
            </c:extLst>
          </c:dPt>
          <c:dPt>
            <c:idx val="1"/>
            <c:bubble3D val="0"/>
            <c:spPr>
              <a:solidFill>
                <a:srgbClr val="002060"/>
              </a:solidFill>
              <a:ln w="19050">
                <a:solidFill>
                  <a:schemeClr val="lt1"/>
                </a:solidFill>
              </a:ln>
              <a:effectLst/>
            </c:spPr>
            <c:extLst>
              <c:ext xmlns:c16="http://schemas.microsoft.com/office/drawing/2014/chart" uri="{C3380CC4-5D6E-409C-BE32-E72D297353CC}">
                <c16:uniqueId val="{00000003-B8F2-45FB-B480-362A7D082A60}"/>
              </c:ext>
            </c:extLst>
          </c:dPt>
          <c:val>
            <c:numRef>
              <c:f>Gender!$C$9:$C$10</c:f>
              <c:numCache>
                <c:formatCode>0%</c:formatCode>
                <c:ptCount val="2"/>
                <c:pt idx="0">
                  <c:v>0.495</c:v>
                </c:pt>
                <c:pt idx="1">
                  <c:v>0.505</c:v>
                </c:pt>
              </c:numCache>
            </c:numRef>
          </c:val>
          <c:extLst>
            <c:ext xmlns:c16="http://schemas.microsoft.com/office/drawing/2014/chart" uri="{C3380CC4-5D6E-409C-BE32-E72D297353CC}">
              <c16:uniqueId val="{00000004-B8F2-45FB-B480-362A7D082A60}"/>
            </c:ext>
          </c:extLst>
        </c:ser>
        <c:dLbls>
          <c:showLegendKey val="0"/>
          <c:showVal val="0"/>
          <c:showCatName val="0"/>
          <c:showSerName val="0"/>
          <c:showPercent val="0"/>
          <c:showBubbleSize val="0"/>
          <c:showLeaderLines val="1"/>
        </c:dLbls>
        <c:firstSliceAng val="0"/>
        <c:holeSize val="69"/>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[HR_Analytics_Raw_Project_Dataset.xlsx]educationn by attrition!education by attrition</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'educationn by attrition'!$B$3</c:f>
              <c:strCache>
                <c:ptCount val="1"/>
                <c:pt idx="0">
                  <c:v>Total</c:v>
                </c:pt>
              </c:strCache>
            </c:strRef>
          </c:tx>
          <c:spPr>
            <a:solidFill>
              <a:schemeClr val="accent3">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'educationn by attrition'!$A$4:$A$9</c:f>
              <c:strCache>
                <c:ptCount val="5"/>
                <c:pt idx="0">
                  <c:v>MBA</c:v>
                </c:pt>
                <c:pt idx="1">
                  <c:v>B.Tech</c:v>
                </c:pt>
                <c:pt idx="2">
                  <c:v>M.Tech</c:v>
                </c:pt>
                <c:pt idx="3">
                  <c:v>MCA</c:v>
                </c:pt>
                <c:pt idx="4">
                  <c:v>B.Com</c:v>
                </c:pt>
              </c:strCache>
            </c:strRef>
          </c:cat>
          <c:val>
            <c:numRef>
              <c:f>'educationn by attrition'!$B$4:$B$9</c:f>
              <c:numCache>
                <c:formatCode>General</c:formatCode>
                <c:ptCount val="5"/>
                <c:pt idx="0">
                  <c:v>87</c:v>
                </c:pt>
                <c:pt idx="1">
                  <c:v>94</c:v>
                </c:pt>
                <c:pt idx="2">
                  <c:v>103</c:v>
                </c:pt>
                <c:pt idx="3">
                  <c:v>110</c:v>
                </c:pt>
                <c:pt idx="4">
                  <c:v>114</c:v>
                </c:pt>
              </c:numCache>
            </c:numRef>
          </c:val>
          <c:extLst>
            <c:ext xmlns:c16="http://schemas.microsoft.com/office/drawing/2014/chart" uri="{C3380CC4-5D6E-409C-BE32-E72D297353CC}">
              <c16:uniqueId val="{00000000-8280-4D9E-A6B1-D93166562B6A}"/>
            </c:ext>
          </c:extLst>
        </c:ser>
        <c:dLbls>
          <c:dLblPos val="outEnd"/>
          <c:showLegendKey val="0"/>
          <c:showVal val="1"/>
          <c:showCatName val="0"/>
          <c:showSerName val="0"/>
          <c:showPercent val="0"/>
          <c:showBubbleSize val="0"/>
        </c:dLbls>
        <c:gapWidth val="74"/>
        <c:overlap val="100"/>
        <c:axId val="1203760384"/>
        <c:axId val="22170096"/>
      </c:barChart>
      <c:catAx>
        <c:axId val="120376038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solidFill>
                <a:latin typeface="Bodoni MT Black" panose="02070A03080606020203" pitchFamily="18" charset="0"/>
                <a:ea typeface="+mn-ea"/>
                <a:cs typeface="+mn-cs"/>
              </a:defRPr>
            </a:pPr>
            <a:endParaRPr lang="en-US"/>
          </a:p>
        </c:txPr>
        <c:crossAx val="22170096"/>
        <c:crosses val="autoZero"/>
        <c:auto val="1"/>
        <c:lblAlgn val="ctr"/>
        <c:lblOffset val="100"/>
        <c:noMultiLvlLbl val="0"/>
      </c:catAx>
      <c:valAx>
        <c:axId val="2217009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3760384"/>
        <c:crosses val="autoZero"/>
        <c:crossBetween val="between"/>
      </c:valAx>
      <c:spPr>
        <a:noFill/>
        <a:ln>
          <a:solidFill>
            <a:schemeClr val="bg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[HR_Analytics_Raw_Project_Dataset.xlsx]Department wise attrition!Department wise attrition</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2">
                      <a:lumMod val="10000"/>
                    </a:schemeClr>
                  </a:solidFill>
                  <a:latin typeface="Arial Black" panose="020B0A040201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bg2">
              <a:lumMod val="50000"/>
            </a:schemeClr>
          </a:solidFill>
          <a:ln w="19050">
            <a:solidFill>
              <a:schemeClr val="lt1"/>
            </a:solidFill>
          </a:ln>
          <a:effectLst/>
        </c:spPr>
      </c:pivotFmt>
      <c:pivotFmt>
        <c:idx val="9"/>
        <c:spPr>
          <a:solidFill>
            <a:schemeClr val="tx1">
              <a:lumMod val="65000"/>
              <a:lumOff val="35000"/>
            </a:schemeClr>
          </a:solidFill>
          <a:ln w="19050">
            <a:solidFill>
              <a:schemeClr val="lt1"/>
            </a:solidFill>
          </a:ln>
          <a:effectLst/>
        </c:spPr>
      </c:pivotFmt>
      <c:pivotFmt>
        <c:idx val="10"/>
        <c:spPr>
          <a:solidFill>
            <a:schemeClr val="accent4">
              <a:lumMod val="60000"/>
              <a:lumOff val="40000"/>
            </a:schemeClr>
          </a:solidFill>
          <a:ln w="19050">
            <a:solidFill>
              <a:schemeClr val="accent1">
                <a:alpha val="7000"/>
              </a:schemeClr>
            </a:solidFill>
          </a:ln>
          <a:effectLst/>
        </c:spPr>
      </c:pivotFmt>
      <c:pivotFmt>
        <c:idx val="11"/>
        <c:spPr>
          <a:solidFill>
            <a:schemeClr val="accent4">
              <a:lumMod val="75000"/>
            </a:schemeClr>
          </a:solidFill>
          <a:ln w="19050">
            <a:solidFill>
              <a:schemeClr val="lt1"/>
            </a:solidFill>
          </a:ln>
          <a:effectLst/>
        </c:spPr>
      </c:pivotFmt>
      <c:pivotFmt>
        <c:idx val="12"/>
        <c:spPr>
          <a:solidFill>
            <a:schemeClr val="tx2">
              <a:lumMod val="60000"/>
              <a:lumOff val="40000"/>
            </a:schemeClr>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s>
    <c:plotArea>
      <c:layout/>
      <c:pieChart>
        <c:varyColors val="1"/>
        <c:ser>
          <c:idx val="0"/>
          <c:order val="0"/>
          <c:tx>
            <c:strRef>
              <c:f>'Department wise attrition'!$B$3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EC4-46AA-B679-90AC258A267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EC4-46AA-B679-90AC258A267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'Department wise attrition'!$A$4:$A$6</c:f>
              <c:strCache>
                <c:ptCount val="2"/>
                <c:pt idx="0">
                  <c:v>No</c:v>
                </c:pt>
                <c:pt idx="1">
                  <c:v>Yes</c:v>
                </c:pt>
              </c:strCache>
            </c:strRef>
          </c:cat>
          <c:val>
            <c:numRef>
              <c:f>'Department wise attrition'!$B$4:$B$6</c:f>
              <c:numCache>
                <c:formatCode>0.00%</c:formatCode>
                <c:ptCount val="2"/>
                <c:pt idx="0">
                  <c:v>0.49199999999999999</c:v>
                </c:pt>
                <c:pt idx="1">
                  <c:v>0.50800000000000001</c:v>
                </c:pt>
              </c:numCache>
            </c:numRef>
          </c:val>
          <c:extLst>
            <c:ext xmlns:c16="http://schemas.microsoft.com/office/drawing/2014/chart" uri="{C3380CC4-5D6E-409C-BE32-E72D297353CC}">
              <c16:uniqueId val="{00000018-8B35-4912-A96A-4E28625AE88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9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[HR_Analytics_Raw_Project_Dataset.xlsx]Attrition by Age group!Attrition by Age group</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4">
                  <a:lumMod val="40000"/>
                  <a:lumOff val="60000"/>
                </a:schemeClr>
              </a:gs>
              <a:gs pos="49000">
                <a:schemeClr val="accent4">
                  <a:lumMod val="95000"/>
                  <a:lumOff val="5000"/>
                </a:schemeClr>
              </a:gs>
              <a:gs pos="100000">
                <a:schemeClr val="accent4">
                  <a:lumMod val="60000"/>
                </a:schemeClr>
              </a:gs>
            </a:gsLst>
            <a:path path="circle">
              <a:fillToRect l="50000" t="130000" r="50000" b="-3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010254986167498E-4"/>
          <c:y val="6.5244667503136761E-2"/>
          <c:w val="0.99948989745013828"/>
          <c:h val="0.82836494456505394"/>
        </c:manualLayout>
      </c:layout>
      <c:barChart>
        <c:barDir val="col"/>
        <c:grouping val="clustered"/>
        <c:varyColors val="0"/>
        <c:ser>
          <c:idx val="0"/>
          <c:order val="0"/>
          <c:tx>
            <c:strRef>
              <c:f>'Attrition by Age group'!$B$3</c:f>
              <c:strCache>
                <c:ptCount val="1"/>
                <c:pt idx="0">
                  <c:v>Total</c:v>
                </c:pt>
              </c:strCache>
            </c:strRef>
          </c:tx>
          <c:spPr>
            <a:gradFill flip="none" rotWithShape="1">
              <a:gsLst>
                <a:gs pos="0">
                  <a:schemeClr val="accent4">
                    <a:lumMod val="40000"/>
                    <a:lumOff val="60000"/>
                  </a:schemeClr>
                </a:gs>
                <a:gs pos="49000">
                  <a:schemeClr val="accent4">
                    <a:lumMod val="95000"/>
                    <a:lumOff val="5000"/>
                  </a:schemeClr>
                </a:gs>
                <a:gs pos="100000">
                  <a:schemeClr val="accent4">
                    <a:lumMod val="60000"/>
                  </a:schemeClr>
                </a:gs>
              </a:gsLst>
              <a:path path="circle">
                <a:fillToRect l="50000" t="130000" r="50000" b="-30000"/>
              </a:path>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 group'!$A$4:$A$10</c:f>
              <c:strCache>
                <c:ptCount val="6"/>
                <c:pt idx="0">
                  <c:v>40-49</c:v>
                </c:pt>
                <c:pt idx="1">
                  <c:v>50+</c:v>
                </c:pt>
                <c:pt idx="2">
                  <c:v>25-29</c:v>
                </c:pt>
                <c:pt idx="3">
                  <c:v>30-34</c:v>
                </c:pt>
                <c:pt idx="4">
                  <c:v>35-39</c:v>
                </c:pt>
                <c:pt idx="5">
                  <c:v>18-24</c:v>
                </c:pt>
              </c:strCache>
            </c:strRef>
          </c:cat>
          <c:val>
            <c:numRef>
              <c:f>'Attrition by Age group'!$B$4:$B$10</c:f>
              <c:numCache>
                <c:formatCode>General</c:formatCode>
                <c:ptCount val="6"/>
                <c:pt idx="0">
                  <c:v>278</c:v>
                </c:pt>
                <c:pt idx="1">
                  <c:v>253</c:v>
                </c:pt>
                <c:pt idx="2">
                  <c:v>142</c:v>
                </c:pt>
                <c:pt idx="3">
                  <c:v>132</c:v>
                </c:pt>
                <c:pt idx="4">
                  <c:v>128</c:v>
                </c:pt>
                <c:pt idx="5">
                  <c:v>67</c:v>
                </c:pt>
              </c:numCache>
            </c:numRef>
          </c:val>
          <c:extLst>
            <c:ext xmlns:c16="http://schemas.microsoft.com/office/drawing/2014/chart" uri="{C3380CC4-5D6E-409C-BE32-E72D297353CC}">
              <c16:uniqueId val="{00000000-7B24-4C9B-A4D2-8484568F1CB9}"/>
            </c:ext>
          </c:extLst>
        </c:ser>
        <c:dLbls>
          <c:showLegendKey val="0"/>
          <c:showVal val="0"/>
          <c:showCatName val="0"/>
          <c:showSerName val="0"/>
          <c:showPercent val="0"/>
          <c:showBubbleSize val="0"/>
        </c:dLbls>
        <c:gapWidth val="219"/>
        <c:overlap val="-27"/>
        <c:axId val="701125072"/>
        <c:axId val="383514256"/>
      </c:barChart>
      <c:catAx>
        <c:axId val="701125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514256"/>
        <c:crosses val="autoZero"/>
        <c:auto val="1"/>
        <c:lblAlgn val="ctr"/>
        <c:lblOffset val="100"/>
        <c:noMultiLvlLbl val="0"/>
      </c:catAx>
      <c:valAx>
        <c:axId val="383514256"/>
        <c:scaling>
          <c:orientation val="minMax"/>
        </c:scaling>
        <c:delete val="1"/>
        <c:axPos val="l"/>
        <c:numFmt formatCode="General" sourceLinked="1"/>
        <c:majorTickMark val="none"/>
        <c:minorTickMark val="none"/>
        <c:tickLblPos val="nextTo"/>
        <c:crossAx val="701125072"/>
        <c:crosses val="autoZero"/>
        <c:crossBetween val="between"/>
      </c:valAx>
      <c:spPr>
        <a:noFill/>
        <a:ln>
          <a:solidFill>
            <a:schemeClr val="bg1">
              <a:lumMod val="95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bg2">
                <a:lumMod val="50000"/>
              </a:schemeClr>
            </a:solidFill>
            <a:ln>
              <a:solidFill>
                <a:srgbClr val="602928">
                  <a:alpha val="88000"/>
                </a:srgb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'City wise Attrition '!$A$13:$A$17</c:f>
              <c:strCache>
                <c:ptCount val="5"/>
                <c:pt idx="0">
                  <c:v>Bengaluru</c:v>
                </c:pt>
                <c:pt idx="1">
                  <c:v>Chennai</c:v>
                </c:pt>
                <c:pt idx="2">
                  <c:v>Delhi</c:v>
                </c:pt>
                <c:pt idx="3">
                  <c:v>Hyderabad</c:v>
                </c:pt>
                <c:pt idx="4">
                  <c:v>Pune</c:v>
                </c:pt>
              </c:strCache>
            </c:strRef>
          </c:cat>
          <c:val>
            <c:numRef>
              <c:f>'City wise Attrition '!$B$13:$B$17</c:f>
              <c:numCache>
                <c:formatCode>0%</c:formatCode>
                <c:ptCount val="5"/>
                <c:pt idx="0">
                  <c:v>0.56382978723404253</c:v>
                </c:pt>
                <c:pt idx="1">
                  <c:v>0.45454545454545453</c:v>
                </c:pt>
                <c:pt idx="2">
                  <c:v>0.4891304347826087</c:v>
                </c:pt>
                <c:pt idx="3">
                  <c:v>0.56279069767441858</c:v>
                </c:pt>
                <c:pt idx="4">
                  <c:v>0.47058823529411764</c:v>
                </c:pt>
              </c:numCache>
            </c:numRef>
          </c:val>
          <c:extLst>
            <c:ext xmlns:c16="http://schemas.microsoft.com/office/drawing/2014/chart" uri="{C3380CC4-5D6E-409C-BE32-E72D297353CC}">
              <c16:uniqueId val="{00000000-85B1-4F7E-9427-5B121C02AAC2}"/>
            </c:ext>
          </c:extLst>
        </c:ser>
        <c:dLbls>
          <c:dLblPos val="outEnd"/>
          <c:showLegendKey val="0"/>
          <c:showVal val="1"/>
          <c:showCatName val="0"/>
          <c:showSerName val="0"/>
          <c:showPercent val="0"/>
          <c:showBubbleSize val="0"/>
        </c:dLbls>
        <c:gapWidth val="146"/>
        <c:overlap val="-68"/>
        <c:axId val="701145024"/>
        <c:axId val="742290736"/>
      </c:barChart>
      <c:catAx>
        <c:axId val="701145024"/>
        <c:scaling>
          <c:orientation val="minMax"/>
        </c:scaling>
        <c:delete val="0"/>
        <c:axPos val="l"/>
        <c:numFmt formatCode="General" sourceLinked="1"/>
        <c:majorTickMark val="out"/>
        <c:minorTickMark val="none"/>
        <c:tickLblPos val="nextTo"/>
        <c:spPr>
          <a:noFill/>
          <a:ln w="9525" cap="flat" cmpd="sng" algn="ctr">
            <a:solidFill>
              <a:schemeClr val="bg1"/>
            </a:solidFill>
            <a:round/>
          </a:ln>
          <a:effectLst/>
        </c:spPr>
        <c:txPr>
          <a:bodyPr rot="-60000000" spcFirstLastPara="1" vertOverflow="ellipsis" vert="horz" wrap="square" anchor="ctr" anchorCtr="1"/>
          <a:lstStyle/>
          <a:p>
            <a:pPr>
              <a:defRPr sz="800" b="1" i="0" u="none" strike="noStrike" kern="1200" baseline="0">
                <a:solidFill>
                  <a:schemeClr val="tx1">
                    <a:lumMod val="85000"/>
                    <a:lumOff val="15000"/>
                  </a:schemeClr>
                </a:solidFill>
                <a:latin typeface="Times New Roman" panose="02020603050405020304" pitchFamily="18" charset="0"/>
                <a:ea typeface="+mn-ea"/>
                <a:cs typeface="Times New Roman" panose="02020603050405020304" pitchFamily="18" charset="0"/>
              </a:defRPr>
            </a:pPr>
            <a:endParaRPr lang="en-US"/>
          </a:p>
        </c:txPr>
        <c:crossAx val="742290736"/>
        <c:crosses val="autoZero"/>
        <c:auto val="1"/>
        <c:lblAlgn val="ctr"/>
        <c:lblOffset val="100"/>
        <c:noMultiLvlLbl val="0"/>
      </c:catAx>
      <c:valAx>
        <c:axId val="742290736"/>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0114502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6598027519287359"/>
          <c:y val="0.2152769028871391"/>
          <c:w val="0.39322916666666669"/>
          <c:h val="0.77435897435897438"/>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068-4947-BD54-AAED65BF79A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068-4947-BD54-AAED65BF79A9}"/>
              </c:ext>
            </c:extLst>
          </c:dPt>
          <c:val>
            <c:numRef>
              <c:f>rating!$B$11:$B$12</c:f>
              <c:numCache>
                <c:formatCode>0%</c:formatCode>
                <c:ptCount val="2"/>
                <c:pt idx="0">
                  <c:v>0.59740000000000004</c:v>
                </c:pt>
                <c:pt idx="1">
                  <c:v>0.40259999999999996</c:v>
                </c:pt>
              </c:numCache>
            </c:numRef>
          </c:val>
          <c:extLst>
            <c:ext xmlns:c16="http://schemas.microsoft.com/office/drawing/2014/chart" uri="{C3380CC4-5D6E-409C-BE32-E72D297353CC}">
              <c16:uniqueId val="{00000000-3E7B-4029-9BB0-E46BD55AD195}"/>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val>
            <c:numRef>
              <c:f>rating!$B$11</c:f>
              <c:numCache>
                <c:formatCode>0%</c:formatCode>
                <c:ptCount val="1"/>
                <c:pt idx="0">
                  <c:v>0.59740000000000004</c:v>
                </c:pt>
              </c:numCache>
            </c:numRef>
          </c:val>
          <c:extLst>
            <c:ext xmlns:c16="http://schemas.microsoft.com/office/drawing/2014/chart" uri="{C3380CC4-5D6E-409C-BE32-E72D297353CC}">
              <c16:uniqueId val="{00000000-F41B-4258-B1A4-F643D59ECAA1}"/>
            </c:ext>
          </c:extLst>
        </c:ser>
        <c:ser>
          <c:idx val="1"/>
          <c:order val="1"/>
          <c:spPr>
            <a:solidFill>
              <a:schemeClr val="accent2"/>
            </a:solidFill>
            <a:ln>
              <a:noFill/>
            </a:ln>
            <a:effectLst/>
          </c:spPr>
          <c:invertIfNegative val="0"/>
          <c:val>
            <c:numRef>
              <c:f>rating!$B$12</c:f>
              <c:numCache>
                <c:formatCode>0%</c:formatCode>
                <c:ptCount val="1"/>
                <c:pt idx="0">
                  <c:v>0.40259999999999996</c:v>
                </c:pt>
              </c:numCache>
            </c:numRef>
          </c:val>
          <c:extLst>
            <c:ext xmlns:c16="http://schemas.microsoft.com/office/drawing/2014/chart" uri="{C3380CC4-5D6E-409C-BE32-E72D297353CC}">
              <c16:uniqueId val="{00000001-F41B-4258-B1A4-F643D59ECAA1}"/>
            </c:ext>
          </c:extLst>
        </c:ser>
        <c:dLbls>
          <c:showLegendKey val="0"/>
          <c:showVal val="0"/>
          <c:showCatName val="0"/>
          <c:showSerName val="0"/>
          <c:showPercent val="0"/>
          <c:showBubbleSize val="0"/>
        </c:dLbls>
        <c:gapWidth val="0"/>
        <c:overlap val="100"/>
        <c:axId val="30650944"/>
        <c:axId val="22184016"/>
      </c:barChart>
      <c:catAx>
        <c:axId val="30650944"/>
        <c:scaling>
          <c:orientation val="minMax"/>
        </c:scaling>
        <c:delete val="0"/>
        <c:axPos val="l"/>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84016"/>
        <c:crosses val="autoZero"/>
        <c:auto val="1"/>
        <c:lblAlgn val="ctr"/>
        <c:lblOffset val="100"/>
        <c:noMultiLvlLbl val="0"/>
      </c:catAx>
      <c:valAx>
        <c:axId val="22184016"/>
        <c:scaling>
          <c:orientation val="minMax"/>
          <c:max val="1"/>
        </c:scaling>
        <c:delete val="1"/>
        <c:axPos val="b"/>
        <c:numFmt formatCode="0%" sourceLinked="1"/>
        <c:majorTickMark val="out"/>
        <c:minorTickMark val="none"/>
        <c:tickLblPos val="nextTo"/>
        <c:crossAx val="30650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96999250582595"/>
          <c:y val="9.6296296296296297E-2"/>
          <c:w val="0.58930899608865706"/>
          <c:h val="0.83703703703703702"/>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5A0-4D53-8B47-C48D2EA9FE0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5A0-4D53-8B47-C48D2EA9FE0D}"/>
              </c:ext>
            </c:extLst>
          </c:dPt>
          <c:val>
            <c:numRef>
              <c:f>Gender!$C$9:$C$10</c:f>
              <c:numCache>
                <c:formatCode>0%</c:formatCode>
                <c:ptCount val="2"/>
                <c:pt idx="0">
                  <c:v>0.495</c:v>
                </c:pt>
                <c:pt idx="1">
                  <c:v>0.505</c:v>
                </c:pt>
              </c:numCache>
            </c:numRef>
          </c:val>
          <c:extLst>
            <c:ext xmlns:c16="http://schemas.microsoft.com/office/drawing/2014/chart" uri="{C3380CC4-5D6E-409C-BE32-E72D297353CC}">
              <c16:uniqueId val="{00000000-52EC-4DBE-998F-AAB48C799246}"/>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[HR_Analytics_Raw_Project_Dataset.xlsx]educationn by attrition!education by attrition</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'educationn by 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'educationn by attrition'!$A$4:$A$9</c:f>
              <c:strCache>
                <c:ptCount val="5"/>
                <c:pt idx="0">
                  <c:v>MBA</c:v>
                </c:pt>
                <c:pt idx="1">
                  <c:v>B.Tech</c:v>
                </c:pt>
                <c:pt idx="2">
                  <c:v>M.Tech</c:v>
                </c:pt>
                <c:pt idx="3">
                  <c:v>MCA</c:v>
                </c:pt>
                <c:pt idx="4">
                  <c:v>B.Com</c:v>
                </c:pt>
              </c:strCache>
            </c:strRef>
          </c:cat>
          <c:val>
            <c:numRef>
              <c:f>'educationn by attrition'!$B$4:$B$9</c:f>
              <c:numCache>
                <c:formatCode>General</c:formatCode>
                <c:ptCount val="5"/>
                <c:pt idx="0">
                  <c:v>87</c:v>
                </c:pt>
                <c:pt idx="1">
                  <c:v>94</c:v>
                </c:pt>
                <c:pt idx="2">
                  <c:v>103</c:v>
                </c:pt>
                <c:pt idx="3">
                  <c:v>110</c:v>
                </c:pt>
                <c:pt idx="4">
                  <c:v>114</c:v>
                </c:pt>
              </c:numCache>
            </c:numRef>
          </c:val>
          <c:extLst>
            <c:ext xmlns:c16="http://schemas.microsoft.com/office/drawing/2014/chart" uri="{C3380CC4-5D6E-409C-BE32-E72D297353CC}">
              <c16:uniqueId val="{00000000-A88D-45F1-A11C-0ACD29D09732}"/>
            </c:ext>
          </c:extLst>
        </c:ser>
        <c:dLbls>
          <c:dLblPos val="outEnd"/>
          <c:showLegendKey val="0"/>
          <c:showVal val="1"/>
          <c:showCatName val="0"/>
          <c:showSerName val="0"/>
          <c:showPercent val="0"/>
          <c:showBubbleSize val="0"/>
        </c:dLbls>
        <c:gapWidth val="182"/>
        <c:axId val="1203760384"/>
        <c:axId val="22170096"/>
      </c:barChart>
      <c:catAx>
        <c:axId val="120376038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70096"/>
        <c:crosses val="autoZero"/>
        <c:auto val="1"/>
        <c:lblAlgn val="ctr"/>
        <c:lblOffset val="100"/>
        <c:noMultiLvlLbl val="0"/>
      </c:catAx>
      <c:valAx>
        <c:axId val="2217009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3760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[HR_Analytics_Raw_Project_Dataset.xlsx]Department wise attrition!Department wise attrition</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s>
    <c:plotArea>
      <c:layout/>
      <c:pieChart>
        <c:varyColors val="1"/>
        <c:ser>
          <c:idx val="0"/>
          <c:order val="0"/>
          <c:tx>
            <c:strRef>
              <c:f>'Department wise attrition'!$B$3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D83-45CA-94CF-2CAA8AE88C8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D83-45CA-94CF-2CAA8AE88C8A}"/>
              </c:ext>
            </c:extLst>
          </c:dPt>
          <c:cat>
            <c:strRef>
              <c:f>'Department wise attrition'!$A$4:$A$6</c:f>
              <c:strCache>
                <c:ptCount val="2"/>
                <c:pt idx="0">
                  <c:v>No</c:v>
                </c:pt>
                <c:pt idx="1">
                  <c:v>Yes</c:v>
                </c:pt>
              </c:strCache>
            </c:strRef>
          </c:cat>
          <c:val>
            <c:numRef>
              <c:f>'Department wise attrition'!$B$4:$B$6</c:f>
              <c:numCache>
                <c:formatCode>0.00%</c:formatCode>
                <c:ptCount val="2"/>
                <c:pt idx="0">
                  <c:v>0.49199999999999999</c:v>
                </c:pt>
                <c:pt idx="1">
                  <c:v>0.50800000000000001</c:v>
                </c:pt>
              </c:numCache>
            </c:numRef>
          </c:val>
          <c:extLst>
            <c:ext xmlns:c16="http://schemas.microsoft.com/office/drawing/2014/chart" uri="{C3380CC4-5D6E-409C-BE32-E72D297353CC}">
              <c16:uniqueId val="{00000018-B008-41FD-ACC7-FC17CEAD1A0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[HR_Analytics_Raw_Project_Dataset.xlsx]Attrition by Age group!Attrition by Age group</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group'!$B$3</c:f>
              <c:strCache>
                <c:ptCount val="1"/>
                <c:pt idx="0">
                  <c:v>Total</c:v>
                </c:pt>
              </c:strCache>
            </c:strRef>
          </c:tx>
          <c:spPr>
            <a:solidFill>
              <a:schemeClr val="accent1"/>
            </a:solidFill>
            <a:ln>
              <a:noFill/>
            </a:ln>
            <a:effectLst/>
          </c:spPr>
          <c:invertIfNegative val="0"/>
          <c:cat>
            <c:strRef>
              <c:f>'Attrition by Age group'!$A$4:$A$10</c:f>
              <c:strCache>
                <c:ptCount val="6"/>
                <c:pt idx="0">
                  <c:v>40-49</c:v>
                </c:pt>
                <c:pt idx="1">
                  <c:v>50+</c:v>
                </c:pt>
                <c:pt idx="2">
                  <c:v>25-29</c:v>
                </c:pt>
                <c:pt idx="3">
                  <c:v>30-34</c:v>
                </c:pt>
                <c:pt idx="4">
                  <c:v>35-39</c:v>
                </c:pt>
                <c:pt idx="5">
                  <c:v>18-24</c:v>
                </c:pt>
              </c:strCache>
            </c:strRef>
          </c:cat>
          <c:val>
            <c:numRef>
              <c:f>'Attrition by Age group'!$B$4:$B$10</c:f>
              <c:numCache>
                <c:formatCode>General</c:formatCode>
                <c:ptCount val="6"/>
                <c:pt idx="0">
                  <c:v>278</c:v>
                </c:pt>
                <c:pt idx="1">
                  <c:v>253</c:v>
                </c:pt>
                <c:pt idx="2">
                  <c:v>142</c:v>
                </c:pt>
                <c:pt idx="3">
                  <c:v>132</c:v>
                </c:pt>
                <c:pt idx="4">
                  <c:v>128</c:v>
                </c:pt>
                <c:pt idx="5">
                  <c:v>67</c:v>
                </c:pt>
              </c:numCache>
            </c:numRef>
          </c:val>
          <c:extLst>
            <c:ext xmlns:c16="http://schemas.microsoft.com/office/drawing/2014/chart" uri="{C3380CC4-5D6E-409C-BE32-E72D297353CC}">
              <c16:uniqueId val="{00000000-25D4-46DC-A9F1-15609FEA3B3D}"/>
            </c:ext>
          </c:extLst>
        </c:ser>
        <c:dLbls>
          <c:showLegendKey val="0"/>
          <c:showVal val="0"/>
          <c:showCatName val="0"/>
          <c:showSerName val="0"/>
          <c:showPercent val="0"/>
          <c:showBubbleSize val="0"/>
        </c:dLbls>
        <c:gapWidth val="219"/>
        <c:overlap val="-27"/>
        <c:axId val="701125072"/>
        <c:axId val="383514256"/>
      </c:barChart>
      <c:catAx>
        <c:axId val="701125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514256"/>
        <c:crosses val="autoZero"/>
        <c:auto val="1"/>
        <c:lblAlgn val="ctr"/>
        <c:lblOffset val="100"/>
        <c:noMultiLvlLbl val="0"/>
      </c:catAx>
      <c:valAx>
        <c:axId val="383514256"/>
        <c:scaling>
          <c:orientation val="minMax"/>
        </c:scaling>
        <c:delete val="1"/>
        <c:axPos val="l"/>
        <c:numFmt formatCode="General" sourceLinked="1"/>
        <c:majorTickMark val="none"/>
        <c:minorTickMark val="none"/>
        <c:tickLblPos val="nextTo"/>
        <c:crossAx val="701125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'City wise Attrition '!$A$13:$A$17</c:f>
              <c:strCache>
                <c:ptCount val="5"/>
                <c:pt idx="0">
                  <c:v>Bengaluru</c:v>
                </c:pt>
                <c:pt idx="1">
                  <c:v>Chennai</c:v>
                </c:pt>
                <c:pt idx="2">
                  <c:v>Delhi</c:v>
                </c:pt>
                <c:pt idx="3">
                  <c:v>Hyderabad</c:v>
                </c:pt>
                <c:pt idx="4">
                  <c:v>Pune</c:v>
                </c:pt>
              </c:strCache>
            </c:strRef>
          </c:cat>
          <c:val>
            <c:numRef>
              <c:f>'City wise Attrition '!$B$13:$B$17</c:f>
              <c:numCache>
                <c:formatCode>0%</c:formatCode>
                <c:ptCount val="5"/>
                <c:pt idx="0">
                  <c:v>0.56382978723404253</c:v>
                </c:pt>
                <c:pt idx="1">
                  <c:v>0.45454545454545453</c:v>
                </c:pt>
                <c:pt idx="2">
                  <c:v>0.4891304347826087</c:v>
                </c:pt>
                <c:pt idx="3">
                  <c:v>0.56279069767441858</c:v>
                </c:pt>
                <c:pt idx="4">
                  <c:v>0.47058823529411764</c:v>
                </c:pt>
              </c:numCache>
            </c:numRef>
          </c:val>
          <c:extLst>
            <c:ext xmlns:c16="http://schemas.microsoft.com/office/drawing/2014/chart" uri="{C3380CC4-5D6E-409C-BE32-E72D297353CC}">
              <c16:uniqueId val="{00000000-02C3-4265-88A8-9A10BFBEB53B}"/>
            </c:ext>
          </c:extLst>
        </c:ser>
        <c:dLbls>
          <c:dLblPos val="outEnd"/>
          <c:showLegendKey val="0"/>
          <c:showVal val="1"/>
          <c:showCatName val="0"/>
          <c:showSerName val="0"/>
          <c:showPercent val="0"/>
          <c:showBubbleSize val="0"/>
        </c:dLbls>
        <c:gapWidth val="182"/>
        <c:axId val="701145024"/>
        <c:axId val="742290736"/>
      </c:barChart>
      <c:catAx>
        <c:axId val="701145024"/>
        <c:scaling>
          <c:orientation val="minMax"/>
        </c:scaling>
        <c:delete val="0"/>
        <c:axPos val="l"/>
        <c:numFmt formatCode="General" sourceLinked="1"/>
        <c:majorTickMark val="out"/>
        <c:minorTickMark val="none"/>
        <c:tickLblPos val="nextTo"/>
        <c:spPr>
          <a:noFill/>
          <a:ln w="9525" cap="flat" cmpd="sng" algn="ctr">
            <a:solidFill>
              <a:schemeClr val="bg1"/>
            </a:solidFill>
            <a:round/>
          </a:ln>
          <a:effectLst/>
        </c:spPr>
        <c:txPr>
          <a:bodyPr rot="-60000000" spcFirstLastPara="1" vertOverflow="ellipsis" vert="horz" wrap="square" anchor="ctr" anchorCtr="1"/>
          <a:lstStyle/>
          <a:p>
            <a:pPr>
              <a:defRPr sz="800" b="1" i="0" u="none" strike="noStrike" kern="1200" baseline="0">
                <a:solidFill>
                  <a:schemeClr val="tx1">
                    <a:lumMod val="85000"/>
                    <a:lumOff val="15000"/>
                  </a:schemeClr>
                </a:solidFill>
                <a:latin typeface="Times New Roman" panose="02020603050405020304" pitchFamily="18" charset="0"/>
                <a:ea typeface="+mn-ea"/>
                <a:cs typeface="Times New Roman" panose="02020603050405020304" pitchFamily="18" charset="0"/>
              </a:defRPr>
            </a:pPr>
            <a:endParaRPr lang="en-US"/>
          </a:p>
        </c:txPr>
        <c:crossAx val="742290736"/>
        <c:crosses val="autoZero"/>
        <c:auto val="1"/>
        <c:lblAlgn val="ctr"/>
        <c:lblOffset val="100"/>
        <c:noMultiLvlLbl val="0"/>
      </c:catAx>
      <c:valAx>
        <c:axId val="742290736"/>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1450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treemap" uniqueId="{00000000-9C80-47AB-9034-80453107AD2D}">
          <cx:tx>
            <cx:txData>
              <cx:f>_xlchart.v1.1</cx:f>
              <cx:v>Attrition</cx:v>
            </cx:txData>
          </cx:tx>
          <cx:spPr>
            <a:ln>
              <a:solidFill>
                <a:schemeClr val="bg2"/>
              </a:solidFill>
            </a:ln>
          </cx:spPr>
          <cx:dataLabels pos="inEnd">
            <cx:visibility seriesName="0" categoryName="1" value="0"/>
          </cx:dataLabels>
          <cx:dataId val="0"/>
          <cx:layoutPr>
            <cx:parentLabelLayout val="none"/>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plotArea>
      <cx:plotAreaRegion>
        <cx:series layoutId="treemap" uniqueId="{00000000-9C80-47AB-9034-80453107AD2D}">
          <cx:tx>
            <cx:txData>
              <cx:f>_xlchart.v1.4</cx:f>
              <cx:v>Attrition</cx:v>
            </cx:txData>
          </cx:tx>
          <cx:dataLabels pos="inEnd">
            <cx:visibility seriesName="0" categoryName="1" value="0"/>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1.xml"/><Relationship Id="rId13" Type="http://schemas.openxmlformats.org/officeDocument/2006/relationships/image" Target="../media/image9.svg"/><Relationship Id="rId18" Type="http://schemas.openxmlformats.org/officeDocument/2006/relationships/chart" Target="../charts/chart6.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8.png"/><Relationship Id="rId17" Type="http://schemas.microsoft.com/office/2014/relationships/chartEx" Target="../charts/chartEx1.xml"/><Relationship Id="rId2" Type="http://schemas.openxmlformats.org/officeDocument/2006/relationships/image" Target="../media/image2.png"/><Relationship Id="rId16" Type="http://schemas.openxmlformats.org/officeDocument/2006/relationships/chart" Target="../charts/chart5.xml"/><Relationship Id="rId20" Type="http://schemas.openxmlformats.org/officeDocument/2006/relationships/chart" Target="../charts/chart8.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4.xml"/><Relationship Id="rId5" Type="http://schemas.openxmlformats.org/officeDocument/2006/relationships/image" Target="../media/image5.png"/><Relationship Id="rId15" Type="http://schemas.openxmlformats.org/officeDocument/2006/relationships/image" Target="../media/image11.svg"/><Relationship Id="rId10" Type="http://schemas.openxmlformats.org/officeDocument/2006/relationships/chart" Target="../charts/chart3.xml"/><Relationship Id="rId19" Type="http://schemas.openxmlformats.org/officeDocument/2006/relationships/chart" Target="../charts/chart7.xml"/><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10.png"/></Relationships>
</file>

<file path=xl/drawings/_rels/drawing4.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1" Type="http://schemas.microsoft.com/office/2014/relationships/chartEx" Target="../charts/chartEx2.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editAs="oneCell">
    <xdr:from>
      <xdr:col>11</xdr:col>
      <xdr:colOff>241300</xdr:colOff>
      <xdr:row>4</xdr:row>
      <xdr:rowOff>82550</xdr:rowOff>
    </xdr:from>
    <xdr:to>
      <xdr:col>15</xdr:col>
      <xdr:colOff>292100</xdr:colOff>
      <xdr:row>18</xdr:row>
      <xdr:rowOff>28575</xdr:rowOff>
    </xdr:to>
    <mc:AlternateContent xmlns:mc="http://schemas.openxmlformats.org/markup-compatibility/2006" xmlns:a14="http://schemas.microsoft.com/office/drawing/2010/main">
      <mc:Choice Requires="a14">
        <xdr:graphicFrame macro="">
          <xdr:nvGraphicFramePr>
            <xdr:cNvPr id="4" name="Department 3">
              <a:extLst>
                <a:ext uri="{FF2B5EF4-FFF2-40B4-BE49-F238E27FC236}">
                  <a16:creationId xmlns:a16="http://schemas.microsoft.com/office/drawing/2014/main" id="{73776ED5-7B48-F27A-AC50-3D3F6733041F}"/>
                </a:ext>
              </a:extLst>
            </xdr:cNvPr>
            <xdr:cNvGraphicFramePr/>
          </xdr:nvGraphicFramePr>
          <xdr:xfrm>
            <a:off x="0" y="0"/>
            <a:ext cx="0" cy="0"/>
          </xdr:xfrm>
          <a:graphic>
            <a:graphicData uri="http://schemas.microsoft.com/office/drawing/2010/slicer">
              <sle:slicer xmlns:sle="http://schemas.microsoft.com/office/drawing/2010/slicer" name="Department 3"/>
            </a:graphicData>
          </a:graphic>
        </xdr:graphicFrame>
      </mc:Choice>
      <mc:Fallback xmlns="">
        <xdr:sp macro="" textlink="">
          <xdr:nvSpPr>
            <xdr:cNvPr id="0" name=""/>
            <xdr:cNvSpPr>
              <a:spLocks noTextEdit="1"/>
            </xdr:cNvSpPr>
          </xdr:nvSpPr>
          <xdr:spPr>
            <a:xfrm>
              <a:off x="8515350" y="8191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600984</xdr:colOff>
      <xdr:row>8</xdr:row>
      <xdr:rowOff>22678</xdr:rowOff>
    </xdr:from>
    <xdr:to>
      <xdr:col>4</xdr:col>
      <xdr:colOff>578303</xdr:colOff>
      <xdr:row>10</xdr:row>
      <xdr:rowOff>34018</xdr:rowOff>
    </xdr:to>
    <xdr:sp macro="" textlink="">
      <xdr:nvSpPr>
        <xdr:cNvPr id="5" name="TextBox 4">
          <a:extLst>
            <a:ext uri="{FF2B5EF4-FFF2-40B4-BE49-F238E27FC236}">
              <a16:creationId xmlns:a16="http://schemas.microsoft.com/office/drawing/2014/main" id="{629CCC45-2071-7DFE-2DD8-8AE8526B70A5}"/>
            </a:ext>
          </a:extLst>
        </xdr:cNvPr>
        <xdr:cNvSpPr txBox="1"/>
      </xdr:nvSpPr>
      <xdr:spPr>
        <a:xfrm>
          <a:off x="1213305" y="1519464"/>
          <a:ext cx="1814284" cy="385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rgbClr val="602928"/>
              </a:solidFill>
              <a:latin typeface="Arial Black" panose="020B0A04020102020204" pitchFamily="34" charset="0"/>
            </a:rPr>
            <a:t>Total employees</a:t>
          </a:r>
        </a:p>
      </xdr:txBody>
    </xdr:sp>
    <xdr:clientData/>
  </xdr:twoCellAnchor>
  <xdr:twoCellAnchor>
    <xdr:from>
      <xdr:col>2</xdr:col>
      <xdr:colOff>342755</xdr:colOff>
      <xdr:row>9</xdr:row>
      <xdr:rowOff>113393</xdr:rowOff>
    </xdr:from>
    <xdr:to>
      <xdr:col>5</xdr:col>
      <xdr:colOff>144833</xdr:colOff>
      <xdr:row>12</xdr:row>
      <xdr:rowOff>79374</xdr:rowOff>
    </xdr:to>
    <xdr:sp macro="" textlink="KPIs!A8">
      <xdr:nvSpPr>
        <xdr:cNvPr id="6" name="TextBox 5">
          <a:extLst>
            <a:ext uri="{FF2B5EF4-FFF2-40B4-BE49-F238E27FC236}">
              <a16:creationId xmlns:a16="http://schemas.microsoft.com/office/drawing/2014/main" id="{E09F4D99-117C-319E-1A4D-3C897BC97555}"/>
            </a:ext>
          </a:extLst>
        </xdr:cNvPr>
        <xdr:cNvSpPr txBox="1"/>
      </xdr:nvSpPr>
      <xdr:spPr>
        <a:xfrm>
          <a:off x="1567398" y="1802947"/>
          <a:ext cx="1639042" cy="5216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836AE97-EFDA-460F-810F-F91AE748E623}" type="TxLink">
            <a:rPr lang="en-US" sz="2000" b="0" i="0" u="none" strike="noStrike">
              <a:solidFill>
                <a:srgbClr val="002060"/>
              </a:solidFill>
              <a:latin typeface="Bodoni MT Black" panose="02070A03080606020203" pitchFamily="18" charset="0"/>
              <a:ea typeface="Calibri"/>
              <a:cs typeface="Times New Roman" panose="02020603050405020304" pitchFamily="18" charset="0"/>
            </a:rPr>
            <a:pPr/>
            <a:t>1000</a:t>
          </a:fld>
          <a:endParaRPr lang="en-IN" sz="2000">
            <a:solidFill>
              <a:srgbClr val="002060"/>
            </a:solidFill>
            <a:latin typeface="Bodoni MT Black" panose="02070A03080606020203" pitchFamily="18" charset="0"/>
            <a:cs typeface="Times New Roman" panose="02020603050405020304" pitchFamily="18" charset="0"/>
          </a:endParaRPr>
        </a:p>
      </xdr:txBody>
    </xdr:sp>
    <xdr:clientData/>
  </xdr:twoCellAnchor>
  <xdr:oneCellAnchor>
    <xdr:from>
      <xdr:col>5</xdr:col>
      <xdr:colOff>272143</xdr:colOff>
      <xdr:row>10</xdr:row>
      <xdr:rowOff>113393</xdr:rowOff>
    </xdr:from>
    <xdr:ext cx="184731" cy="264560"/>
    <xdr:sp macro="" textlink="">
      <xdr:nvSpPr>
        <xdr:cNvPr id="7" name="TextBox 6">
          <a:extLst>
            <a:ext uri="{FF2B5EF4-FFF2-40B4-BE49-F238E27FC236}">
              <a16:creationId xmlns:a16="http://schemas.microsoft.com/office/drawing/2014/main" id="{65DA83CA-138A-5AD6-21A2-9990F33F9ED5}"/>
            </a:ext>
          </a:extLst>
        </xdr:cNvPr>
        <xdr:cNvSpPr txBox="1"/>
      </xdr:nvSpPr>
      <xdr:spPr>
        <a:xfrm>
          <a:off x="3333750" y="19843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6</xdr:col>
      <xdr:colOff>0</xdr:colOff>
      <xdr:row>8</xdr:row>
      <xdr:rowOff>0</xdr:rowOff>
    </xdr:from>
    <xdr:to>
      <xdr:col>9</xdr:col>
      <xdr:colOff>90714</xdr:colOff>
      <xdr:row>10</xdr:row>
      <xdr:rowOff>1</xdr:rowOff>
    </xdr:to>
    <xdr:sp macro="" textlink="">
      <xdr:nvSpPr>
        <xdr:cNvPr id="8" name="TextBox 7">
          <a:extLst>
            <a:ext uri="{FF2B5EF4-FFF2-40B4-BE49-F238E27FC236}">
              <a16:creationId xmlns:a16="http://schemas.microsoft.com/office/drawing/2014/main" id="{65F84B39-892F-464B-B44C-FED18829941A}"/>
            </a:ext>
          </a:extLst>
        </xdr:cNvPr>
        <xdr:cNvSpPr txBox="1"/>
      </xdr:nvSpPr>
      <xdr:spPr>
        <a:xfrm>
          <a:off x="3673929" y="1496786"/>
          <a:ext cx="1927678" cy="3741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rgbClr val="602928"/>
              </a:solidFill>
              <a:latin typeface="Arial Black" panose="020B0A04020102020204" pitchFamily="34" charset="0"/>
            </a:rPr>
            <a:t>Attrition</a:t>
          </a:r>
          <a:r>
            <a:rPr lang="en-IN" sz="1400" baseline="0">
              <a:solidFill>
                <a:srgbClr val="602928"/>
              </a:solidFill>
              <a:latin typeface="Arial Black" panose="020B0A04020102020204" pitchFamily="34" charset="0"/>
            </a:rPr>
            <a:t> rate</a:t>
          </a:r>
        </a:p>
        <a:p>
          <a:endParaRPr lang="en-IN" sz="1400">
            <a:solidFill>
              <a:srgbClr val="602928"/>
            </a:solidFill>
            <a:latin typeface="Arial Black" panose="020B0A04020102020204" pitchFamily="34" charset="0"/>
          </a:endParaRPr>
        </a:p>
      </xdr:txBody>
    </xdr:sp>
    <xdr:clientData/>
  </xdr:twoCellAnchor>
  <xdr:twoCellAnchor>
    <xdr:from>
      <xdr:col>6</xdr:col>
      <xdr:colOff>354093</xdr:colOff>
      <xdr:row>9</xdr:row>
      <xdr:rowOff>102053</xdr:rowOff>
    </xdr:from>
    <xdr:to>
      <xdr:col>8</xdr:col>
      <xdr:colOff>136072</xdr:colOff>
      <xdr:row>12</xdr:row>
      <xdr:rowOff>56696</xdr:rowOff>
    </xdr:to>
    <xdr:sp macro="" textlink="KPIs!B8">
      <xdr:nvSpPr>
        <xdr:cNvPr id="9" name="TextBox 8">
          <a:extLst>
            <a:ext uri="{FF2B5EF4-FFF2-40B4-BE49-F238E27FC236}">
              <a16:creationId xmlns:a16="http://schemas.microsoft.com/office/drawing/2014/main" id="{A3EF11C5-3122-42E9-9A5A-4E4B9F83EFF0}"/>
            </a:ext>
          </a:extLst>
        </xdr:cNvPr>
        <xdr:cNvSpPr txBox="1"/>
      </xdr:nvSpPr>
      <xdr:spPr>
        <a:xfrm>
          <a:off x="4028022" y="1791607"/>
          <a:ext cx="1006621" cy="5102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BA6EED9-AF70-4584-92CA-6FAD7B5F1395}" type="TxLink">
            <a:rPr lang="en-US" sz="2000" b="0" i="0" u="none" strike="noStrike">
              <a:solidFill>
                <a:srgbClr val="002060"/>
              </a:solidFill>
              <a:latin typeface="Bodoni MT Black" panose="02070A03080606020203" pitchFamily="18" charset="0"/>
              <a:ea typeface="Calibri"/>
              <a:cs typeface="Calibri"/>
            </a:rPr>
            <a:pPr/>
            <a:t>51%</a:t>
          </a:fld>
          <a:endParaRPr lang="en-IN" sz="2000">
            <a:solidFill>
              <a:srgbClr val="002060"/>
            </a:solidFill>
            <a:latin typeface="Bodoni MT Black" panose="02070A03080606020203" pitchFamily="18" charset="0"/>
            <a:cs typeface="Times New Roman" panose="02020603050405020304" pitchFamily="18" charset="0"/>
          </a:endParaRPr>
        </a:p>
      </xdr:txBody>
    </xdr:sp>
    <xdr:clientData/>
  </xdr:twoCellAnchor>
  <xdr:oneCellAnchor>
    <xdr:from>
      <xdr:col>9</xdr:col>
      <xdr:colOff>283481</xdr:colOff>
      <xdr:row>10</xdr:row>
      <xdr:rowOff>90715</xdr:rowOff>
    </xdr:from>
    <xdr:ext cx="184731" cy="264560"/>
    <xdr:sp macro="" textlink="">
      <xdr:nvSpPr>
        <xdr:cNvPr id="10" name="TextBox 9">
          <a:extLst>
            <a:ext uri="{FF2B5EF4-FFF2-40B4-BE49-F238E27FC236}">
              <a16:creationId xmlns:a16="http://schemas.microsoft.com/office/drawing/2014/main" id="{192BB26B-5362-45C0-908B-DF15C11B0F68}"/>
            </a:ext>
          </a:extLst>
        </xdr:cNvPr>
        <xdr:cNvSpPr txBox="1"/>
      </xdr:nvSpPr>
      <xdr:spPr>
        <a:xfrm>
          <a:off x="5794374" y="196169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10</xdr:col>
      <xdr:colOff>0</xdr:colOff>
      <xdr:row>8</xdr:row>
      <xdr:rowOff>0</xdr:rowOff>
    </xdr:from>
    <xdr:to>
      <xdr:col>12</xdr:col>
      <xdr:colOff>328839</xdr:colOff>
      <xdr:row>9</xdr:row>
      <xdr:rowOff>170089</xdr:rowOff>
    </xdr:to>
    <xdr:sp macro="" textlink="">
      <xdr:nvSpPr>
        <xdr:cNvPr id="11" name="TextBox 10">
          <a:extLst>
            <a:ext uri="{FF2B5EF4-FFF2-40B4-BE49-F238E27FC236}">
              <a16:creationId xmlns:a16="http://schemas.microsoft.com/office/drawing/2014/main" id="{043A9F35-6FEB-4579-8864-36BF675613A1}"/>
            </a:ext>
          </a:extLst>
        </xdr:cNvPr>
        <xdr:cNvSpPr txBox="1"/>
      </xdr:nvSpPr>
      <xdr:spPr>
        <a:xfrm>
          <a:off x="6123214" y="1496786"/>
          <a:ext cx="1553482" cy="362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rgbClr val="602928"/>
              </a:solidFill>
              <a:latin typeface="Arial Black" panose="020B0A04020102020204" pitchFamily="34" charset="0"/>
            </a:rPr>
            <a:t>Average</a:t>
          </a:r>
          <a:r>
            <a:rPr lang="en-IN" sz="1400" baseline="0">
              <a:solidFill>
                <a:srgbClr val="602928"/>
              </a:solidFill>
              <a:latin typeface="Arial Black" panose="020B0A04020102020204" pitchFamily="34" charset="0"/>
            </a:rPr>
            <a:t> age</a:t>
          </a:r>
          <a:endParaRPr lang="en-IN" sz="1400">
            <a:solidFill>
              <a:srgbClr val="602928"/>
            </a:solidFill>
            <a:latin typeface="Arial Black" panose="020B0A04020102020204" pitchFamily="34" charset="0"/>
          </a:endParaRPr>
        </a:p>
      </xdr:txBody>
    </xdr:sp>
    <xdr:clientData/>
  </xdr:twoCellAnchor>
  <xdr:twoCellAnchor>
    <xdr:from>
      <xdr:col>10</xdr:col>
      <xdr:colOff>354093</xdr:colOff>
      <xdr:row>9</xdr:row>
      <xdr:rowOff>90715</xdr:rowOff>
    </xdr:from>
    <xdr:to>
      <xdr:col>12</xdr:col>
      <xdr:colOff>102054</xdr:colOff>
      <xdr:row>12</xdr:row>
      <xdr:rowOff>56696</xdr:rowOff>
    </xdr:to>
    <xdr:sp macro="" textlink="KPIs!C12">
      <xdr:nvSpPr>
        <xdr:cNvPr id="12" name="TextBox 11">
          <a:extLst>
            <a:ext uri="{FF2B5EF4-FFF2-40B4-BE49-F238E27FC236}">
              <a16:creationId xmlns:a16="http://schemas.microsoft.com/office/drawing/2014/main" id="{3396855B-C2C2-4970-8002-D923FAF96CE4}"/>
            </a:ext>
          </a:extLst>
        </xdr:cNvPr>
        <xdr:cNvSpPr txBox="1"/>
      </xdr:nvSpPr>
      <xdr:spPr>
        <a:xfrm>
          <a:off x="6477307" y="1780269"/>
          <a:ext cx="972604" cy="5216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D102D20-251E-4C9F-AA6F-20FC7A8CE30D}" type="TxLink">
            <a:rPr lang="en-US" sz="2000" b="1" i="0" u="none" strike="noStrike">
              <a:solidFill>
                <a:srgbClr val="002060"/>
              </a:solidFill>
              <a:latin typeface="Bodoni MT Black" panose="02070A03080606020203" pitchFamily="18" charset="0"/>
              <a:ea typeface="Calibri"/>
              <a:cs typeface="Calibri"/>
            </a:rPr>
            <a:pPr/>
            <a:t>41</a:t>
          </a:fld>
          <a:endParaRPr lang="en-US" sz="2000" b="1">
            <a:solidFill>
              <a:srgbClr val="002060"/>
            </a:solidFill>
            <a:latin typeface="Bodoni MT Black" panose="02070A03080606020203" pitchFamily="18" charset="0"/>
          </a:endParaRPr>
        </a:p>
      </xdr:txBody>
    </xdr:sp>
    <xdr:clientData/>
  </xdr:twoCellAnchor>
  <xdr:oneCellAnchor>
    <xdr:from>
      <xdr:col>13</xdr:col>
      <xdr:colOff>283480</xdr:colOff>
      <xdr:row>10</xdr:row>
      <xdr:rowOff>90715</xdr:rowOff>
    </xdr:from>
    <xdr:ext cx="184731" cy="264560"/>
    <xdr:sp macro="" textlink="">
      <xdr:nvSpPr>
        <xdr:cNvPr id="13" name="TextBox 12">
          <a:extLst>
            <a:ext uri="{FF2B5EF4-FFF2-40B4-BE49-F238E27FC236}">
              <a16:creationId xmlns:a16="http://schemas.microsoft.com/office/drawing/2014/main" id="{5A4808F0-0339-4281-8705-8310F70CB849}"/>
            </a:ext>
          </a:extLst>
        </xdr:cNvPr>
        <xdr:cNvSpPr txBox="1"/>
      </xdr:nvSpPr>
      <xdr:spPr>
        <a:xfrm>
          <a:off x="8243659" y="196169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14</xdr:col>
      <xdr:colOff>0</xdr:colOff>
      <xdr:row>8</xdr:row>
      <xdr:rowOff>0</xdr:rowOff>
    </xdr:from>
    <xdr:to>
      <xdr:col>17</xdr:col>
      <xdr:colOff>90714</xdr:colOff>
      <xdr:row>10</xdr:row>
      <xdr:rowOff>1</xdr:rowOff>
    </xdr:to>
    <xdr:sp macro="" textlink="">
      <xdr:nvSpPr>
        <xdr:cNvPr id="14" name="TextBox 13">
          <a:extLst>
            <a:ext uri="{FF2B5EF4-FFF2-40B4-BE49-F238E27FC236}">
              <a16:creationId xmlns:a16="http://schemas.microsoft.com/office/drawing/2014/main" id="{DD9CF3BF-9B0A-42F2-B27D-243DA456B675}"/>
            </a:ext>
          </a:extLst>
        </xdr:cNvPr>
        <xdr:cNvSpPr txBox="1"/>
      </xdr:nvSpPr>
      <xdr:spPr>
        <a:xfrm>
          <a:off x="8572500" y="1496786"/>
          <a:ext cx="1927678" cy="3741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rgbClr val="602928"/>
              </a:solidFill>
              <a:latin typeface="Arial Black" panose="020B0A04020102020204" pitchFamily="34" charset="0"/>
            </a:rPr>
            <a:t>Attrition</a:t>
          </a:r>
          <a:r>
            <a:rPr lang="en-IN" sz="1400" baseline="0">
              <a:solidFill>
                <a:srgbClr val="602928"/>
              </a:solidFill>
              <a:latin typeface="Arial Black" panose="020B0A04020102020204" pitchFamily="34" charset="0"/>
            </a:rPr>
            <a:t> count</a:t>
          </a:r>
        </a:p>
        <a:p>
          <a:endParaRPr lang="en-IN" sz="1400">
            <a:solidFill>
              <a:srgbClr val="602928"/>
            </a:solidFill>
            <a:latin typeface="Arial Black" panose="020B0A04020102020204" pitchFamily="34" charset="0"/>
          </a:endParaRPr>
        </a:p>
      </xdr:txBody>
    </xdr:sp>
    <xdr:clientData/>
  </xdr:twoCellAnchor>
  <xdr:twoCellAnchor>
    <xdr:from>
      <xdr:col>14</xdr:col>
      <xdr:colOff>354093</xdr:colOff>
      <xdr:row>9</xdr:row>
      <xdr:rowOff>90715</xdr:rowOff>
    </xdr:from>
    <xdr:to>
      <xdr:col>17</xdr:col>
      <xdr:colOff>156171</xdr:colOff>
      <xdr:row>12</xdr:row>
      <xdr:rowOff>56696</xdr:rowOff>
    </xdr:to>
    <xdr:sp macro="" textlink="KPIs!F8">
      <xdr:nvSpPr>
        <xdr:cNvPr id="15" name="TextBox 14">
          <a:extLst>
            <a:ext uri="{FF2B5EF4-FFF2-40B4-BE49-F238E27FC236}">
              <a16:creationId xmlns:a16="http://schemas.microsoft.com/office/drawing/2014/main" id="{A183F331-671E-48A8-AE74-1A66EEAFDDF6}"/>
            </a:ext>
          </a:extLst>
        </xdr:cNvPr>
        <xdr:cNvSpPr txBox="1"/>
      </xdr:nvSpPr>
      <xdr:spPr>
        <a:xfrm>
          <a:off x="8926593" y="1780269"/>
          <a:ext cx="1639042" cy="5216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6FBEA98-74DA-48E4-9D61-4A0A4499DCFF}" type="TxLink">
            <a:rPr lang="en-US" sz="1800" b="0" i="0" u="none" strike="noStrike">
              <a:solidFill>
                <a:srgbClr val="002060"/>
              </a:solidFill>
              <a:latin typeface="Bodoni MT Black" panose="02070A03080606020203" pitchFamily="18" charset="0"/>
              <a:ea typeface="Calibri"/>
              <a:cs typeface="Calibri"/>
            </a:rPr>
            <a:pPr/>
            <a:t>508</a:t>
          </a:fld>
          <a:endParaRPr lang="en-US" sz="1800">
            <a:solidFill>
              <a:srgbClr val="002060"/>
            </a:solidFill>
            <a:latin typeface="Bodoni MT Black" panose="02070A03080606020203" pitchFamily="18" charset="0"/>
          </a:endParaRPr>
        </a:p>
      </xdr:txBody>
    </xdr:sp>
    <xdr:clientData/>
  </xdr:twoCellAnchor>
  <xdr:oneCellAnchor>
    <xdr:from>
      <xdr:col>17</xdr:col>
      <xdr:colOff>283481</xdr:colOff>
      <xdr:row>10</xdr:row>
      <xdr:rowOff>90715</xdr:rowOff>
    </xdr:from>
    <xdr:ext cx="184731" cy="264560"/>
    <xdr:sp macro="" textlink="">
      <xdr:nvSpPr>
        <xdr:cNvPr id="16" name="TextBox 15">
          <a:extLst>
            <a:ext uri="{FF2B5EF4-FFF2-40B4-BE49-F238E27FC236}">
              <a16:creationId xmlns:a16="http://schemas.microsoft.com/office/drawing/2014/main" id="{81EEDB24-3FC0-49CB-81B1-20DDDD077568}"/>
            </a:ext>
          </a:extLst>
        </xdr:cNvPr>
        <xdr:cNvSpPr txBox="1"/>
      </xdr:nvSpPr>
      <xdr:spPr>
        <a:xfrm>
          <a:off x="10692945" y="196169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18</xdr:col>
      <xdr:colOff>0</xdr:colOff>
      <xdr:row>8</xdr:row>
      <xdr:rowOff>0</xdr:rowOff>
    </xdr:from>
    <xdr:to>
      <xdr:col>21</xdr:col>
      <xdr:colOff>90714</xdr:colOff>
      <xdr:row>10</xdr:row>
      <xdr:rowOff>1</xdr:rowOff>
    </xdr:to>
    <xdr:sp macro="" textlink="">
      <xdr:nvSpPr>
        <xdr:cNvPr id="17" name="TextBox 16">
          <a:extLst>
            <a:ext uri="{FF2B5EF4-FFF2-40B4-BE49-F238E27FC236}">
              <a16:creationId xmlns:a16="http://schemas.microsoft.com/office/drawing/2014/main" id="{7E236EAE-D9BD-4F7D-B377-BA5E2967E9B1}"/>
            </a:ext>
          </a:extLst>
        </xdr:cNvPr>
        <xdr:cNvSpPr txBox="1"/>
      </xdr:nvSpPr>
      <xdr:spPr>
        <a:xfrm>
          <a:off x="11021786" y="1496786"/>
          <a:ext cx="1927678" cy="3741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aseline="0">
              <a:solidFill>
                <a:srgbClr val="602928"/>
              </a:solidFill>
              <a:latin typeface="Arial Black" panose="020B0A04020102020204" pitchFamily="34" charset="0"/>
            </a:rPr>
            <a:t>Active employees</a:t>
          </a:r>
        </a:p>
        <a:p>
          <a:endParaRPr lang="en-IN" sz="1400" baseline="0">
            <a:solidFill>
              <a:srgbClr val="602928"/>
            </a:solidFill>
            <a:latin typeface="Arial Black" panose="020B0A04020102020204" pitchFamily="34" charset="0"/>
          </a:endParaRPr>
        </a:p>
        <a:p>
          <a:endParaRPr lang="en-IN" sz="1400">
            <a:solidFill>
              <a:srgbClr val="602928"/>
            </a:solidFill>
            <a:latin typeface="Arial Black" panose="020B0A04020102020204" pitchFamily="34" charset="0"/>
          </a:endParaRPr>
        </a:p>
      </xdr:txBody>
    </xdr:sp>
    <xdr:clientData/>
  </xdr:twoCellAnchor>
  <xdr:twoCellAnchor>
    <xdr:from>
      <xdr:col>18</xdr:col>
      <xdr:colOff>354093</xdr:colOff>
      <xdr:row>9</xdr:row>
      <xdr:rowOff>90715</xdr:rowOff>
    </xdr:from>
    <xdr:to>
      <xdr:col>21</xdr:col>
      <xdr:colOff>156171</xdr:colOff>
      <xdr:row>12</xdr:row>
      <xdr:rowOff>56696</xdr:rowOff>
    </xdr:to>
    <xdr:sp macro="" textlink="KPIs!D8">
      <xdr:nvSpPr>
        <xdr:cNvPr id="18" name="TextBox 17">
          <a:extLst>
            <a:ext uri="{FF2B5EF4-FFF2-40B4-BE49-F238E27FC236}">
              <a16:creationId xmlns:a16="http://schemas.microsoft.com/office/drawing/2014/main" id="{974BF9DC-C1C3-4E20-8AB5-717DC0166ADD}"/>
            </a:ext>
          </a:extLst>
        </xdr:cNvPr>
        <xdr:cNvSpPr txBox="1"/>
      </xdr:nvSpPr>
      <xdr:spPr>
        <a:xfrm>
          <a:off x="11375879" y="1780269"/>
          <a:ext cx="1639042" cy="5216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4774F06-9B38-4A61-ABEB-57E9088A9A92}" type="TxLink">
            <a:rPr lang="en-US" sz="1800" b="0" i="0" u="none" strike="noStrike">
              <a:solidFill>
                <a:srgbClr val="002060"/>
              </a:solidFill>
              <a:latin typeface="Bodoni MT Black" panose="02070A03080606020203" pitchFamily="18" charset="0"/>
              <a:ea typeface="Calibri"/>
              <a:cs typeface="Calibri"/>
            </a:rPr>
            <a:pPr/>
            <a:t>492</a:t>
          </a:fld>
          <a:endParaRPr lang="en-IN" sz="1800">
            <a:solidFill>
              <a:srgbClr val="002060"/>
            </a:solidFill>
            <a:latin typeface="Bodoni MT Black" panose="02070A03080606020203" pitchFamily="18" charset="0"/>
            <a:cs typeface="Times New Roman" panose="02020603050405020304" pitchFamily="18" charset="0"/>
          </a:endParaRPr>
        </a:p>
      </xdr:txBody>
    </xdr:sp>
    <xdr:clientData/>
  </xdr:twoCellAnchor>
  <xdr:oneCellAnchor>
    <xdr:from>
      <xdr:col>21</xdr:col>
      <xdr:colOff>283481</xdr:colOff>
      <xdr:row>10</xdr:row>
      <xdr:rowOff>90715</xdr:rowOff>
    </xdr:from>
    <xdr:ext cx="184731" cy="264560"/>
    <xdr:sp macro="" textlink="">
      <xdr:nvSpPr>
        <xdr:cNvPr id="19" name="TextBox 18">
          <a:extLst>
            <a:ext uri="{FF2B5EF4-FFF2-40B4-BE49-F238E27FC236}">
              <a16:creationId xmlns:a16="http://schemas.microsoft.com/office/drawing/2014/main" id="{9F117404-906F-4D4F-9F3B-6FBF8AE57E10}"/>
            </a:ext>
          </a:extLst>
        </xdr:cNvPr>
        <xdr:cNvSpPr txBox="1"/>
      </xdr:nvSpPr>
      <xdr:spPr>
        <a:xfrm>
          <a:off x="13142231" y="196169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editAs="oneCell">
    <xdr:from>
      <xdr:col>4</xdr:col>
      <xdr:colOff>578303</xdr:colOff>
      <xdr:row>8</xdr:row>
      <xdr:rowOff>113393</xdr:rowOff>
    </xdr:from>
    <xdr:to>
      <xdr:col>5</xdr:col>
      <xdr:colOff>487296</xdr:colOff>
      <xdr:row>11</xdr:row>
      <xdr:rowOff>45357</xdr:rowOff>
    </xdr:to>
    <xdr:pic>
      <xdr:nvPicPr>
        <xdr:cNvPr id="22" name="Picture 21">
          <a:extLst>
            <a:ext uri="{FF2B5EF4-FFF2-40B4-BE49-F238E27FC236}">
              <a16:creationId xmlns:a16="http://schemas.microsoft.com/office/drawing/2014/main" id="{13617387-AEC3-6C92-81CD-A2EE6EB7F94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7589" y="1610179"/>
          <a:ext cx="521314" cy="4875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328839</xdr:colOff>
      <xdr:row>8</xdr:row>
      <xdr:rowOff>11339</xdr:rowOff>
    </xdr:from>
    <xdr:to>
      <xdr:col>9</xdr:col>
      <xdr:colOff>521606</xdr:colOff>
      <xdr:row>11</xdr:row>
      <xdr:rowOff>111435</xdr:rowOff>
    </xdr:to>
    <xdr:pic>
      <xdr:nvPicPr>
        <xdr:cNvPr id="23" name="Picture 22">
          <a:extLst>
            <a:ext uri="{FF2B5EF4-FFF2-40B4-BE49-F238E27FC236}">
              <a16:creationId xmlns:a16="http://schemas.microsoft.com/office/drawing/2014/main" id="{CE8B1441-3F63-A8D7-BC00-D94FEDE1F6C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227410" y="1508125"/>
          <a:ext cx="805089" cy="6557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362857</xdr:colOff>
      <xdr:row>8</xdr:row>
      <xdr:rowOff>124730</xdr:rowOff>
    </xdr:from>
    <xdr:to>
      <xdr:col>13</xdr:col>
      <xdr:colOff>294821</xdr:colOff>
      <xdr:row>11</xdr:row>
      <xdr:rowOff>50524</xdr:rowOff>
    </xdr:to>
    <xdr:pic>
      <xdr:nvPicPr>
        <xdr:cNvPr id="25" name="Picture 24">
          <a:extLst>
            <a:ext uri="{FF2B5EF4-FFF2-40B4-BE49-F238E27FC236}">
              <a16:creationId xmlns:a16="http://schemas.microsoft.com/office/drawing/2014/main" id="{904200B4-D6C6-1D75-D185-74D5470BBA1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710714" y="1621516"/>
          <a:ext cx="544286" cy="4814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260804</xdr:colOff>
      <xdr:row>8</xdr:row>
      <xdr:rowOff>79375</xdr:rowOff>
    </xdr:from>
    <xdr:to>
      <xdr:col>22</xdr:col>
      <xdr:colOff>344919</xdr:colOff>
      <xdr:row>11</xdr:row>
      <xdr:rowOff>34018</xdr:rowOff>
    </xdr:to>
    <xdr:pic>
      <xdr:nvPicPr>
        <xdr:cNvPr id="26" name="Picture 25">
          <a:extLst>
            <a:ext uri="{FF2B5EF4-FFF2-40B4-BE49-F238E27FC236}">
              <a16:creationId xmlns:a16="http://schemas.microsoft.com/office/drawing/2014/main" id="{881C21DE-9DA8-7C29-14FD-C597E32C38E5}"/>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3119554" y="1576161"/>
          <a:ext cx="696436" cy="5102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464911</xdr:colOff>
      <xdr:row>8</xdr:row>
      <xdr:rowOff>102053</xdr:rowOff>
    </xdr:from>
    <xdr:to>
      <xdr:col>17</xdr:col>
      <xdr:colOff>452912</xdr:colOff>
      <xdr:row>11</xdr:row>
      <xdr:rowOff>34017</xdr:rowOff>
    </xdr:to>
    <xdr:pic>
      <xdr:nvPicPr>
        <xdr:cNvPr id="27" name="Picture 26">
          <a:extLst>
            <a:ext uri="{FF2B5EF4-FFF2-40B4-BE49-F238E27FC236}">
              <a16:creationId xmlns:a16="http://schemas.microsoft.com/office/drawing/2014/main" id="{08336F6D-CA74-8780-03FD-84350BDE2A2D}"/>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0262054" y="1598839"/>
          <a:ext cx="600322" cy="4875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589643</xdr:colOff>
      <xdr:row>3</xdr:row>
      <xdr:rowOff>113393</xdr:rowOff>
    </xdr:from>
    <xdr:to>
      <xdr:col>14</xdr:col>
      <xdr:colOff>419554</xdr:colOff>
      <xdr:row>6</xdr:row>
      <xdr:rowOff>68036</xdr:rowOff>
    </xdr:to>
    <xdr:sp macro="" textlink="">
      <xdr:nvSpPr>
        <xdr:cNvPr id="28" name="TextBox 27">
          <a:extLst>
            <a:ext uri="{FF2B5EF4-FFF2-40B4-BE49-F238E27FC236}">
              <a16:creationId xmlns:a16="http://schemas.microsoft.com/office/drawing/2014/main" id="{F72EC166-7BB1-7580-CD84-9EAC90C3944A}"/>
            </a:ext>
          </a:extLst>
        </xdr:cNvPr>
        <xdr:cNvSpPr txBox="1"/>
      </xdr:nvSpPr>
      <xdr:spPr>
        <a:xfrm>
          <a:off x="2426607" y="669018"/>
          <a:ext cx="6565447" cy="510268"/>
        </a:xfrm>
        <a:prstGeom prst="rect">
          <a:avLst/>
        </a:prstGeom>
        <a:noFill/>
        <a:ln w="9525" cmpd="sng">
          <a:solidFill>
            <a:schemeClr val="bg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a:solidFill>
                <a:srgbClr val="002060"/>
              </a:solidFill>
              <a:latin typeface="Bodoni MT Black" panose="02070A03080606020203" pitchFamily="18" charset="0"/>
            </a:rPr>
            <a:t>Hr</a:t>
          </a:r>
          <a:r>
            <a:rPr lang="en-IN" sz="3600" baseline="0">
              <a:solidFill>
                <a:srgbClr val="002060"/>
              </a:solidFill>
              <a:latin typeface="Bodoni MT Black" panose="02070A03080606020203" pitchFamily="18" charset="0"/>
            </a:rPr>
            <a:t> Analyitics Dashboard</a:t>
          </a:r>
          <a:endParaRPr lang="en-IN" sz="3600">
            <a:solidFill>
              <a:srgbClr val="002060"/>
            </a:solidFill>
            <a:latin typeface="Bodoni MT Black" panose="02070A03080606020203" pitchFamily="18" charset="0"/>
          </a:endParaRPr>
        </a:p>
      </xdr:txBody>
    </xdr:sp>
    <xdr:clientData/>
  </xdr:twoCellAnchor>
  <xdr:twoCellAnchor editAs="oneCell">
    <xdr:from>
      <xdr:col>2</xdr:col>
      <xdr:colOff>317499</xdr:colOff>
      <xdr:row>3</xdr:row>
      <xdr:rowOff>102053</xdr:rowOff>
    </xdr:from>
    <xdr:to>
      <xdr:col>3</xdr:col>
      <xdr:colOff>306160</xdr:colOff>
      <xdr:row>6</xdr:row>
      <xdr:rowOff>113110</xdr:rowOff>
    </xdr:to>
    <xdr:pic>
      <xdr:nvPicPr>
        <xdr:cNvPr id="29" name="Picture 28">
          <a:extLst>
            <a:ext uri="{FF2B5EF4-FFF2-40B4-BE49-F238E27FC236}">
              <a16:creationId xmlns:a16="http://schemas.microsoft.com/office/drawing/2014/main" id="{96258E90-BFA4-4BF2-9B51-1B42071EAEE3}"/>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542142" y="657678"/>
          <a:ext cx="600982" cy="5780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158751</xdr:colOff>
      <xdr:row>3</xdr:row>
      <xdr:rowOff>90715</xdr:rowOff>
    </xdr:from>
    <xdr:to>
      <xdr:col>16</xdr:col>
      <xdr:colOff>273050</xdr:colOff>
      <xdr:row>6</xdr:row>
      <xdr:rowOff>149226</xdr:rowOff>
    </xdr:to>
    <xdr:pic>
      <xdr:nvPicPr>
        <xdr:cNvPr id="30" name="Picture 29">
          <a:extLst>
            <a:ext uri="{FF2B5EF4-FFF2-40B4-BE49-F238E27FC236}">
              <a16:creationId xmlns:a16="http://schemas.microsoft.com/office/drawing/2014/main" id="{1DC703FF-346F-97AE-A974-BE846CE313CD}"/>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9343572" y="646340"/>
          <a:ext cx="726621" cy="625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16</xdr:col>
      <xdr:colOff>79375</xdr:colOff>
      <xdr:row>3</xdr:row>
      <xdr:rowOff>34018</xdr:rowOff>
    </xdr:from>
    <xdr:to>
      <xdr:col>19</xdr:col>
      <xdr:colOff>476251</xdr:colOff>
      <xdr:row>6</xdr:row>
      <xdr:rowOff>158750</xdr:rowOff>
    </xdr:to>
    <xdr:sp macro="" textlink="">
      <xdr:nvSpPr>
        <xdr:cNvPr id="31" name="TextBox 30">
          <a:extLst>
            <a:ext uri="{FF2B5EF4-FFF2-40B4-BE49-F238E27FC236}">
              <a16:creationId xmlns:a16="http://schemas.microsoft.com/office/drawing/2014/main" id="{8A6E4463-7E16-749F-4A89-30D41E378625}"/>
            </a:ext>
          </a:extLst>
        </xdr:cNvPr>
        <xdr:cNvSpPr txBox="1"/>
      </xdr:nvSpPr>
      <xdr:spPr>
        <a:xfrm>
          <a:off x="9876518" y="589643"/>
          <a:ext cx="2233840" cy="680357"/>
        </a:xfrm>
        <a:prstGeom prst="rect">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0" cap="none" spc="0">
              <a:ln w="0"/>
              <a:solidFill>
                <a:srgbClr val="602928"/>
              </a:solidFill>
              <a:effectLst>
                <a:outerShdw blurRad="38100" dist="25400" dir="5400000" algn="ctr" rotWithShape="0">
                  <a:srgbClr val="6E747A">
                    <a:alpha val="43000"/>
                  </a:srgbClr>
                </a:outerShdw>
              </a:effectLst>
              <a:latin typeface="Arial Black" panose="020B0A04020102020204" pitchFamily="34" charset="0"/>
            </a:rPr>
            <a:t>Performance</a:t>
          </a:r>
          <a:endParaRPr lang="en-IN" sz="1400" b="0" cap="none" spc="0">
            <a:ln w="0"/>
            <a:solidFill>
              <a:srgbClr val="602928"/>
            </a:solidFill>
            <a:effectLst>
              <a:outerShdw blurRad="38100" dist="25400" dir="5400000" algn="ctr" rotWithShape="0">
                <a:srgbClr val="6E747A">
                  <a:alpha val="43000"/>
                </a:srgbClr>
              </a:outerShdw>
            </a:effectLst>
            <a:latin typeface="Arial Black" panose="020B0A04020102020204" pitchFamily="34" charset="0"/>
          </a:endParaRPr>
        </a:p>
        <a:p>
          <a:pPr algn="ctr"/>
          <a:r>
            <a:rPr lang="en-IN" sz="1600" b="0" cap="none" spc="0">
              <a:ln w="0"/>
              <a:solidFill>
                <a:srgbClr val="602928"/>
              </a:solidFill>
              <a:effectLst>
                <a:outerShdw blurRad="38100" dist="25400" dir="5400000" algn="ctr" rotWithShape="0">
                  <a:srgbClr val="6E747A">
                    <a:alpha val="43000"/>
                  </a:srgbClr>
                </a:outerShdw>
              </a:effectLst>
              <a:latin typeface="Arial Black" panose="020B0A04020102020204" pitchFamily="34" charset="0"/>
            </a:rPr>
            <a:t>rating </a:t>
          </a:r>
        </a:p>
      </xdr:txBody>
    </xdr:sp>
    <xdr:clientData/>
  </xdr:twoCellAnchor>
  <xdr:twoCellAnchor>
    <xdr:from>
      <xdr:col>18</xdr:col>
      <xdr:colOff>396875</xdr:colOff>
      <xdr:row>2</xdr:row>
      <xdr:rowOff>158750</xdr:rowOff>
    </xdr:from>
    <xdr:to>
      <xdr:col>21</xdr:col>
      <xdr:colOff>317501</xdr:colOff>
      <xdr:row>6</xdr:row>
      <xdr:rowOff>170089</xdr:rowOff>
    </xdr:to>
    <xdr:graphicFrame macro="">
      <xdr:nvGraphicFramePr>
        <xdr:cNvPr id="32" name="Chart 31">
          <a:extLst>
            <a:ext uri="{FF2B5EF4-FFF2-40B4-BE49-F238E27FC236}">
              <a16:creationId xmlns:a16="http://schemas.microsoft.com/office/drawing/2014/main" id="{C73DA473-B304-43D0-BA8A-D3FF4663E0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20</xdr:col>
      <xdr:colOff>260804</xdr:colOff>
      <xdr:row>3</xdr:row>
      <xdr:rowOff>56696</xdr:rowOff>
    </xdr:from>
    <xdr:to>
      <xdr:col>24</xdr:col>
      <xdr:colOff>11341</xdr:colOff>
      <xdr:row>6</xdr:row>
      <xdr:rowOff>158750</xdr:rowOff>
    </xdr:to>
    <xdr:graphicFrame macro="">
      <xdr:nvGraphicFramePr>
        <xdr:cNvPr id="34" name="Chart 33">
          <a:extLst>
            <a:ext uri="{FF2B5EF4-FFF2-40B4-BE49-F238E27FC236}">
              <a16:creationId xmlns:a16="http://schemas.microsoft.com/office/drawing/2014/main" id="{38BAC591-E2E7-44E0-9EDC-1B19979BFA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20</xdr:col>
      <xdr:colOff>351517</xdr:colOff>
      <xdr:row>3</xdr:row>
      <xdr:rowOff>79374</xdr:rowOff>
    </xdr:from>
    <xdr:to>
      <xdr:col>23</xdr:col>
      <xdr:colOff>600981</xdr:colOff>
      <xdr:row>6</xdr:row>
      <xdr:rowOff>120648</xdr:rowOff>
    </xdr:to>
    <xdr:sp macro="" textlink="">
      <xdr:nvSpPr>
        <xdr:cNvPr id="35" name="Freeform: Shape 34">
          <a:extLst>
            <a:ext uri="{FF2B5EF4-FFF2-40B4-BE49-F238E27FC236}">
              <a16:creationId xmlns:a16="http://schemas.microsoft.com/office/drawing/2014/main" id="{4CDD1747-B79F-434B-9CA5-D62D4494D8A5}"/>
            </a:ext>
          </a:extLst>
        </xdr:cNvPr>
        <xdr:cNvSpPr/>
      </xdr:nvSpPr>
      <xdr:spPr>
        <a:xfrm>
          <a:off x="12597946" y="634999"/>
          <a:ext cx="2086428" cy="596899"/>
        </a:xfrm>
        <a:custGeom>
          <a:avLst/>
          <a:gdLst>
            <a:gd name="csX0" fmla="*/ 3015342 w 3603171"/>
            <a:gd name="csY0" fmla="*/ 138792 h 914400"/>
            <a:gd name="csX1" fmla="*/ 2943390 w 3603171"/>
            <a:gd name="csY1" fmla="*/ 342534 h 914400"/>
            <a:gd name="csX2" fmla="*/ 2710543 w 3603171"/>
            <a:gd name="csY2" fmla="*/ 342532 h 914400"/>
            <a:gd name="csX3" fmla="*/ 2898921 w 3603171"/>
            <a:gd name="csY3" fmla="*/ 468450 h 914400"/>
            <a:gd name="csX4" fmla="*/ 2826966 w 3603171"/>
            <a:gd name="csY4" fmla="*/ 672191 h 914400"/>
            <a:gd name="csX5" fmla="*/ 3015342 w 3603171"/>
            <a:gd name="csY5" fmla="*/ 546271 h 914400"/>
            <a:gd name="csX6" fmla="*/ 3203718 w 3603171"/>
            <a:gd name="csY6" fmla="*/ 672191 h 914400"/>
            <a:gd name="csX7" fmla="*/ 3131763 w 3603171"/>
            <a:gd name="csY7" fmla="*/ 468450 h 914400"/>
            <a:gd name="csX8" fmla="*/ 3320141 w 3603171"/>
            <a:gd name="csY8" fmla="*/ 342532 h 914400"/>
            <a:gd name="csX9" fmla="*/ 3087294 w 3603171"/>
            <a:gd name="csY9" fmla="*/ 342534 h 914400"/>
            <a:gd name="csX10" fmla="*/ 2362200 w 3603171"/>
            <a:gd name="csY10" fmla="*/ 138792 h 914400"/>
            <a:gd name="csX11" fmla="*/ 2290248 w 3603171"/>
            <a:gd name="csY11" fmla="*/ 342534 h 914400"/>
            <a:gd name="csX12" fmla="*/ 2057401 w 3603171"/>
            <a:gd name="csY12" fmla="*/ 342532 h 914400"/>
            <a:gd name="csX13" fmla="*/ 2245779 w 3603171"/>
            <a:gd name="csY13" fmla="*/ 468450 h 914400"/>
            <a:gd name="csX14" fmla="*/ 2173824 w 3603171"/>
            <a:gd name="csY14" fmla="*/ 672191 h 914400"/>
            <a:gd name="csX15" fmla="*/ 2362200 w 3603171"/>
            <a:gd name="csY15" fmla="*/ 546271 h 914400"/>
            <a:gd name="csX16" fmla="*/ 2550576 w 3603171"/>
            <a:gd name="csY16" fmla="*/ 672191 h 914400"/>
            <a:gd name="csX17" fmla="*/ 2478621 w 3603171"/>
            <a:gd name="csY17" fmla="*/ 468450 h 914400"/>
            <a:gd name="csX18" fmla="*/ 2666999 w 3603171"/>
            <a:gd name="csY18" fmla="*/ 342532 h 914400"/>
            <a:gd name="csX19" fmla="*/ 2434152 w 3603171"/>
            <a:gd name="csY19" fmla="*/ 342534 h 914400"/>
            <a:gd name="csX20" fmla="*/ 1730829 w 3603171"/>
            <a:gd name="csY20" fmla="*/ 138792 h 914400"/>
            <a:gd name="csX21" fmla="*/ 1658877 w 3603171"/>
            <a:gd name="csY21" fmla="*/ 342534 h 914400"/>
            <a:gd name="csX22" fmla="*/ 1426030 w 3603171"/>
            <a:gd name="csY22" fmla="*/ 342532 h 914400"/>
            <a:gd name="csX23" fmla="*/ 1614408 w 3603171"/>
            <a:gd name="csY23" fmla="*/ 468450 h 914400"/>
            <a:gd name="csX24" fmla="*/ 1542453 w 3603171"/>
            <a:gd name="csY24" fmla="*/ 672191 h 914400"/>
            <a:gd name="csX25" fmla="*/ 1730829 w 3603171"/>
            <a:gd name="csY25" fmla="*/ 546271 h 914400"/>
            <a:gd name="csX26" fmla="*/ 1919205 w 3603171"/>
            <a:gd name="csY26" fmla="*/ 672191 h 914400"/>
            <a:gd name="csX27" fmla="*/ 1847250 w 3603171"/>
            <a:gd name="csY27" fmla="*/ 468450 h 914400"/>
            <a:gd name="csX28" fmla="*/ 2035628 w 3603171"/>
            <a:gd name="csY28" fmla="*/ 342532 h 914400"/>
            <a:gd name="csX29" fmla="*/ 1802781 w 3603171"/>
            <a:gd name="csY29" fmla="*/ 342534 h 914400"/>
            <a:gd name="csX30" fmla="*/ 1099458 w 3603171"/>
            <a:gd name="csY30" fmla="*/ 138792 h 914400"/>
            <a:gd name="csX31" fmla="*/ 1027506 w 3603171"/>
            <a:gd name="csY31" fmla="*/ 342534 h 914400"/>
            <a:gd name="csX32" fmla="*/ 794659 w 3603171"/>
            <a:gd name="csY32" fmla="*/ 342532 h 914400"/>
            <a:gd name="csX33" fmla="*/ 983037 w 3603171"/>
            <a:gd name="csY33" fmla="*/ 468450 h 914400"/>
            <a:gd name="csX34" fmla="*/ 911082 w 3603171"/>
            <a:gd name="csY34" fmla="*/ 672191 h 914400"/>
            <a:gd name="csX35" fmla="*/ 1099458 w 3603171"/>
            <a:gd name="csY35" fmla="*/ 546271 h 914400"/>
            <a:gd name="csX36" fmla="*/ 1287834 w 3603171"/>
            <a:gd name="csY36" fmla="*/ 672191 h 914400"/>
            <a:gd name="csX37" fmla="*/ 1215879 w 3603171"/>
            <a:gd name="csY37" fmla="*/ 468450 h 914400"/>
            <a:gd name="csX38" fmla="*/ 1404257 w 3603171"/>
            <a:gd name="csY38" fmla="*/ 342532 h 914400"/>
            <a:gd name="csX39" fmla="*/ 1171410 w 3603171"/>
            <a:gd name="csY39" fmla="*/ 342534 h 914400"/>
            <a:gd name="csX40" fmla="*/ 489858 w 3603171"/>
            <a:gd name="csY40" fmla="*/ 138792 h 914400"/>
            <a:gd name="csX41" fmla="*/ 417906 w 3603171"/>
            <a:gd name="csY41" fmla="*/ 342534 h 914400"/>
            <a:gd name="csX42" fmla="*/ 185059 w 3603171"/>
            <a:gd name="csY42" fmla="*/ 342532 h 914400"/>
            <a:gd name="csX43" fmla="*/ 373437 w 3603171"/>
            <a:gd name="csY43" fmla="*/ 468450 h 914400"/>
            <a:gd name="csX44" fmla="*/ 301482 w 3603171"/>
            <a:gd name="csY44" fmla="*/ 672191 h 914400"/>
            <a:gd name="csX45" fmla="*/ 489858 w 3603171"/>
            <a:gd name="csY45" fmla="*/ 546271 h 914400"/>
            <a:gd name="csX46" fmla="*/ 678234 w 3603171"/>
            <a:gd name="csY46" fmla="*/ 672191 h 914400"/>
            <a:gd name="csX47" fmla="*/ 606279 w 3603171"/>
            <a:gd name="csY47" fmla="*/ 468450 h 914400"/>
            <a:gd name="csX48" fmla="*/ 794657 w 3603171"/>
            <a:gd name="csY48" fmla="*/ 342532 h 914400"/>
            <a:gd name="csX49" fmla="*/ 561810 w 3603171"/>
            <a:gd name="csY49" fmla="*/ 342534 h 914400"/>
            <a:gd name="csX50" fmla="*/ 0 w 3603171"/>
            <a:gd name="csY50" fmla="*/ 0 h 914400"/>
            <a:gd name="csX51" fmla="*/ 3603171 w 3603171"/>
            <a:gd name="csY51" fmla="*/ 0 h 914400"/>
            <a:gd name="csX52" fmla="*/ 3603171 w 3603171"/>
            <a:gd name="csY52" fmla="*/ 914400 h 914400"/>
            <a:gd name="csX53" fmla="*/ 0 w 3603171"/>
            <a:gd name="csY53" fmla="*/ 914400 h 9144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 ang="0">
              <a:pos x="csX44" y="csY44"/>
            </a:cxn>
            <a:cxn ang="0">
              <a:pos x="csX45" y="csY45"/>
            </a:cxn>
            <a:cxn ang="0">
              <a:pos x="csX46" y="csY46"/>
            </a:cxn>
            <a:cxn ang="0">
              <a:pos x="csX47" y="csY47"/>
            </a:cxn>
            <a:cxn ang="0">
              <a:pos x="csX48" y="csY48"/>
            </a:cxn>
            <a:cxn ang="0">
              <a:pos x="csX49" y="csY49"/>
            </a:cxn>
            <a:cxn ang="0">
              <a:pos x="csX50" y="csY50"/>
            </a:cxn>
            <a:cxn ang="0">
              <a:pos x="csX51" y="csY51"/>
            </a:cxn>
            <a:cxn ang="0">
              <a:pos x="csX52" y="csY52"/>
            </a:cxn>
            <a:cxn ang="0">
              <a:pos x="csX53" y="csY53"/>
            </a:cxn>
          </a:cxnLst>
          <a:rect l="l" t="t" r="r" b="b"/>
          <a:pathLst>
            <a:path w="3603171" h="914400">
              <a:moveTo>
                <a:pt x="3015342" y="138792"/>
              </a:moveTo>
              <a:lnTo>
                <a:pt x="2943390" y="342534"/>
              </a:lnTo>
              <a:lnTo>
                <a:pt x="2710543" y="342532"/>
              </a:lnTo>
              <a:lnTo>
                <a:pt x="2898921" y="468450"/>
              </a:lnTo>
              <a:lnTo>
                <a:pt x="2826966" y="672191"/>
              </a:lnTo>
              <a:lnTo>
                <a:pt x="3015342" y="546271"/>
              </a:lnTo>
              <a:lnTo>
                <a:pt x="3203718" y="672191"/>
              </a:lnTo>
              <a:lnTo>
                <a:pt x="3131763" y="468450"/>
              </a:lnTo>
              <a:lnTo>
                <a:pt x="3320141" y="342532"/>
              </a:lnTo>
              <a:lnTo>
                <a:pt x="3087294" y="342534"/>
              </a:lnTo>
              <a:close/>
              <a:moveTo>
                <a:pt x="2362200" y="138792"/>
              </a:moveTo>
              <a:lnTo>
                <a:pt x="2290248" y="342534"/>
              </a:lnTo>
              <a:lnTo>
                <a:pt x="2057401" y="342532"/>
              </a:lnTo>
              <a:lnTo>
                <a:pt x="2245779" y="468450"/>
              </a:lnTo>
              <a:lnTo>
                <a:pt x="2173824" y="672191"/>
              </a:lnTo>
              <a:lnTo>
                <a:pt x="2362200" y="546271"/>
              </a:lnTo>
              <a:lnTo>
                <a:pt x="2550576" y="672191"/>
              </a:lnTo>
              <a:lnTo>
                <a:pt x="2478621" y="468450"/>
              </a:lnTo>
              <a:lnTo>
                <a:pt x="2666999" y="342532"/>
              </a:lnTo>
              <a:lnTo>
                <a:pt x="2434152" y="342534"/>
              </a:lnTo>
              <a:close/>
              <a:moveTo>
                <a:pt x="1730829" y="138792"/>
              </a:moveTo>
              <a:lnTo>
                <a:pt x="1658877" y="342534"/>
              </a:lnTo>
              <a:lnTo>
                <a:pt x="1426030" y="342532"/>
              </a:lnTo>
              <a:lnTo>
                <a:pt x="1614408" y="468450"/>
              </a:lnTo>
              <a:lnTo>
                <a:pt x="1542453" y="672191"/>
              </a:lnTo>
              <a:lnTo>
                <a:pt x="1730829" y="546271"/>
              </a:lnTo>
              <a:lnTo>
                <a:pt x="1919205" y="672191"/>
              </a:lnTo>
              <a:lnTo>
                <a:pt x="1847250" y="468450"/>
              </a:lnTo>
              <a:lnTo>
                <a:pt x="2035628" y="342532"/>
              </a:lnTo>
              <a:lnTo>
                <a:pt x="1802781" y="342534"/>
              </a:lnTo>
              <a:close/>
              <a:moveTo>
                <a:pt x="1099458" y="138792"/>
              </a:moveTo>
              <a:lnTo>
                <a:pt x="1027506" y="342534"/>
              </a:lnTo>
              <a:lnTo>
                <a:pt x="794659" y="342532"/>
              </a:lnTo>
              <a:lnTo>
                <a:pt x="983037" y="468450"/>
              </a:lnTo>
              <a:lnTo>
                <a:pt x="911082" y="672191"/>
              </a:lnTo>
              <a:lnTo>
                <a:pt x="1099458" y="546271"/>
              </a:lnTo>
              <a:lnTo>
                <a:pt x="1287834" y="672191"/>
              </a:lnTo>
              <a:lnTo>
                <a:pt x="1215879" y="468450"/>
              </a:lnTo>
              <a:lnTo>
                <a:pt x="1404257" y="342532"/>
              </a:lnTo>
              <a:lnTo>
                <a:pt x="1171410" y="342534"/>
              </a:lnTo>
              <a:close/>
              <a:moveTo>
                <a:pt x="489858" y="138792"/>
              </a:moveTo>
              <a:lnTo>
                <a:pt x="417906" y="342534"/>
              </a:lnTo>
              <a:lnTo>
                <a:pt x="185059" y="342532"/>
              </a:lnTo>
              <a:lnTo>
                <a:pt x="373437" y="468450"/>
              </a:lnTo>
              <a:lnTo>
                <a:pt x="301482" y="672191"/>
              </a:lnTo>
              <a:lnTo>
                <a:pt x="489858" y="546271"/>
              </a:lnTo>
              <a:lnTo>
                <a:pt x="678234" y="672191"/>
              </a:lnTo>
              <a:lnTo>
                <a:pt x="606279" y="468450"/>
              </a:lnTo>
              <a:lnTo>
                <a:pt x="794657" y="342532"/>
              </a:lnTo>
              <a:lnTo>
                <a:pt x="561810" y="342534"/>
              </a:lnTo>
              <a:close/>
              <a:moveTo>
                <a:pt x="0" y="0"/>
              </a:moveTo>
              <a:lnTo>
                <a:pt x="3603171" y="0"/>
              </a:lnTo>
              <a:lnTo>
                <a:pt x="3603171" y="914400"/>
              </a:lnTo>
              <a:lnTo>
                <a:pt x="0" y="914400"/>
              </a:lnTo>
              <a:close/>
            </a:path>
          </a:pathLst>
        </a:cu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a:t> </a:t>
          </a:r>
        </a:p>
      </xdr:txBody>
    </xdr:sp>
    <xdr:clientData/>
  </xdr:twoCellAnchor>
  <xdr:twoCellAnchor>
    <xdr:from>
      <xdr:col>1</xdr:col>
      <xdr:colOff>454056</xdr:colOff>
      <xdr:row>17</xdr:row>
      <xdr:rowOff>473</xdr:rowOff>
    </xdr:from>
    <xdr:to>
      <xdr:col>9</xdr:col>
      <xdr:colOff>226780</xdr:colOff>
      <xdr:row>25</xdr:row>
      <xdr:rowOff>170088</xdr:rowOff>
    </xdr:to>
    <xdr:grpSp>
      <xdr:nvGrpSpPr>
        <xdr:cNvPr id="51" name="Group 50">
          <a:extLst>
            <a:ext uri="{FF2B5EF4-FFF2-40B4-BE49-F238E27FC236}">
              <a16:creationId xmlns:a16="http://schemas.microsoft.com/office/drawing/2014/main" id="{D51757EC-0F0A-C7B3-8364-1EC9865C92B8}"/>
            </a:ext>
          </a:extLst>
        </xdr:cNvPr>
        <xdr:cNvGrpSpPr/>
      </xdr:nvGrpSpPr>
      <xdr:grpSpPr>
        <a:xfrm>
          <a:off x="1058818" y="3205711"/>
          <a:ext cx="4610819" cy="1621044"/>
          <a:chOff x="1043699" y="3164134"/>
          <a:chExt cx="4671296" cy="1621044"/>
        </a:xfrm>
      </xdr:grpSpPr>
      <xdr:graphicFrame macro="">
        <xdr:nvGraphicFramePr>
          <xdr:cNvPr id="37" name="Chart 36">
            <a:extLst>
              <a:ext uri="{FF2B5EF4-FFF2-40B4-BE49-F238E27FC236}">
                <a16:creationId xmlns:a16="http://schemas.microsoft.com/office/drawing/2014/main" id="{EBE3EAB4-C711-4B90-878A-001A94A12194}"/>
              </a:ext>
            </a:extLst>
          </xdr:cNvPr>
          <xdr:cNvGraphicFramePr>
            <a:graphicFrameLocks/>
          </xdr:cNvGraphicFramePr>
        </xdr:nvGraphicFramePr>
        <xdr:xfrm>
          <a:off x="1043699" y="3164134"/>
          <a:ext cx="1800000" cy="1621044"/>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42" name="Chart 41">
            <a:extLst>
              <a:ext uri="{FF2B5EF4-FFF2-40B4-BE49-F238E27FC236}">
                <a16:creationId xmlns:a16="http://schemas.microsoft.com/office/drawing/2014/main" id="{9F7687AD-57D4-BA42-30FA-68F577A48C28}"/>
              </a:ext>
            </a:extLst>
          </xdr:cNvPr>
          <xdr:cNvGraphicFramePr>
            <a:graphicFrameLocks/>
          </xdr:cNvGraphicFramePr>
        </xdr:nvGraphicFramePr>
        <xdr:xfrm>
          <a:off x="3889370" y="3169804"/>
          <a:ext cx="1825625" cy="1609704"/>
        </xdr:xfrm>
        <a:graphic>
          <a:graphicData uri="http://schemas.openxmlformats.org/drawingml/2006/chart">
            <c:chart xmlns:c="http://schemas.openxmlformats.org/drawingml/2006/chart" xmlns:r="http://schemas.openxmlformats.org/officeDocument/2006/relationships" r:id="rId11"/>
          </a:graphicData>
        </a:graphic>
      </xdr:graphicFrame>
      <xdr:pic>
        <xdr:nvPicPr>
          <xdr:cNvPr id="44" name="Graphic 43" descr="Male profile with solid fill">
            <a:extLst>
              <a:ext uri="{FF2B5EF4-FFF2-40B4-BE49-F238E27FC236}">
                <a16:creationId xmlns:a16="http://schemas.microsoft.com/office/drawing/2014/main" id="{3923DA89-9CF2-F74A-0124-6A49B8608FA8}"/>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512573" y="3677715"/>
            <a:ext cx="637606" cy="805452"/>
          </a:xfrm>
          <a:prstGeom prst="rect">
            <a:avLst/>
          </a:prstGeom>
        </xdr:spPr>
      </xdr:pic>
      <xdr:pic>
        <xdr:nvPicPr>
          <xdr:cNvPr id="46" name="Graphic 45" descr="Female Profile with solid fill">
            <a:extLst>
              <a:ext uri="{FF2B5EF4-FFF2-40B4-BE49-F238E27FC236}">
                <a16:creationId xmlns:a16="http://schemas.microsoft.com/office/drawing/2014/main" id="{00499337-C36D-5246-5F59-2484272C0E7D}"/>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2750161" y="3746998"/>
            <a:ext cx="661473" cy="729165"/>
          </a:xfrm>
          <a:prstGeom prst="rect">
            <a:avLst/>
          </a:prstGeom>
        </xdr:spPr>
      </xdr:pic>
      <xdr:sp macro="" textlink="Gender!B9">
        <xdr:nvSpPr>
          <xdr:cNvPr id="47" name="TextBox 46">
            <a:extLst>
              <a:ext uri="{FF2B5EF4-FFF2-40B4-BE49-F238E27FC236}">
                <a16:creationId xmlns:a16="http://schemas.microsoft.com/office/drawing/2014/main" id="{FF397BB5-EF3B-E2E4-1A1C-3D9DA7FD175B}"/>
              </a:ext>
            </a:extLst>
          </xdr:cNvPr>
          <xdr:cNvSpPr txBox="1"/>
        </xdr:nvSpPr>
        <xdr:spPr>
          <a:xfrm>
            <a:off x="1644196" y="3810001"/>
            <a:ext cx="623661" cy="334746"/>
          </a:xfrm>
          <a:prstGeom prst="rect">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2246A22-CB79-481C-B9FD-58BAF9310406}" type="TxLink">
              <a:rPr lang="en-US" sz="1600" b="0" i="0" u="none" strike="noStrike">
                <a:solidFill>
                  <a:srgbClr val="000000"/>
                </a:solidFill>
                <a:latin typeface="Bodoni MT Black" panose="02070A03080606020203" pitchFamily="18" charset="0"/>
                <a:ea typeface="Calibri"/>
                <a:cs typeface="Calibri"/>
              </a:rPr>
              <a:pPr/>
              <a:t>495</a:t>
            </a:fld>
            <a:endParaRPr lang="en-US" sz="1600">
              <a:latin typeface="Bodoni MT Black" panose="02070A03080606020203" pitchFamily="18" charset="0"/>
            </a:endParaRPr>
          </a:p>
        </xdr:txBody>
      </xdr:sp>
      <xdr:sp macro="" textlink="Gender!$B$10">
        <xdr:nvSpPr>
          <xdr:cNvPr id="48" name="TextBox 47">
            <a:extLst>
              <a:ext uri="{FF2B5EF4-FFF2-40B4-BE49-F238E27FC236}">
                <a16:creationId xmlns:a16="http://schemas.microsoft.com/office/drawing/2014/main" id="{60237AC7-3245-6462-D2DA-E0748B4F30BC}"/>
              </a:ext>
            </a:extLst>
          </xdr:cNvPr>
          <xdr:cNvSpPr txBox="1"/>
        </xdr:nvSpPr>
        <xdr:spPr>
          <a:xfrm>
            <a:off x="4501697" y="3798659"/>
            <a:ext cx="634999" cy="306162"/>
          </a:xfrm>
          <a:prstGeom prst="rect">
            <a:avLst/>
          </a:prstGeom>
          <a:noFill/>
          <a:ln w="9525" cmpd="sng">
            <a:solidFill>
              <a:schemeClr val="bg1">
                <a:lumMod val="9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0C85194-51EF-43E5-AF41-0215B6C72B3F}" type="TxLink">
              <a:rPr lang="en-US" sz="1600" b="0" i="0" u="none" strike="noStrike">
                <a:solidFill>
                  <a:srgbClr val="000000"/>
                </a:solidFill>
                <a:latin typeface="Bodoni MT Black" panose="02070A03080606020203" pitchFamily="18" charset="0"/>
                <a:ea typeface="Calibri"/>
                <a:cs typeface="Calibri"/>
              </a:rPr>
              <a:pPr/>
              <a:t>505</a:t>
            </a:fld>
            <a:endParaRPr lang="en-IN" sz="1600">
              <a:solidFill>
                <a:schemeClr val="bg2">
                  <a:lumMod val="10000"/>
                </a:schemeClr>
              </a:solidFill>
              <a:latin typeface="Bodoni MT Black" panose="02070A03080606020203" pitchFamily="18" charset="0"/>
            </a:endParaRPr>
          </a:p>
        </xdr:txBody>
      </xdr:sp>
    </xdr:grpSp>
    <xdr:clientData/>
  </xdr:twoCellAnchor>
  <xdr:twoCellAnchor>
    <xdr:from>
      <xdr:col>2</xdr:col>
      <xdr:colOff>374195</xdr:colOff>
      <xdr:row>13</xdr:row>
      <xdr:rowOff>147410</xdr:rowOff>
    </xdr:from>
    <xdr:to>
      <xdr:col>8</xdr:col>
      <xdr:colOff>498928</xdr:colOff>
      <xdr:row>17</xdr:row>
      <xdr:rowOff>22679</xdr:rowOff>
    </xdr:to>
    <xdr:sp macro="" textlink="">
      <xdr:nvSpPr>
        <xdr:cNvPr id="52" name="TextBox 51">
          <a:extLst>
            <a:ext uri="{FF2B5EF4-FFF2-40B4-BE49-F238E27FC236}">
              <a16:creationId xmlns:a16="http://schemas.microsoft.com/office/drawing/2014/main" id="{E559D2AB-1E5F-CF4E-3634-CB9BA0189301}"/>
            </a:ext>
          </a:extLst>
        </xdr:cNvPr>
        <xdr:cNvSpPr txBox="1"/>
      </xdr:nvSpPr>
      <xdr:spPr>
        <a:xfrm>
          <a:off x="1598838" y="2596696"/>
          <a:ext cx="3798661" cy="612322"/>
        </a:xfrm>
        <a:prstGeom prst="rect">
          <a:avLst/>
        </a:prstGeom>
        <a:noFill/>
        <a:ln w="9525" cmpd="sng">
          <a:solidFill>
            <a:schemeClr val="bg1">
              <a:lumMod val="9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chemeClr val="accent1">
                  <a:lumMod val="50000"/>
                </a:schemeClr>
              </a:solidFill>
              <a:latin typeface="Bodoni MT Black" panose="02070A03080606020203" pitchFamily="18" charset="0"/>
            </a:rPr>
            <a:t>Total Employee</a:t>
          </a:r>
          <a:r>
            <a:rPr lang="en-IN" sz="2000" baseline="0">
              <a:solidFill>
                <a:schemeClr val="accent1">
                  <a:lumMod val="50000"/>
                </a:schemeClr>
              </a:solidFill>
              <a:latin typeface="Bodoni MT Black" panose="02070A03080606020203" pitchFamily="18" charset="0"/>
            </a:rPr>
            <a:t> by Gender</a:t>
          </a:r>
          <a:endParaRPr lang="en-IN" sz="2000">
            <a:solidFill>
              <a:schemeClr val="accent1">
                <a:lumMod val="50000"/>
              </a:schemeClr>
            </a:solidFill>
            <a:latin typeface="Bodoni MT Black" panose="02070A03080606020203" pitchFamily="18" charset="0"/>
          </a:endParaRPr>
        </a:p>
      </xdr:txBody>
    </xdr:sp>
    <xdr:clientData/>
  </xdr:twoCellAnchor>
  <xdr:twoCellAnchor>
    <xdr:from>
      <xdr:col>2</xdr:col>
      <xdr:colOff>317499</xdr:colOff>
      <xdr:row>15</xdr:row>
      <xdr:rowOff>181427</xdr:rowOff>
    </xdr:from>
    <xdr:to>
      <xdr:col>8</xdr:col>
      <xdr:colOff>243571</xdr:colOff>
      <xdr:row>15</xdr:row>
      <xdr:rowOff>181427</xdr:rowOff>
    </xdr:to>
    <xdr:cxnSp macro="">
      <xdr:nvCxnSpPr>
        <xdr:cNvPr id="54" name="Straight Connector 53">
          <a:extLst>
            <a:ext uri="{FF2B5EF4-FFF2-40B4-BE49-F238E27FC236}">
              <a16:creationId xmlns:a16="http://schemas.microsoft.com/office/drawing/2014/main" id="{B561D3A7-D6FC-2D21-B3B6-4EB37FC5113A}"/>
            </a:ext>
          </a:extLst>
        </xdr:cNvPr>
        <xdr:cNvCxnSpPr/>
      </xdr:nvCxnSpPr>
      <xdr:spPr>
        <a:xfrm flipV="1">
          <a:off x="1542142" y="3004909"/>
          <a:ext cx="3600000"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56696</xdr:colOff>
      <xdr:row>15</xdr:row>
      <xdr:rowOff>158750</xdr:rowOff>
    </xdr:from>
    <xdr:to>
      <xdr:col>16</xdr:col>
      <xdr:colOff>566964</xdr:colOff>
      <xdr:row>25</xdr:row>
      <xdr:rowOff>170088</xdr:rowOff>
    </xdr:to>
    <xdr:graphicFrame macro="">
      <xdr:nvGraphicFramePr>
        <xdr:cNvPr id="55" name="Chart 54">
          <a:extLst>
            <a:ext uri="{FF2B5EF4-FFF2-40B4-BE49-F238E27FC236}">
              <a16:creationId xmlns:a16="http://schemas.microsoft.com/office/drawing/2014/main" id="{A42C436C-2348-4EE5-8638-42CB8F6E6A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9</xdr:col>
      <xdr:colOff>283482</xdr:colOff>
      <xdr:row>15</xdr:row>
      <xdr:rowOff>170089</xdr:rowOff>
    </xdr:from>
    <xdr:to>
      <xdr:col>16</xdr:col>
      <xdr:colOff>389232</xdr:colOff>
      <xdr:row>15</xdr:row>
      <xdr:rowOff>170089</xdr:rowOff>
    </xdr:to>
    <xdr:cxnSp macro="">
      <xdr:nvCxnSpPr>
        <xdr:cNvPr id="57" name="Straight Connector 56">
          <a:extLst>
            <a:ext uri="{FF2B5EF4-FFF2-40B4-BE49-F238E27FC236}">
              <a16:creationId xmlns:a16="http://schemas.microsoft.com/office/drawing/2014/main" id="{7AB36569-31DD-78E5-D93E-F8FF117D09E1}"/>
            </a:ext>
          </a:extLst>
        </xdr:cNvPr>
        <xdr:cNvCxnSpPr/>
      </xdr:nvCxnSpPr>
      <xdr:spPr>
        <a:xfrm flipV="1">
          <a:off x="5794375" y="2993571"/>
          <a:ext cx="4392000"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34019</xdr:colOff>
      <xdr:row>13</xdr:row>
      <xdr:rowOff>136071</xdr:rowOff>
    </xdr:from>
    <xdr:to>
      <xdr:col>16</xdr:col>
      <xdr:colOff>113394</xdr:colOff>
      <xdr:row>15</xdr:row>
      <xdr:rowOff>113393</xdr:rowOff>
    </xdr:to>
    <xdr:sp macro="" textlink="">
      <xdr:nvSpPr>
        <xdr:cNvPr id="60" name="TextBox 59">
          <a:extLst>
            <a:ext uri="{FF2B5EF4-FFF2-40B4-BE49-F238E27FC236}">
              <a16:creationId xmlns:a16="http://schemas.microsoft.com/office/drawing/2014/main" id="{3B226F06-974F-3A0D-9A3C-82AFDC4F5C51}"/>
            </a:ext>
          </a:extLst>
        </xdr:cNvPr>
        <xdr:cNvSpPr txBox="1"/>
      </xdr:nvSpPr>
      <xdr:spPr>
        <a:xfrm>
          <a:off x="6157233" y="2585357"/>
          <a:ext cx="3753304" cy="351518"/>
        </a:xfrm>
        <a:prstGeom prst="rect">
          <a:avLst/>
        </a:prstGeom>
        <a:noFill/>
        <a:ln w="9525" cmpd="sng">
          <a:solidFill>
            <a:schemeClr val="bg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chemeClr val="tx2"/>
              </a:solidFill>
              <a:latin typeface="Bodoni MT Black" panose="02070A03080606020203" pitchFamily="18" charset="0"/>
            </a:rPr>
            <a:t>Education</a:t>
          </a:r>
          <a:r>
            <a:rPr lang="en-IN" sz="2000" baseline="0">
              <a:solidFill>
                <a:schemeClr val="tx2"/>
              </a:solidFill>
              <a:latin typeface="Bodoni MT Black" panose="02070A03080606020203" pitchFamily="18" charset="0"/>
            </a:rPr>
            <a:t> wise Attrition</a:t>
          </a:r>
          <a:endParaRPr lang="en-IN" sz="2000">
            <a:solidFill>
              <a:schemeClr val="tx2"/>
            </a:solidFill>
            <a:latin typeface="Bodoni MT Black" panose="02070A03080606020203" pitchFamily="18" charset="0"/>
          </a:endParaRPr>
        </a:p>
      </xdr:txBody>
    </xdr:sp>
    <xdr:clientData/>
  </xdr:twoCellAnchor>
  <xdr:twoCellAnchor>
    <xdr:from>
      <xdr:col>17</xdr:col>
      <xdr:colOff>68036</xdr:colOff>
      <xdr:row>16</xdr:row>
      <xdr:rowOff>68036</xdr:rowOff>
    </xdr:from>
    <xdr:to>
      <xdr:col>23</xdr:col>
      <xdr:colOff>589643</xdr:colOff>
      <xdr:row>25</xdr:row>
      <xdr:rowOff>136071</xdr:rowOff>
    </xdr:to>
    <mc:AlternateContent xmlns:mc="http://schemas.openxmlformats.org/markup-compatibility/2006">
      <mc:Choice xmlns:cx1="http://schemas.microsoft.com/office/drawing/2015/9/8/chartex" Requires="cx1">
        <xdr:graphicFrame macro="">
          <xdr:nvGraphicFramePr>
            <xdr:cNvPr id="61" name="Chart 60">
              <a:extLst>
                <a:ext uri="{FF2B5EF4-FFF2-40B4-BE49-F238E27FC236}">
                  <a16:creationId xmlns:a16="http://schemas.microsoft.com/office/drawing/2014/main" id="{02ADA710-59B0-45AC-B2B1-57705B75903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10431236" y="3090636"/>
              <a:ext cx="4179207" cy="172538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156171</xdr:colOff>
      <xdr:row>15</xdr:row>
      <xdr:rowOff>170089</xdr:rowOff>
    </xdr:from>
    <xdr:to>
      <xdr:col>23</xdr:col>
      <xdr:colOff>442242</xdr:colOff>
      <xdr:row>15</xdr:row>
      <xdr:rowOff>170089</xdr:rowOff>
    </xdr:to>
    <xdr:cxnSp macro="">
      <xdr:nvCxnSpPr>
        <xdr:cNvPr id="63" name="Straight Connector 62">
          <a:extLst>
            <a:ext uri="{FF2B5EF4-FFF2-40B4-BE49-F238E27FC236}">
              <a16:creationId xmlns:a16="http://schemas.microsoft.com/office/drawing/2014/main" id="{2BB03DF3-762D-8AB2-3279-7FFD1E3008C1}"/>
            </a:ext>
          </a:extLst>
        </xdr:cNvPr>
        <xdr:cNvCxnSpPr/>
      </xdr:nvCxnSpPr>
      <xdr:spPr>
        <a:xfrm>
          <a:off x="10565635" y="2993571"/>
          <a:ext cx="3960000"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156171</xdr:colOff>
      <xdr:row>13</xdr:row>
      <xdr:rowOff>136071</xdr:rowOff>
    </xdr:from>
    <xdr:to>
      <xdr:col>23</xdr:col>
      <xdr:colOff>442242</xdr:colOff>
      <xdr:row>15</xdr:row>
      <xdr:rowOff>113393</xdr:rowOff>
    </xdr:to>
    <xdr:sp macro="" textlink="">
      <xdr:nvSpPr>
        <xdr:cNvPr id="5120" name="TextBox 5119">
          <a:extLst>
            <a:ext uri="{FF2B5EF4-FFF2-40B4-BE49-F238E27FC236}">
              <a16:creationId xmlns:a16="http://schemas.microsoft.com/office/drawing/2014/main" id="{492987B1-FE5A-D3AF-36E6-B755818E3B95}"/>
            </a:ext>
          </a:extLst>
        </xdr:cNvPr>
        <xdr:cNvSpPr txBox="1"/>
      </xdr:nvSpPr>
      <xdr:spPr>
        <a:xfrm>
          <a:off x="10565635" y="2585357"/>
          <a:ext cx="3960000" cy="351518"/>
        </a:xfrm>
        <a:prstGeom prst="rect">
          <a:avLst/>
        </a:prstGeom>
        <a:noFill/>
        <a:ln w="9525" cmpd="sng">
          <a:solidFill>
            <a:schemeClr val="bg1">
              <a:lumMod val="9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1"/>
          <a:r>
            <a:rPr lang="en-IN" sz="2000">
              <a:solidFill>
                <a:schemeClr val="tx2"/>
              </a:solidFill>
              <a:latin typeface="Bodoni MT Black" panose="02070A03080606020203" pitchFamily="18" charset="0"/>
            </a:rPr>
            <a:t>Attrition by Jobrole</a:t>
          </a:r>
        </a:p>
      </xdr:txBody>
    </xdr:sp>
    <xdr:clientData/>
  </xdr:twoCellAnchor>
  <xdr:twoCellAnchor>
    <xdr:from>
      <xdr:col>2</xdr:col>
      <xdr:colOff>56696</xdr:colOff>
      <xdr:row>29</xdr:row>
      <xdr:rowOff>147411</xdr:rowOff>
    </xdr:from>
    <xdr:to>
      <xdr:col>7</xdr:col>
      <xdr:colOff>589643</xdr:colOff>
      <xdr:row>40</xdr:row>
      <xdr:rowOff>192767</xdr:rowOff>
    </xdr:to>
    <xdr:graphicFrame macro="">
      <xdr:nvGraphicFramePr>
        <xdr:cNvPr id="2" name="Chart 1">
          <a:extLst>
            <a:ext uri="{FF2B5EF4-FFF2-40B4-BE49-F238E27FC236}">
              <a16:creationId xmlns:a16="http://schemas.microsoft.com/office/drawing/2014/main" id="{40A5E926-0515-46AA-BF61-005F1576CE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xdr:col>
      <xdr:colOff>20934</xdr:colOff>
      <xdr:row>27</xdr:row>
      <xdr:rowOff>105834</xdr:rowOff>
    </xdr:from>
    <xdr:to>
      <xdr:col>8</xdr:col>
      <xdr:colOff>97693</xdr:colOff>
      <xdr:row>30</xdr:row>
      <xdr:rowOff>0</xdr:rowOff>
    </xdr:to>
    <xdr:sp macro="" textlink="">
      <xdr:nvSpPr>
        <xdr:cNvPr id="3" name="TextBox 2">
          <a:extLst>
            <a:ext uri="{FF2B5EF4-FFF2-40B4-BE49-F238E27FC236}">
              <a16:creationId xmlns:a16="http://schemas.microsoft.com/office/drawing/2014/main" id="{920DE1EF-EAEA-61A7-CAF3-D539CD31CB65}"/>
            </a:ext>
          </a:extLst>
        </xdr:cNvPr>
        <xdr:cNvSpPr txBox="1"/>
      </xdr:nvSpPr>
      <xdr:spPr>
        <a:xfrm>
          <a:off x="1245577" y="5117798"/>
          <a:ext cx="3750687" cy="4460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rgbClr val="002060"/>
              </a:solidFill>
              <a:latin typeface="Bodoni MT Black" panose="02070A03080606020203" pitchFamily="18" charset="0"/>
            </a:rPr>
            <a:t>Department wise Attrition</a:t>
          </a:r>
        </a:p>
      </xdr:txBody>
    </xdr:sp>
    <xdr:clientData/>
  </xdr:twoCellAnchor>
  <xdr:twoCellAnchor>
    <xdr:from>
      <xdr:col>2</xdr:col>
      <xdr:colOff>124732</xdr:colOff>
      <xdr:row>29</xdr:row>
      <xdr:rowOff>87468</xdr:rowOff>
    </xdr:from>
    <xdr:to>
      <xdr:col>7</xdr:col>
      <xdr:colOff>519125</xdr:colOff>
      <xdr:row>29</xdr:row>
      <xdr:rowOff>87468</xdr:rowOff>
    </xdr:to>
    <xdr:cxnSp macro="">
      <xdr:nvCxnSpPr>
        <xdr:cNvPr id="20" name="Straight Connector 19">
          <a:extLst>
            <a:ext uri="{FF2B5EF4-FFF2-40B4-BE49-F238E27FC236}">
              <a16:creationId xmlns:a16="http://schemas.microsoft.com/office/drawing/2014/main" id="{24C23DE5-CEAC-0D6C-A083-ABD139E165DA}"/>
            </a:ext>
          </a:extLst>
        </xdr:cNvPr>
        <xdr:cNvCxnSpPr/>
      </xdr:nvCxnSpPr>
      <xdr:spPr>
        <a:xfrm flipV="1">
          <a:off x="1349375" y="5469849"/>
          <a:ext cx="3456000"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69781</xdr:colOff>
      <xdr:row>29</xdr:row>
      <xdr:rowOff>79375</xdr:rowOff>
    </xdr:from>
    <xdr:to>
      <xdr:col>13</xdr:col>
      <xdr:colOff>566964</xdr:colOff>
      <xdr:row>40</xdr:row>
      <xdr:rowOff>125604</xdr:rowOff>
    </xdr:to>
    <xdr:graphicFrame macro="">
      <xdr:nvGraphicFramePr>
        <xdr:cNvPr id="21" name="Chart 20">
          <a:extLst>
            <a:ext uri="{FF2B5EF4-FFF2-40B4-BE49-F238E27FC236}">
              <a16:creationId xmlns:a16="http://schemas.microsoft.com/office/drawing/2014/main" id="{34EE5B5D-C0EB-4EFA-B5CB-0BF969C7FF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8</xdr:col>
      <xdr:colOff>174451</xdr:colOff>
      <xdr:row>27</xdr:row>
      <xdr:rowOff>95076</xdr:rowOff>
    </xdr:from>
    <xdr:to>
      <xdr:col>13</xdr:col>
      <xdr:colOff>439615</xdr:colOff>
      <xdr:row>29</xdr:row>
      <xdr:rowOff>166309</xdr:rowOff>
    </xdr:to>
    <xdr:sp macro="" textlink="">
      <xdr:nvSpPr>
        <xdr:cNvPr id="24" name="TextBox 23">
          <a:extLst>
            <a:ext uri="{FF2B5EF4-FFF2-40B4-BE49-F238E27FC236}">
              <a16:creationId xmlns:a16="http://schemas.microsoft.com/office/drawing/2014/main" id="{F0C3D102-9BCA-82EB-022C-532622A19A66}"/>
            </a:ext>
          </a:extLst>
        </xdr:cNvPr>
        <xdr:cNvSpPr txBox="1"/>
      </xdr:nvSpPr>
      <xdr:spPr>
        <a:xfrm>
          <a:off x="5073022" y="5107040"/>
          <a:ext cx="3326772" cy="4416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a:solidFill>
                <a:srgbClr val="002060"/>
              </a:solidFill>
              <a:latin typeface="Bodoni MT Black" panose="02070A03080606020203" pitchFamily="18" charset="0"/>
            </a:rPr>
            <a:t>Attrition by Age</a:t>
          </a:r>
        </a:p>
      </xdr:txBody>
    </xdr:sp>
    <xdr:clientData/>
  </xdr:twoCellAnchor>
  <xdr:twoCellAnchor>
    <xdr:from>
      <xdr:col>8</xdr:col>
      <xdr:colOff>216319</xdr:colOff>
      <xdr:row>29</xdr:row>
      <xdr:rowOff>87468</xdr:rowOff>
    </xdr:from>
    <xdr:to>
      <xdr:col>13</xdr:col>
      <xdr:colOff>384879</xdr:colOff>
      <xdr:row>29</xdr:row>
      <xdr:rowOff>87468</xdr:rowOff>
    </xdr:to>
    <xdr:cxnSp macro="">
      <xdr:nvCxnSpPr>
        <xdr:cNvPr id="36" name="Straight Connector 35">
          <a:extLst>
            <a:ext uri="{FF2B5EF4-FFF2-40B4-BE49-F238E27FC236}">
              <a16:creationId xmlns:a16="http://schemas.microsoft.com/office/drawing/2014/main" id="{31948755-1A79-EEB1-026D-8E22682783E0}"/>
            </a:ext>
          </a:extLst>
        </xdr:cNvPr>
        <xdr:cNvCxnSpPr/>
      </xdr:nvCxnSpPr>
      <xdr:spPr>
        <a:xfrm flipV="1">
          <a:off x="5114890" y="5469849"/>
          <a:ext cx="3230168"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38721</xdr:colOff>
      <xdr:row>30</xdr:row>
      <xdr:rowOff>123903</xdr:rowOff>
    </xdr:from>
    <xdr:to>
      <xdr:col>18</xdr:col>
      <xdr:colOff>580794</xdr:colOff>
      <xdr:row>40</xdr:row>
      <xdr:rowOff>100671</xdr:rowOff>
    </xdr:to>
    <xdr:graphicFrame macro="">
      <xdr:nvGraphicFramePr>
        <xdr:cNvPr id="38" name="Chart 37">
          <a:extLst>
            <a:ext uri="{FF2B5EF4-FFF2-40B4-BE49-F238E27FC236}">
              <a16:creationId xmlns:a16="http://schemas.microsoft.com/office/drawing/2014/main" id="{5D637EE1-389B-4D74-BE51-B5A8C2DF12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14</xdr:col>
      <xdr:colOff>185854</xdr:colOff>
      <xdr:row>27</xdr:row>
      <xdr:rowOff>83155</xdr:rowOff>
    </xdr:from>
    <xdr:to>
      <xdr:col>18</xdr:col>
      <xdr:colOff>503354</xdr:colOff>
      <xdr:row>29</xdr:row>
      <xdr:rowOff>63334</xdr:rowOff>
    </xdr:to>
    <xdr:sp macro="" textlink="">
      <xdr:nvSpPr>
        <xdr:cNvPr id="39" name="TextBox 38">
          <a:extLst>
            <a:ext uri="{FF2B5EF4-FFF2-40B4-BE49-F238E27FC236}">
              <a16:creationId xmlns:a16="http://schemas.microsoft.com/office/drawing/2014/main" id="{F4C48D56-67B9-88D4-565F-87572E90513A}"/>
            </a:ext>
          </a:extLst>
        </xdr:cNvPr>
        <xdr:cNvSpPr txBox="1"/>
      </xdr:nvSpPr>
      <xdr:spPr>
        <a:xfrm>
          <a:off x="8758354" y="5095119"/>
          <a:ext cx="2766786" cy="3505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rgbClr val="002060"/>
              </a:solidFill>
              <a:latin typeface="Bodoni MT Black" panose="02070A03080606020203" pitchFamily="18" charset="0"/>
            </a:rPr>
            <a:t>Attrition by City</a:t>
          </a:r>
          <a:r>
            <a:rPr lang="en-IN" sz="1800" baseline="0">
              <a:solidFill>
                <a:srgbClr val="002060"/>
              </a:solidFill>
              <a:latin typeface="Bodoni MT Black" panose="02070A03080606020203" pitchFamily="18" charset="0"/>
            </a:rPr>
            <a:t> Wise</a:t>
          </a:r>
          <a:endParaRPr lang="en-IN" sz="1800">
            <a:solidFill>
              <a:srgbClr val="002060"/>
            </a:solidFill>
            <a:latin typeface="Bodoni MT Black" panose="02070A03080606020203" pitchFamily="18" charset="0"/>
          </a:endParaRPr>
        </a:p>
      </xdr:txBody>
    </xdr:sp>
    <xdr:clientData/>
  </xdr:twoCellAnchor>
  <xdr:twoCellAnchor>
    <xdr:from>
      <xdr:col>14</xdr:col>
      <xdr:colOff>201341</xdr:colOff>
      <xdr:row>29</xdr:row>
      <xdr:rowOff>87468</xdr:rowOff>
    </xdr:from>
    <xdr:to>
      <xdr:col>18</xdr:col>
      <xdr:colOff>454268</xdr:colOff>
      <xdr:row>29</xdr:row>
      <xdr:rowOff>87468</xdr:rowOff>
    </xdr:to>
    <xdr:cxnSp macro="">
      <xdr:nvCxnSpPr>
        <xdr:cNvPr id="41" name="Straight Connector 40">
          <a:extLst>
            <a:ext uri="{FF2B5EF4-FFF2-40B4-BE49-F238E27FC236}">
              <a16:creationId xmlns:a16="http://schemas.microsoft.com/office/drawing/2014/main" id="{11A89D80-344C-DCD8-D7C9-498A220B5612}"/>
            </a:ext>
          </a:extLst>
        </xdr:cNvPr>
        <xdr:cNvCxnSpPr/>
      </xdr:nvCxnSpPr>
      <xdr:spPr>
        <a:xfrm flipV="1">
          <a:off x="8773841" y="5469849"/>
          <a:ext cx="2702213"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19</xdr:col>
      <xdr:colOff>6048</xdr:colOff>
      <xdr:row>30</xdr:row>
      <xdr:rowOff>85246</xdr:rowOff>
    </xdr:from>
    <xdr:to>
      <xdr:col>21</xdr:col>
      <xdr:colOff>350762</xdr:colOff>
      <xdr:row>40</xdr:row>
      <xdr:rowOff>157238</xdr:rowOff>
    </xdr:to>
    <mc:AlternateContent xmlns:mc="http://schemas.openxmlformats.org/markup-compatibility/2006" xmlns:a14="http://schemas.microsoft.com/office/drawing/2010/main">
      <mc:Choice Requires="a14">
        <xdr:graphicFrame macro="">
          <xdr:nvGraphicFramePr>
            <xdr:cNvPr id="43" name="Department 2">
              <a:extLst>
                <a:ext uri="{FF2B5EF4-FFF2-40B4-BE49-F238E27FC236}">
                  <a16:creationId xmlns:a16="http://schemas.microsoft.com/office/drawing/2014/main" id="{5768A73A-6184-4A15-96FA-DC1EC406463C}"/>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11607010" y="5726977"/>
              <a:ext cx="1565867" cy="19037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387048</xdr:colOff>
      <xdr:row>30</xdr:row>
      <xdr:rowOff>171658</xdr:rowOff>
    </xdr:from>
    <xdr:to>
      <xdr:col>23</xdr:col>
      <xdr:colOff>586154</xdr:colOff>
      <xdr:row>40</xdr:row>
      <xdr:rowOff>63509</xdr:rowOff>
    </xdr:to>
    <mc:AlternateContent xmlns:mc="http://schemas.openxmlformats.org/markup-compatibility/2006" xmlns:a14="http://schemas.microsoft.com/office/drawing/2010/main">
      <mc:Choice Requires="a14">
        <xdr:graphicFrame macro="">
          <xdr:nvGraphicFramePr>
            <xdr:cNvPr id="45" name="Education 1">
              <a:extLst>
                <a:ext uri="{FF2B5EF4-FFF2-40B4-BE49-F238E27FC236}">
                  <a16:creationId xmlns:a16="http://schemas.microsoft.com/office/drawing/2014/main" id="{653B91CF-82F4-4858-8C7E-15F9D4321325}"/>
                </a:ext>
              </a:extLst>
            </xdr:cNvPr>
            <xdr:cNvGraphicFramePr/>
          </xdr:nvGraphicFramePr>
          <xdr:xfrm>
            <a:off x="0" y="0"/>
            <a:ext cx="0" cy="0"/>
          </xdr:xfrm>
          <a:graphic>
            <a:graphicData uri="http://schemas.microsoft.com/office/drawing/2010/slicer">
              <sle:slicer xmlns:sle="http://schemas.microsoft.com/office/drawing/2010/slicer" name="Education 1"/>
            </a:graphicData>
          </a:graphic>
        </xdr:graphicFrame>
      </mc:Choice>
      <mc:Fallback xmlns="">
        <xdr:sp macro="" textlink="">
          <xdr:nvSpPr>
            <xdr:cNvPr id="0" name=""/>
            <xdr:cNvSpPr>
              <a:spLocks noTextEdit="1"/>
            </xdr:cNvSpPr>
          </xdr:nvSpPr>
          <xdr:spPr>
            <a:xfrm>
              <a:off x="13209163" y="5813389"/>
              <a:ext cx="1420260" cy="17235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36287</xdr:colOff>
      <xdr:row>27</xdr:row>
      <xdr:rowOff>169333</xdr:rowOff>
    </xdr:from>
    <xdr:to>
      <xdr:col>23</xdr:col>
      <xdr:colOff>580571</xdr:colOff>
      <xdr:row>29</xdr:row>
      <xdr:rowOff>78619</xdr:rowOff>
    </xdr:to>
    <xdr:sp macro="" textlink="">
      <xdr:nvSpPr>
        <xdr:cNvPr id="49" name="TextBox 48">
          <a:extLst>
            <a:ext uri="{FF2B5EF4-FFF2-40B4-BE49-F238E27FC236}">
              <a16:creationId xmlns:a16="http://schemas.microsoft.com/office/drawing/2014/main" id="{EF4D68C1-9383-7F1E-4F46-9012AC3E7961}"/>
            </a:ext>
          </a:extLst>
        </xdr:cNvPr>
        <xdr:cNvSpPr txBox="1"/>
      </xdr:nvSpPr>
      <xdr:spPr>
        <a:xfrm>
          <a:off x="11641668" y="5225143"/>
          <a:ext cx="2987522" cy="2842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aseline="0">
              <a:solidFill>
                <a:srgbClr val="002060"/>
              </a:solidFill>
              <a:latin typeface="Bodoni MT Black" panose="02070A03080606020203" pitchFamily="18" charset="0"/>
            </a:rPr>
            <a:t>Departmen Field        Education Field</a:t>
          </a:r>
          <a:endParaRPr lang="en-IN" sz="1100">
            <a:solidFill>
              <a:srgbClr val="002060"/>
            </a:solidFill>
            <a:latin typeface="Bodoni MT Black" panose="02070A03080606020203" pitchFamily="18" charset="0"/>
          </a:endParaRPr>
        </a:p>
      </xdr:txBody>
    </xdr:sp>
    <xdr:clientData/>
  </xdr:twoCellAnchor>
  <xdr:twoCellAnchor>
    <xdr:from>
      <xdr:col>19</xdr:col>
      <xdr:colOff>120952</xdr:colOff>
      <xdr:row>29</xdr:row>
      <xdr:rowOff>87468</xdr:rowOff>
    </xdr:from>
    <xdr:to>
      <xdr:col>21</xdr:col>
      <xdr:colOff>308429</xdr:colOff>
      <xdr:row>29</xdr:row>
      <xdr:rowOff>87468</xdr:rowOff>
    </xdr:to>
    <xdr:cxnSp macro="">
      <xdr:nvCxnSpPr>
        <xdr:cNvPr id="53" name="Straight Connector 52">
          <a:extLst>
            <a:ext uri="{FF2B5EF4-FFF2-40B4-BE49-F238E27FC236}">
              <a16:creationId xmlns:a16="http://schemas.microsoft.com/office/drawing/2014/main" id="{DA03DAE5-7404-245A-57AD-27CD7D84B712}"/>
            </a:ext>
          </a:extLst>
        </xdr:cNvPr>
        <xdr:cNvCxnSpPr/>
      </xdr:nvCxnSpPr>
      <xdr:spPr>
        <a:xfrm flipV="1">
          <a:off x="11755059" y="5469849"/>
          <a:ext cx="1412120"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381000</xdr:colOff>
      <xdr:row>29</xdr:row>
      <xdr:rowOff>87468</xdr:rowOff>
    </xdr:from>
    <xdr:to>
      <xdr:col>23</xdr:col>
      <xdr:colOff>491381</xdr:colOff>
      <xdr:row>29</xdr:row>
      <xdr:rowOff>87468</xdr:rowOff>
    </xdr:to>
    <xdr:cxnSp macro="">
      <xdr:nvCxnSpPr>
        <xdr:cNvPr id="56" name="Straight Connector 55">
          <a:extLst>
            <a:ext uri="{FF2B5EF4-FFF2-40B4-BE49-F238E27FC236}">
              <a16:creationId xmlns:a16="http://schemas.microsoft.com/office/drawing/2014/main" id="{3D81FB63-52BA-9F8E-CA93-27770B1562C8}"/>
            </a:ext>
          </a:extLst>
        </xdr:cNvPr>
        <xdr:cNvCxnSpPr/>
      </xdr:nvCxnSpPr>
      <xdr:spPr>
        <a:xfrm flipV="1">
          <a:off x="13239750" y="5469849"/>
          <a:ext cx="1335024"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4</xdr:col>
      <xdr:colOff>179597</xdr:colOff>
      <xdr:row>16</xdr:row>
      <xdr:rowOff>115455</xdr:rowOff>
    </xdr:from>
    <xdr:to>
      <xdr:col>6</xdr:col>
      <xdr:colOff>333535</xdr:colOff>
      <xdr:row>20</xdr:row>
      <xdr:rowOff>12828</xdr:rowOff>
    </xdr:to>
    <mc:AlternateContent xmlns:mc="http://schemas.openxmlformats.org/markup-compatibility/2006" xmlns:a14="http://schemas.microsoft.com/office/drawing/2010/main">
      <mc:Choice Requires="a14">
        <xdr:graphicFrame macro="">
          <xdr:nvGraphicFramePr>
            <xdr:cNvPr id="58" name="Gender 1">
              <a:extLst>
                <a:ext uri="{FF2B5EF4-FFF2-40B4-BE49-F238E27FC236}">
                  <a16:creationId xmlns:a16="http://schemas.microsoft.com/office/drawing/2014/main" id="{66A110FD-B56D-4499-A9D3-7E57069E3557}"/>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2621905" y="3156128"/>
              <a:ext cx="1375092" cy="6300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0.30968</cdr:x>
      <cdr:y>0.32836</cdr:y>
    </cdr:from>
    <cdr:to>
      <cdr:x>0.65161</cdr:x>
      <cdr:y>0.92537</cdr:y>
    </cdr:to>
    <cdr:sp macro="" textlink="rating!$A$10">
      <cdr:nvSpPr>
        <cdr:cNvPr id="3" name="TextBox 2">
          <a:extLst xmlns:a="http://schemas.openxmlformats.org/drawingml/2006/main">
            <a:ext uri="{FF2B5EF4-FFF2-40B4-BE49-F238E27FC236}">
              <a16:creationId xmlns:a16="http://schemas.microsoft.com/office/drawing/2014/main" id="{003ECAF9-5377-1C60-7762-8EA94D8FAB27}"/>
            </a:ext>
          </a:extLst>
        </cdr:cNvPr>
        <cdr:cNvSpPr txBox="1"/>
      </cdr:nvSpPr>
      <cdr:spPr>
        <a:xfrm xmlns:a="http://schemas.openxmlformats.org/drawingml/2006/main">
          <a:off x="544285" y="249464"/>
          <a:ext cx="600983" cy="45357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9B764243-0088-44EC-9C51-D482E0658D37}" type="TxLink">
            <a:rPr lang="en-US" sz="1200" b="0" i="0" u="none" strike="noStrike" kern="1200">
              <a:solidFill>
                <a:srgbClr val="000000"/>
              </a:solidFill>
              <a:latin typeface="Bodoni MT Black" panose="02070A03080606020203" pitchFamily="18" charset="0"/>
              <a:ea typeface="Calibri"/>
              <a:cs typeface="Calibri"/>
            </a:rPr>
            <a:pPr/>
            <a:t>3.0</a:t>
          </a:fld>
          <a:endParaRPr lang="en-IN" sz="1200" kern="1200">
            <a:latin typeface="Bodoni MT Black" panose="02070A03080606020203" pitchFamily="18" charset="0"/>
          </a:endParaRPr>
        </a:p>
      </cdr:txBody>
    </cdr:sp>
  </cdr:relSizeAnchor>
</c:userShapes>
</file>

<file path=xl/drawings/drawing4.xml><?xml version="1.0" encoding="utf-8"?>
<xdr:wsDr xmlns:xdr="http://schemas.openxmlformats.org/drawingml/2006/spreadsheetDrawing" xmlns:a="http://schemas.openxmlformats.org/drawingml/2006/main">
  <xdr:twoCellAnchor>
    <xdr:from>
      <xdr:col>5</xdr:col>
      <xdr:colOff>95250</xdr:colOff>
      <xdr:row>6</xdr:row>
      <xdr:rowOff>69850</xdr:rowOff>
    </xdr:from>
    <xdr:to>
      <xdr:col>7</xdr:col>
      <xdr:colOff>133350</xdr:colOff>
      <xdr:row>10</xdr:row>
      <xdr:rowOff>95250</xdr:rowOff>
    </xdr:to>
    <xdr:graphicFrame macro="">
      <xdr:nvGraphicFramePr>
        <xdr:cNvPr id="2" name="Chart 1">
          <a:extLst>
            <a:ext uri="{FF2B5EF4-FFF2-40B4-BE49-F238E27FC236}">
              <a16:creationId xmlns:a16="http://schemas.microsoft.com/office/drawing/2014/main" id="{9A959D69-747A-143B-53BF-D7EC12D86A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107950</xdr:colOff>
      <xdr:row>16</xdr:row>
      <xdr:rowOff>50800</xdr:rowOff>
    </xdr:from>
    <xdr:to>
      <xdr:col>11</xdr:col>
      <xdr:colOff>241300</xdr:colOff>
      <xdr:row>20</xdr:row>
      <xdr:rowOff>19050</xdr:rowOff>
    </xdr:to>
    <xdr:graphicFrame macro="">
      <xdr:nvGraphicFramePr>
        <xdr:cNvPr id="6" name="Chart 5">
          <a:extLst>
            <a:ext uri="{FF2B5EF4-FFF2-40B4-BE49-F238E27FC236}">
              <a16:creationId xmlns:a16="http://schemas.microsoft.com/office/drawing/2014/main" id="{B4A75632-724F-BC3E-043B-F71C828511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158750</xdr:colOff>
      <xdr:row>0</xdr:row>
      <xdr:rowOff>127000</xdr:rowOff>
    </xdr:from>
    <xdr:to>
      <xdr:col>6</xdr:col>
      <xdr:colOff>158750</xdr:colOff>
      <xdr:row>14</xdr:row>
      <xdr:rowOff>73025</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4DB9136B-62E0-4B05-6D69-FF83937DD744}"/>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2940050" y="1270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355600</xdr:colOff>
      <xdr:row>1</xdr:row>
      <xdr:rowOff>31751</xdr:rowOff>
    </xdr:from>
    <xdr:to>
      <xdr:col>9</xdr:col>
      <xdr:colOff>355600</xdr:colOff>
      <xdr:row>6</xdr:row>
      <xdr:rowOff>88901</xdr:rowOff>
    </xdr:to>
    <mc:AlternateContent xmlns:mc="http://schemas.openxmlformats.org/markup-compatibility/2006" xmlns:a14="http://schemas.microsoft.com/office/drawing/2010/main">
      <mc:Choice Requires="a14">
        <xdr:graphicFrame macro="">
          <xdr:nvGraphicFramePr>
            <xdr:cNvPr id="4" name="Gender">
              <a:extLst>
                <a:ext uri="{FF2B5EF4-FFF2-40B4-BE49-F238E27FC236}">
                  <a16:creationId xmlns:a16="http://schemas.microsoft.com/office/drawing/2014/main" id="{96B0E22C-A233-03C1-B448-2A8C3FA4203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4965700" y="215901"/>
              <a:ext cx="1828800" cy="977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142875</xdr:colOff>
      <xdr:row>10</xdr:row>
      <xdr:rowOff>177800</xdr:rowOff>
    </xdr:from>
    <xdr:to>
      <xdr:col>10</xdr:col>
      <xdr:colOff>400050</xdr:colOff>
      <xdr:row>18</xdr:row>
      <xdr:rowOff>95250</xdr:rowOff>
    </xdr:to>
    <xdr:graphicFrame macro="">
      <xdr:nvGraphicFramePr>
        <xdr:cNvPr id="5" name="Chart 4">
          <a:extLst>
            <a:ext uri="{FF2B5EF4-FFF2-40B4-BE49-F238E27FC236}">
              <a16:creationId xmlns:a16="http://schemas.microsoft.com/office/drawing/2014/main" id="{9E5CE729-D819-C293-E45B-6400284C03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196850</xdr:colOff>
      <xdr:row>4</xdr:row>
      <xdr:rowOff>82551</xdr:rowOff>
    </xdr:from>
    <xdr:to>
      <xdr:col>8</xdr:col>
      <xdr:colOff>419100</xdr:colOff>
      <xdr:row>13</xdr:row>
      <xdr:rowOff>69850</xdr:rowOff>
    </xdr:to>
    <xdr:graphicFrame macro="">
      <xdr:nvGraphicFramePr>
        <xdr:cNvPr id="2" name="Chart 1">
          <a:extLst>
            <a:ext uri="{FF2B5EF4-FFF2-40B4-BE49-F238E27FC236}">
              <a16:creationId xmlns:a16="http://schemas.microsoft.com/office/drawing/2014/main" id="{381FE515-231E-65DB-E668-C454A94F0C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8</xdr:col>
      <xdr:colOff>25400</xdr:colOff>
      <xdr:row>10</xdr:row>
      <xdr:rowOff>107950</xdr:rowOff>
    </xdr:from>
    <xdr:to>
      <xdr:col>11</xdr:col>
      <xdr:colOff>558800</xdr:colOff>
      <xdr:row>17</xdr:row>
      <xdr:rowOff>31750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F72B6431-9F83-7D87-BACE-C02DB8D4E4D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962650" y="1949450"/>
              <a:ext cx="2362200" cy="12128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12</xdr:row>
      <xdr:rowOff>31750</xdr:rowOff>
    </xdr:from>
    <xdr:to>
      <xdr:col>1</xdr:col>
      <xdr:colOff>412750</xdr:colOff>
      <xdr:row>19</xdr:row>
      <xdr:rowOff>0</xdr:rowOff>
    </xdr:to>
    <xdr:graphicFrame macro="">
      <xdr:nvGraphicFramePr>
        <xdr:cNvPr id="2" name="Chart 1">
          <a:extLst>
            <a:ext uri="{FF2B5EF4-FFF2-40B4-BE49-F238E27FC236}">
              <a16:creationId xmlns:a16="http://schemas.microsoft.com/office/drawing/2014/main" id="{0F9A60EF-56FF-1FAF-4EBC-78A5D4F7BE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38100</xdr:colOff>
      <xdr:row>0</xdr:row>
      <xdr:rowOff>146050</xdr:rowOff>
    </xdr:from>
    <xdr:to>
      <xdr:col>5</xdr:col>
      <xdr:colOff>539750</xdr:colOff>
      <xdr:row>14</xdr:row>
      <xdr:rowOff>92075</xdr:rowOff>
    </xdr:to>
    <mc:AlternateContent xmlns:mc="http://schemas.openxmlformats.org/markup-compatibility/2006" xmlns:a14="http://schemas.microsoft.com/office/drawing/2010/main">
      <mc:Choice Requires="a14">
        <xdr:graphicFrame macro="">
          <xdr:nvGraphicFramePr>
            <xdr:cNvPr id="5" name="Department 4">
              <a:extLst>
                <a:ext uri="{FF2B5EF4-FFF2-40B4-BE49-F238E27FC236}">
                  <a16:creationId xmlns:a16="http://schemas.microsoft.com/office/drawing/2014/main" id="{40F410C6-27BA-CCD2-FB05-9B8DC064964D}"/>
                </a:ext>
              </a:extLst>
            </xdr:cNvPr>
            <xdr:cNvGraphicFramePr/>
          </xdr:nvGraphicFramePr>
          <xdr:xfrm>
            <a:off x="0" y="0"/>
            <a:ext cx="0" cy="0"/>
          </xdr:xfrm>
          <a:graphic>
            <a:graphicData uri="http://schemas.microsoft.com/office/drawing/2010/slicer">
              <sle:slicer xmlns:sle="http://schemas.microsoft.com/office/drawing/2010/slicer" name="Department 4"/>
            </a:graphicData>
          </a:graphic>
        </xdr:graphicFrame>
      </mc:Choice>
      <mc:Fallback xmlns="">
        <xdr:sp macro="" textlink="">
          <xdr:nvSpPr>
            <xdr:cNvPr id="0" name=""/>
            <xdr:cNvSpPr>
              <a:spLocks noTextEdit="1"/>
            </xdr:cNvSpPr>
          </xdr:nvSpPr>
          <xdr:spPr>
            <a:xfrm>
              <a:off x="3435350" y="1460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0</xdr:col>
      <xdr:colOff>393700</xdr:colOff>
      <xdr:row>11</xdr:row>
      <xdr:rowOff>19050</xdr:rowOff>
    </xdr:from>
    <xdr:to>
      <xdr:col>2</xdr:col>
      <xdr:colOff>152400</xdr:colOff>
      <xdr:row>18</xdr:row>
      <xdr:rowOff>95250</xdr:rowOff>
    </xdr:to>
    <xdr:graphicFrame macro="">
      <xdr:nvGraphicFramePr>
        <xdr:cNvPr id="2" name="Chart 1">
          <a:extLst>
            <a:ext uri="{FF2B5EF4-FFF2-40B4-BE49-F238E27FC236}">
              <a16:creationId xmlns:a16="http://schemas.microsoft.com/office/drawing/2014/main" id="{16DF0BA8-2C6C-24A2-E385-CD5DDBE2F2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508000</xdr:colOff>
      <xdr:row>1</xdr:row>
      <xdr:rowOff>165100</xdr:rowOff>
    </xdr:from>
    <xdr:to>
      <xdr:col>6</xdr:col>
      <xdr:colOff>508000</xdr:colOff>
      <xdr:row>15</xdr:row>
      <xdr:rowOff>111125</xdr:rowOff>
    </xdr:to>
    <mc:AlternateContent xmlns:mc="http://schemas.openxmlformats.org/markup-compatibility/2006" xmlns:a14="http://schemas.microsoft.com/office/drawing/2010/main">
      <mc:Choice Requires="a14">
        <xdr:graphicFrame macro="">
          <xdr:nvGraphicFramePr>
            <xdr:cNvPr id="3" name="Department 1">
              <a:extLst>
                <a:ext uri="{FF2B5EF4-FFF2-40B4-BE49-F238E27FC236}">
                  <a16:creationId xmlns:a16="http://schemas.microsoft.com/office/drawing/2014/main" id="{755C9855-60E0-586E-C650-35011B4EE535}"/>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3289300" y="3492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438150</xdr:colOff>
      <xdr:row>3</xdr:row>
      <xdr:rowOff>88900</xdr:rowOff>
    </xdr:from>
    <xdr:to>
      <xdr:col>10</xdr:col>
      <xdr:colOff>438150</xdr:colOff>
      <xdr:row>17</xdr:row>
      <xdr:rowOff>34925</xdr:rowOff>
    </xdr:to>
    <mc:AlternateContent xmlns:mc="http://schemas.openxmlformats.org/markup-compatibility/2006" xmlns:a14="http://schemas.microsoft.com/office/drawing/2010/main">
      <mc:Choice Requires="a14">
        <xdr:graphicFrame macro="">
          <xdr:nvGraphicFramePr>
            <xdr:cNvPr id="4" name="Education">
              <a:extLst>
                <a:ext uri="{FF2B5EF4-FFF2-40B4-BE49-F238E27FC236}">
                  <a16:creationId xmlns:a16="http://schemas.microsoft.com/office/drawing/2014/main" id="{73186D64-43EF-3DA1-EF28-9DA4D83250E2}"/>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5657850" y="6413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4</xdr:col>
      <xdr:colOff>460375</xdr:colOff>
      <xdr:row>4</xdr:row>
      <xdr:rowOff>120650</xdr:rowOff>
    </xdr:from>
    <xdr:to>
      <xdr:col>11</xdr:col>
      <xdr:colOff>292100</xdr:colOff>
      <xdr:row>17</xdr:row>
      <xdr:rowOff>31750</xdr:rowOff>
    </xdr:to>
    <xdr:graphicFrame macro="">
      <xdr:nvGraphicFramePr>
        <xdr:cNvPr id="3" name="Chart 2">
          <a:extLst>
            <a:ext uri="{FF2B5EF4-FFF2-40B4-BE49-F238E27FC236}">
              <a16:creationId xmlns:a16="http://schemas.microsoft.com/office/drawing/2014/main" id="{53276562-DF1C-31A3-7745-8D6A1C088B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arun patel" refreshedDate="46242.981634374999" createdVersion="8" refreshedVersion="8" minRefreshableVersion="3" recordCount="1000" xr:uid="{5BEB037D-0C41-4163-A201-21D9CCB6F7F3}">
  <cacheSource type="worksheet">
    <worksheetSource name="Table1"/>
  </cacheSource>
  <cacheFields count="20">
    <cacheField name="EmployeeID" numFmtId="0">
      <sharedItems containsSemiMixedTypes="0" containsString="0" containsNumber="1" containsInteger="1" minValue="1001" maxValue="2000" count="998">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sharedItems>
    </cacheField>
    <cacheField name="FirstName" numFmtId="0">
      <sharedItems/>
    </cacheField>
    <cacheField name="LastName" numFmtId="0">
      <sharedItems/>
    </cacheField>
    <cacheField name="Gender" numFmtId="0">
      <sharedItems count="2">
        <s v="Female"/>
        <s v="Male"/>
      </sharedItems>
    </cacheField>
    <cacheField name="Age" numFmtId="0">
      <sharedItems containsSemiMixedTypes="0" containsString="0" containsNumber="1" containsInteger="1" minValue="22" maxValue="66"/>
    </cacheField>
    <cacheField name="Department" numFmtId="0">
      <sharedItems count="5">
        <s v="IT"/>
        <s v="Marketing"/>
        <s v="HR"/>
        <s v="Finance"/>
        <s v="Sales"/>
      </sharedItems>
    </cacheField>
    <cacheField name="JobRole" numFmtId="0">
      <sharedItems count="5">
        <s v="Engineer"/>
        <s v="Associate"/>
        <s v="Executive"/>
        <s v="Manager"/>
        <s v="Analyst"/>
      </sharedItems>
    </cacheField>
    <cacheField name="CITY" numFmtId="0">
      <sharedItems count="5">
        <s v="Delhi"/>
        <s v="Hyderabad"/>
        <s v="Bengaluru"/>
        <s v="Chennai"/>
        <s v="Pune"/>
      </sharedItems>
    </cacheField>
    <cacheField name="MonthlySalary" numFmtId="164">
      <sharedItems containsMixedTypes="1" containsNumber="1" containsInteger="1" minValue="-119699" maxValue="119990"/>
    </cacheField>
    <cacheField name="JoiningDate" numFmtId="0">
      <sharedItems/>
    </cacheField>
    <cacheField name="Education" numFmtId="0">
      <sharedItems count="5">
        <s v="B.Tech"/>
        <s v="MBA"/>
        <s v="B.Com"/>
        <s v="MCA"/>
        <s v="M.Tech"/>
      </sharedItems>
    </cacheField>
    <cacheField name="ExperienceYears" numFmtId="0">
      <sharedItems containsSemiMixedTypes="0" containsString="0" containsNumber="1" containsInteger="1" minValue="0" maxValue="25"/>
    </cacheField>
    <cacheField name="PerformanceRating" numFmtId="0">
      <sharedItems containsSemiMixedTypes="0" containsString="0" containsNumber="1" containsInteger="1" minValue="1" maxValue="5"/>
    </cacheField>
    <cacheField name="OverTime" numFmtId="0">
      <sharedItems/>
    </cacheField>
    <cacheField name="Attrition" numFmtId="0">
      <sharedItems count="2">
        <s v="No"/>
        <s v="Yes"/>
      </sharedItems>
    </cacheField>
    <cacheField name="Email" numFmtId="0">
      <sharedItems/>
    </cacheField>
    <cacheField name="Email.validation" numFmtId="1">
      <sharedItems/>
    </cacheField>
    <cacheField name="Phone" numFmtId="0">
      <sharedItems containsSemiMixedTypes="0" containsString="0" containsNumber="1" containsInteger="1" minValue="90688792" maxValue="9999541790"/>
    </cacheField>
    <cacheField name="Phone validation" numFmtId="0">
      <sharedItems/>
    </cacheField>
    <cacheField name="Age_Group" numFmtId="0">
      <sharedItems count="6">
        <s v="40-49"/>
        <s v="25-29"/>
        <s v="50+"/>
        <s v="18-24"/>
        <s v="35-39"/>
        <s v="30-34"/>
      </sharedItems>
    </cacheField>
  </cacheFields>
  <extLst>
    <ext xmlns:x14="http://schemas.microsoft.com/office/spreadsheetml/2009/9/main" uri="{725AE2AE-9491-48be-B2B4-4EB974FC3084}">
      <x14:pivotCacheDefinition pivotCacheId="4958225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Meena"/>
    <s v="Kumar"/>
    <x v="0"/>
    <n v="46"/>
    <x v="0"/>
    <x v="0"/>
    <x v="0"/>
    <n v="83706"/>
    <s v="15-06-2019"/>
    <x v="0"/>
    <n v="7"/>
    <n v="2"/>
    <s v="Yes"/>
    <x v="0"/>
    <s v="meena.kumar1001@company.com"/>
    <s v="Valid"/>
    <n v="9014591553"/>
    <s v="Valid"/>
    <x v="0"/>
  </r>
  <r>
    <x v="1"/>
    <s v="Ravi"/>
    <s v="Reddy"/>
    <x v="1"/>
    <n v="25"/>
    <x v="0"/>
    <x v="0"/>
    <x v="1"/>
    <n v="81362"/>
    <s v="13-11-2018"/>
    <x v="1"/>
    <n v="14"/>
    <n v="1"/>
    <s v="Yes"/>
    <x v="1"/>
    <s v="ravi.reddy1002@company.com"/>
    <s v="Valid"/>
    <n v="9750367163"/>
    <s v="Valid"/>
    <x v="1"/>
  </r>
  <r>
    <x v="2"/>
    <s v="Ravi"/>
    <s v="Sharma"/>
    <x v="1"/>
    <n v="44"/>
    <x v="1"/>
    <x v="1"/>
    <x v="2"/>
    <n v="95621"/>
    <s v="02-03-2021"/>
    <x v="0"/>
    <n v="16"/>
    <n v="3"/>
    <s v="No"/>
    <x v="1"/>
    <s v="Missing email"/>
    <s v="Invalid"/>
    <n v="9635819969"/>
    <s v="Valid"/>
    <x v="0"/>
  </r>
  <r>
    <x v="3"/>
    <s v="Anil"/>
    <s v="Sharma"/>
    <x v="0"/>
    <n v="28"/>
    <x v="2"/>
    <x v="2"/>
    <x v="0"/>
    <n v="25627"/>
    <s v="05-12-2022"/>
    <x v="2"/>
    <n v="12"/>
    <n v="3"/>
    <s v="No"/>
    <x v="1"/>
    <s v="anil.sharma1004@company.com"/>
    <s v="Valid"/>
    <n v="9677614291"/>
    <s v="Valid"/>
    <x v="1"/>
  </r>
  <r>
    <x v="4"/>
    <s v="Sneha"/>
    <s v="Singh"/>
    <x v="1"/>
    <n v="50"/>
    <x v="2"/>
    <x v="0"/>
    <x v="3"/>
    <n v="25008"/>
    <s v="28-01-2019"/>
    <x v="3"/>
    <n v="4"/>
    <n v="2"/>
    <s v="No"/>
    <x v="1"/>
    <s v="sneha.singh1005@company.com"/>
    <s v="Valid"/>
    <n v="9579258498"/>
    <s v="Valid"/>
    <x v="2"/>
  </r>
  <r>
    <x v="5"/>
    <s v="Meena"/>
    <s v="Singh"/>
    <x v="1"/>
    <n v="24"/>
    <x v="3"/>
    <x v="0"/>
    <x v="3"/>
    <n v="94014"/>
    <s v="16-12-2024"/>
    <x v="4"/>
    <n v="6"/>
    <n v="4"/>
    <s v="Yes"/>
    <x v="1"/>
    <s v="meena.singh1006@company.com"/>
    <s v="Valid"/>
    <n v="9271151874"/>
    <s v="Valid"/>
    <x v="3"/>
  </r>
  <r>
    <x v="6"/>
    <s v="Ravi"/>
    <s v="Singh"/>
    <x v="1"/>
    <n v="58"/>
    <x v="2"/>
    <x v="1"/>
    <x v="0"/>
    <n v="69224"/>
    <s v="01-04-2020"/>
    <x v="1"/>
    <n v="12"/>
    <n v="5"/>
    <s v="No"/>
    <x v="1"/>
    <s v="ravi.singh1007@company.com"/>
    <s v="Valid"/>
    <n v="9019714735"/>
    <s v="Valid"/>
    <x v="2"/>
  </r>
  <r>
    <x v="7"/>
    <s v="Ravi"/>
    <s v="Sharma"/>
    <x v="1"/>
    <n v="53"/>
    <x v="1"/>
    <x v="0"/>
    <x v="1"/>
    <n v="117157"/>
    <s v="31-03-2024"/>
    <x v="0"/>
    <n v="11"/>
    <n v="2"/>
    <s v="Yes"/>
    <x v="0"/>
    <s v="ravi.sharma1008@company.com"/>
    <s v="Valid"/>
    <n v="94674922"/>
    <s v="Invalid"/>
    <x v="2"/>
  </r>
  <r>
    <x v="8"/>
    <s v="Ravi"/>
    <s v="Singh"/>
    <x v="0"/>
    <n v="47"/>
    <x v="0"/>
    <x v="1"/>
    <x v="2"/>
    <n v="69507"/>
    <s v="01-04-2022"/>
    <x v="1"/>
    <n v="16"/>
    <n v="4"/>
    <s v="Yes"/>
    <x v="0"/>
    <s v="ravi.singh1009@company.com"/>
    <s v="Valid"/>
    <n v="9382199093"/>
    <s v="Valid"/>
    <x v="0"/>
  </r>
  <r>
    <x v="9"/>
    <s v="Rahul"/>
    <s v="Sharma"/>
    <x v="0"/>
    <n v="57"/>
    <x v="1"/>
    <x v="3"/>
    <x v="4"/>
    <n v="39894"/>
    <s v="13-03-2021"/>
    <x v="2"/>
    <n v="0"/>
    <n v="3"/>
    <s v="No"/>
    <x v="0"/>
    <s v="rahul.sharma1010@company.com"/>
    <s v="Valid"/>
    <n v="9003273805"/>
    <s v="Valid"/>
    <x v="2"/>
  </r>
  <r>
    <x v="10"/>
    <s v="Kiran"/>
    <s v="Reddy"/>
    <x v="0"/>
    <n v="53"/>
    <x v="2"/>
    <x v="0"/>
    <x v="1"/>
    <n v="56812"/>
    <s v="05-10-2019"/>
    <x v="0"/>
    <n v="16"/>
    <n v="2"/>
    <s v="Yes"/>
    <x v="0"/>
    <s v="kiran.reddy1011@company.com"/>
    <s v="Valid"/>
    <n v="9889625352"/>
    <s v="Valid"/>
    <x v="2"/>
  </r>
  <r>
    <x v="11"/>
    <s v="John"/>
    <s v="Singh"/>
    <x v="0"/>
    <n v="50"/>
    <x v="2"/>
    <x v="3"/>
    <x v="1"/>
    <n v="108971"/>
    <s v="23-10-2018"/>
    <x v="0"/>
    <n v="9"/>
    <n v="4"/>
    <s v="Yes"/>
    <x v="0"/>
    <s v="Missing email"/>
    <s v="Invalid"/>
    <n v="9377211667"/>
    <s v="Valid"/>
    <x v="2"/>
  </r>
  <r>
    <x v="12"/>
    <s v="Kiran"/>
    <s v="Patel"/>
    <x v="1"/>
    <n v="46"/>
    <x v="4"/>
    <x v="3"/>
    <x v="1"/>
    <n v="-38930"/>
    <s v="13-02-2020"/>
    <x v="1"/>
    <n v="9"/>
    <n v="2"/>
    <s v="Yes"/>
    <x v="1"/>
    <s v="kiran.patel1013@company.com"/>
    <s v="Valid"/>
    <n v="9396233220"/>
    <s v="Valid"/>
    <x v="0"/>
  </r>
  <r>
    <x v="13"/>
    <s v="Divya"/>
    <s v="Reddy"/>
    <x v="1"/>
    <n v="43"/>
    <x v="4"/>
    <x v="0"/>
    <x v="1"/>
    <n v="117689"/>
    <s v="02-02-2018"/>
    <x v="4"/>
    <n v="22"/>
    <n v="1"/>
    <s v="Yes"/>
    <x v="0"/>
    <s v="divya.reddy1014company.com"/>
    <s v="Invalid"/>
    <n v="9072849426"/>
    <s v="Valid"/>
    <x v="0"/>
  </r>
  <r>
    <x v="14"/>
    <s v="Sneha"/>
    <s v="Sharma"/>
    <x v="0"/>
    <n v="24"/>
    <x v="1"/>
    <x v="1"/>
    <x v="3"/>
    <n v="102638"/>
    <s v="14-06-2022"/>
    <x v="3"/>
    <n v="25"/>
    <n v="4"/>
    <s v="No"/>
    <x v="1"/>
    <s v="sneha.sharma1015@company.com"/>
    <s v="Valid"/>
    <n v="9752032324"/>
    <s v="Valid"/>
    <x v="3"/>
  </r>
  <r>
    <x v="15"/>
    <s v="Arun"/>
    <s v="Singh"/>
    <x v="1"/>
    <n v="43"/>
    <x v="1"/>
    <x v="0"/>
    <x v="2"/>
    <n v="97275"/>
    <s v="20-03-2024"/>
    <x v="4"/>
    <n v="20"/>
    <n v="2"/>
    <s v="Yes"/>
    <x v="0"/>
    <s v="arun.singh1016@company.com"/>
    <s v="Valid"/>
    <n v="9525609981"/>
    <s v="Valid"/>
    <x v="0"/>
  </r>
  <r>
    <x v="16"/>
    <s v="Ravi"/>
    <s v="Reddy"/>
    <x v="0"/>
    <n v="44"/>
    <x v="3"/>
    <x v="2"/>
    <x v="2"/>
    <n v="103491"/>
    <s v="20-03-2021"/>
    <x v="3"/>
    <n v="21"/>
    <n v="3"/>
    <s v="No"/>
    <x v="1"/>
    <s v="ravi.reddy1017@company.com"/>
    <s v="Valid"/>
    <n v="9336018239"/>
    <s v="Valid"/>
    <x v="0"/>
  </r>
  <r>
    <x v="17"/>
    <s v="Kiran"/>
    <s v="Reddy"/>
    <x v="1"/>
    <n v="39"/>
    <x v="1"/>
    <x v="3"/>
    <x v="2"/>
    <n v="26806"/>
    <s v="11-10-2022"/>
    <x v="2"/>
    <n v="14"/>
    <n v="1"/>
    <s v="Yes"/>
    <x v="1"/>
    <s v="Missing email"/>
    <s v="Invalid"/>
    <n v="9732946627"/>
    <s v="Valid"/>
    <x v="4"/>
  </r>
  <r>
    <x v="18"/>
    <s v="Meena"/>
    <s v="Sharma"/>
    <x v="1"/>
    <n v="46"/>
    <x v="2"/>
    <x v="1"/>
    <x v="0"/>
    <n v="57367"/>
    <s v="25-03-2020"/>
    <x v="3"/>
    <n v="10"/>
    <n v="4"/>
    <s v="Yes"/>
    <x v="0"/>
    <s v="meena.sharma1019@company.com"/>
    <s v="Valid"/>
    <n v="9188598203"/>
    <s v="Valid"/>
    <x v="0"/>
  </r>
  <r>
    <x v="19"/>
    <s v="Meena"/>
    <s v="Sharma"/>
    <x v="0"/>
    <n v="35"/>
    <x v="3"/>
    <x v="1"/>
    <x v="0"/>
    <n v="70237"/>
    <s v="16-03-2024"/>
    <x v="1"/>
    <n v="7"/>
    <n v="2"/>
    <s v="No"/>
    <x v="0"/>
    <s v="meena.sharma1020@company.com"/>
    <s v="Valid"/>
    <n v="9548408922"/>
    <s v="Valid"/>
    <x v="4"/>
  </r>
  <r>
    <x v="20"/>
    <s v="Ravi"/>
    <s v="Reddy"/>
    <x v="1"/>
    <n v="36"/>
    <x v="0"/>
    <x v="2"/>
    <x v="1"/>
    <s v="Missing"/>
    <s v="13-04-2019"/>
    <x v="4"/>
    <n v="2"/>
    <n v="5"/>
    <s v="Yes"/>
    <x v="1"/>
    <s v="ravi.reddy1021@company.com"/>
    <s v="Valid"/>
    <n v="9669715052"/>
    <s v="Valid"/>
    <x v="4"/>
  </r>
  <r>
    <x v="21"/>
    <s v="Sneha"/>
    <s v="Reddy"/>
    <x v="1"/>
    <n v="46"/>
    <x v="4"/>
    <x v="4"/>
    <x v="0"/>
    <n v="114184"/>
    <s v="21-05-2024"/>
    <x v="2"/>
    <n v="9"/>
    <n v="5"/>
    <s v="No"/>
    <x v="1"/>
    <s v="sneha.reddy1022@company.com"/>
    <s v="Valid"/>
    <n v="9958043093"/>
    <s v="Valid"/>
    <x v="0"/>
  </r>
  <r>
    <x v="22"/>
    <s v="Kiran"/>
    <s v="Singh"/>
    <x v="0"/>
    <n v="55"/>
    <x v="4"/>
    <x v="1"/>
    <x v="1"/>
    <n v="119630"/>
    <s v="17-05-2024"/>
    <x v="3"/>
    <n v="19"/>
    <n v="5"/>
    <s v="No"/>
    <x v="1"/>
    <s v="kiran.singh1023@company.com"/>
    <s v="Valid"/>
    <n v="9035916432"/>
    <s v="Valid"/>
    <x v="2"/>
  </r>
  <r>
    <x v="23"/>
    <s v="Rahul"/>
    <s v="Patel"/>
    <x v="1"/>
    <n v="56"/>
    <x v="4"/>
    <x v="1"/>
    <x v="0"/>
    <n v="46795"/>
    <s v="16-02-2022"/>
    <x v="2"/>
    <n v="8"/>
    <n v="5"/>
    <s v="No"/>
    <x v="0"/>
    <s v="rahul.patel1024@company.com"/>
    <s v="Valid"/>
    <n v="9447205864"/>
    <s v="Valid"/>
    <x v="2"/>
  </r>
  <r>
    <x v="24"/>
    <s v="Priya"/>
    <s v="Reddy"/>
    <x v="0"/>
    <n v="33"/>
    <x v="0"/>
    <x v="1"/>
    <x v="3"/>
    <n v="64904"/>
    <s v="09-01-2022"/>
    <x v="1"/>
    <n v="2"/>
    <n v="1"/>
    <s v="No"/>
    <x v="0"/>
    <s v="priya.reddy1025@company.com"/>
    <s v="Valid"/>
    <n v="9671037953"/>
    <s v="Valid"/>
    <x v="5"/>
  </r>
  <r>
    <x v="25"/>
    <s v="Rahul"/>
    <s v="Kumar"/>
    <x v="0"/>
    <n v="32"/>
    <x v="1"/>
    <x v="2"/>
    <x v="0"/>
    <n v="86083"/>
    <s v="05-01-2020"/>
    <x v="0"/>
    <n v="20"/>
    <n v="2"/>
    <s v="Yes"/>
    <x v="0"/>
    <s v="rahul.kumar1026@company.com"/>
    <s v="Valid"/>
    <n v="9602880214"/>
    <s v="Valid"/>
    <x v="5"/>
  </r>
  <r>
    <x v="26"/>
    <s v="Kiran"/>
    <s v="Patel"/>
    <x v="0"/>
    <n v="28"/>
    <x v="3"/>
    <x v="2"/>
    <x v="0"/>
    <n v="48416"/>
    <s v="21-07-2020"/>
    <x v="1"/>
    <n v="6"/>
    <n v="3"/>
    <s v="Yes"/>
    <x v="1"/>
    <s v="kiran.patel1027@company.com"/>
    <s v="Valid"/>
    <n v="9500771552"/>
    <s v="Valid"/>
    <x v="1"/>
  </r>
  <r>
    <x v="27"/>
    <s v="Divya"/>
    <s v="Kumar"/>
    <x v="1"/>
    <n v="47"/>
    <x v="1"/>
    <x v="2"/>
    <x v="2"/>
    <n v="104456"/>
    <s v="24-06-2019"/>
    <x v="0"/>
    <n v="23"/>
    <n v="2"/>
    <s v="No"/>
    <x v="1"/>
    <s v="divya.kumar1028@company.com"/>
    <s v="Valid"/>
    <n v="9037380452"/>
    <s v="Valid"/>
    <x v="0"/>
  </r>
  <r>
    <x v="28"/>
    <s v="Priya"/>
    <s v="Kumar"/>
    <x v="0"/>
    <n v="42"/>
    <x v="1"/>
    <x v="3"/>
    <x v="4"/>
    <n v="89069"/>
    <s v="05-09-2018"/>
    <x v="3"/>
    <n v="10"/>
    <n v="5"/>
    <s v="Yes"/>
    <x v="1"/>
    <s v="priya.kumar1029@company.com"/>
    <s v="Valid"/>
    <n v="9137726368"/>
    <s v="Valid"/>
    <x v="0"/>
  </r>
  <r>
    <x v="29"/>
    <s v="Kiran"/>
    <s v="Singh"/>
    <x v="0"/>
    <n v="27"/>
    <x v="3"/>
    <x v="4"/>
    <x v="3"/>
    <n v="62778"/>
    <s v="07-11-2022"/>
    <x v="1"/>
    <n v="13"/>
    <n v="3"/>
    <s v="Yes"/>
    <x v="0"/>
    <s v="kiran.singh1030@company.com"/>
    <s v="Valid"/>
    <n v="9528881772"/>
    <s v="Valid"/>
    <x v="1"/>
  </r>
  <r>
    <x v="30"/>
    <s v="Divya"/>
    <s v="Kumar"/>
    <x v="0"/>
    <n v="53"/>
    <x v="0"/>
    <x v="4"/>
    <x v="1"/>
    <s v="Missing "/>
    <s v="04-01-2019"/>
    <x v="0"/>
    <n v="8"/>
    <n v="3"/>
    <s v="No"/>
    <x v="0"/>
    <s v="divya.kumar1031@company.com"/>
    <s v="Valid"/>
    <n v="9366562331"/>
    <s v="Valid"/>
    <x v="2"/>
  </r>
  <r>
    <x v="31"/>
    <s v="Kiran"/>
    <s v="Kumar"/>
    <x v="0"/>
    <n v="24"/>
    <x v="2"/>
    <x v="0"/>
    <x v="3"/>
    <n v="74416"/>
    <s v="12-07-2022"/>
    <x v="4"/>
    <n v="12"/>
    <n v="4"/>
    <s v="No"/>
    <x v="1"/>
    <s v="kiran.kumar1032@company.com"/>
    <s v="Valid"/>
    <n v="9057147612"/>
    <s v="Valid"/>
    <x v="3"/>
  </r>
  <r>
    <x v="32"/>
    <s v="Anil"/>
    <s v="Patel"/>
    <x v="1"/>
    <n v="41"/>
    <x v="0"/>
    <x v="2"/>
    <x v="2"/>
    <n v="44635"/>
    <s v="17-12-2020"/>
    <x v="4"/>
    <n v="6"/>
    <n v="5"/>
    <s v="Yes"/>
    <x v="0"/>
    <s v="anil.patel1033@company.com"/>
    <s v="Valid"/>
    <n v="9103453861"/>
    <s v="Valid"/>
    <x v="0"/>
  </r>
  <r>
    <x v="33"/>
    <s v="Kiran"/>
    <s v="Patel"/>
    <x v="1"/>
    <n v="37"/>
    <x v="1"/>
    <x v="2"/>
    <x v="0"/>
    <n v="38076"/>
    <s v="23-08-2023"/>
    <x v="0"/>
    <n v="7"/>
    <n v="3"/>
    <s v="Yes"/>
    <x v="1"/>
    <s v="kiran.patel1034@company.com"/>
    <s v="Valid"/>
    <n v="9852667897"/>
    <s v="Valid"/>
    <x v="4"/>
  </r>
  <r>
    <x v="34"/>
    <s v="Kiran"/>
    <s v="Sharma"/>
    <x v="0"/>
    <n v="48"/>
    <x v="0"/>
    <x v="2"/>
    <x v="1"/>
    <s v="Missing"/>
    <s v="18-06-2022"/>
    <x v="0"/>
    <n v="10"/>
    <n v="3"/>
    <s v="No"/>
    <x v="0"/>
    <s v="kiran.sharma1035@company.com"/>
    <s v="Valid"/>
    <n v="9107981498"/>
    <s v="Valid"/>
    <x v="0"/>
  </r>
  <r>
    <x v="35"/>
    <s v="Divya"/>
    <s v="Reddy"/>
    <x v="0"/>
    <n v="43"/>
    <x v="2"/>
    <x v="1"/>
    <x v="3"/>
    <n v="80948"/>
    <s v="17-12-2023"/>
    <x v="3"/>
    <n v="21"/>
    <n v="3"/>
    <s v="Yes"/>
    <x v="1"/>
    <s v="divya.reddy1036@company.com"/>
    <s v="Valid"/>
    <n v="9005971090"/>
    <s v="Valid"/>
    <x v="0"/>
  </r>
  <r>
    <x v="36"/>
    <s v="Rahul"/>
    <s v="Sharma"/>
    <x v="0"/>
    <n v="47"/>
    <x v="3"/>
    <x v="3"/>
    <x v="3"/>
    <n v="63047"/>
    <s v="27-08-2024"/>
    <x v="4"/>
    <n v="23"/>
    <n v="4"/>
    <s v="Yes"/>
    <x v="1"/>
    <s v="rahul.sharma1037@company.com"/>
    <s v="Valid"/>
    <n v="9110210118"/>
    <s v="Valid"/>
    <x v="0"/>
  </r>
  <r>
    <x v="37"/>
    <s v="Sneha"/>
    <s v="Reddy"/>
    <x v="0"/>
    <n v="35"/>
    <x v="1"/>
    <x v="1"/>
    <x v="0"/>
    <n v="97292"/>
    <s v="19-09-2022"/>
    <x v="3"/>
    <n v="22"/>
    <n v="4"/>
    <s v="Yes"/>
    <x v="1"/>
    <s v="sneha.reddy1038@company.com"/>
    <s v="Valid"/>
    <n v="9999541790"/>
    <s v="Valid"/>
    <x v="4"/>
  </r>
  <r>
    <x v="38"/>
    <s v="Priya"/>
    <s v="Reddy"/>
    <x v="0"/>
    <n v="33"/>
    <x v="1"/>
    <x v="4"/>
    <x v="2"/>
    <n v="114903"/>
    <s v="19-09-2020"/>
    <x v="0"/>
    <n v="4"/>
    <n v="2"/>
    <s v="Yes"/>
    <x v="1"/>
    <s v="priya.reddy1039@company.com"/>
    <s v="Valid"/>
    <n v="9378364764"/>
    <s v="Valid"/>
    <x v="5"/>
  </r>
  <r>
    <x v="39"/>
    <s v="Arun"/>
    <s v="Singh"/>
    <x v="0"/>
    <n v="43"/>
    <x v="2"/>
    <x v="1"/>
    <x v="1"/>
    <n v="89851"/>
    <s v="31-03-2018"/>
    <x v="1"/>
    <n v="19"/>
    <n v="1"/>
    <s v="Yes"/>
    <x v="0"/>
    <s v="arun.singh1040@company.com"/>
    <s v="Valid"/>
    <n v="93008205"/>
    <s v="Invalid"/>
    <x v="0"/>
  </r>
  <r>
    <x v="40"/>
    <s v="Divya"/>
    <s v="Sharma"/>
    <x v="0"/>
    <n v="45"/>
    <x v="1"/>
    <x v="1"/>
    <x v="2"/>
    <n v="106954"/>
    <s v="19-08-2023"/>
    <x v="4"/>
    <n v="11"/>
    <n v="1"/>
    <s v="Yes"/>
    <x v="1"/>
    <s v="divya.sharma1041@company.com"/>
    <s v="Valid"/>
    <n v="9274358325"/>
    <s v="Valid"/>
    <x v="0"/>
  </r>
  <r>
    <x v="41"/>
    <s v="John"/>
    <s v="Patel"/>
    <x v="1"/>
    <n v="29"/>
    <x v="3"/>
    <x v="2"/>
    <x v="1"/>
    <n v="86649"/>
    <s v="15-05-2019"/>
    <x v="3"/>
    <n v="18"/>
    <n v="1"/>
    <s v="No"/>
    <x v="0"/>
    <s v="john.patel1042@company.com"/>
    <s v="Valid"/>
    <n v="9569334230"/>
    <s v="Valid"/>
    <x v="1"/>
  </r>
  <r>
    <x v="42"/>
    <s v="Arun"/>
    <s v="Kumar"/>
    <x v="0"/>
    <n v="25"/>
    <x v="2"/>
    <x v="3"/>
    <x v="1"/>
    <n v="56319"/>
    <s v="08-09-2020"/>
    <x v="0"/>
    <n v="7"/>
    <n v="5"/>
    <s v="No"/>
    <x v="1"/>
    <s v="arun.kumar1043@company.com"/>
    <s v="Valid"/>
    <n v="9432629075"/>
    <s v="Valid"/>
    <x v="1"/>
  </r>
  <r>
    <x v="43"/>
    <s v="Divya"/>
    <s v="Patel"/>
    <x v="0"/>
    <n v="46"/>
    <x v="4"/>
    <x v="4"/>
    <x v="3"/>
    <n v="46549"/>
    <s v="23-02-2022"/>
    <x v="2"/>
    <n v="16"/>
    <n v="3"/>
    <s v="Yes"/>
    <x v="0"/>
    <s v="divya.patel1044@company.com"/>
    <s v="Valid"/>
    <n v="9414538825"/>
    <s v="Valid"/>
    <x v="0"/>
  </r>
  <r>
    <x v="44"/>
    <s v="Sneha"/>
    <s v="Singh"/>
    <x v="1"/>
    <n v="66"/>
    <x v="4"/>
    <x v="4"/>
    <x v="0"/>
    <n v="115266"/>
    <s v="05-12-2022"/>
    <x v="4"/>
    <n v="3"/>
    <n v="2"/>
    <s v="Yes"/>
    <x v="0"/>
    <s v="sneha.singh1045@company.com"/>
    <s v="Valid"/>
    <n v="9083103100"/>
    <s v="Valid"/>
    <x v="2"/>
  </r>
  <r>
    <x v="45"/>
    <s v="Ravi"/>
    <s v="Kumar"/>
    <x v="1"/>
    <n v="35"/>
    <x v="2"/>
    <x v="3"/>
    <x v="1"/>
    <n v="-65488"/>
    <s v="01-07-2018"/>
    <x v="4"/>
    <n v="9"/>
    <n v="3"/>
    <s v="No"/>
    <x v="0"/>
    <s v="ravi.kumar1046@company.com"/>
    <s v="Valid"/>
    <n v="9493475285"/>
    <s v="Valid"/>
    <x v="4"/>
  </r>
  <r>
    <x v="46"/>
    <s v="John"/>
    <s v="Singh"/>
    <x v="0"/>
    <n v="41"/>
    <x v="1"/>
    <x v="4"/>
    <x v="1"/>
    <n v="32206"/>
    <s v="26-11-2022"/>
    <x v="4"/>
    <n v="7"/>
    <n v="2"/>
    <s v="Yes"/>
    <x v="0"/>
    <s v="john.singh1047@company.com"/>
    <s v="Valid"/>
    <n v="9211149529"/>
    <s v="Valid"/>
    <x v="0"/>
  </r>
  <r>
    <x v="47"/>
    <s v="Anil"/>
    <s v="Reddy"/>
    <x v="1"/>
    <n v="55"/>
    <x v="0"/>
    <x v="0"/>
    <x v="3"/>
    <n v="39986"/>
    <s v="14-01-2020"/>
    <x v="0"/>
    <n v="17"/>
    <n v="3"/>
    <s v="No"/>
    <x v="0"/>
    <s v="anil.reddy1048@company.com"/>
    <s v="Valid"/>
    <n v="9786970332"/>
    <s v="Valid"/>
    <x v="2"/>
  </r>
  <r>
    <x v="48"/>
    <s v="Divya"/>
    <s v="Patel"/>
    <x v="0"/>
    <n v="41"/>
    <x v="4"/>
    <x v="4"/>
    <x v="1"/>
    <n v="80809"/>
    <s v="15-06-2018"/>
    <x v="0"/>
    <n v="3"/>
    <n v="4"/>
    <s v="No"/>
    <x v="1"/>
    <s v="divya.patel1049@company.com"/>
    <s v="Valid"/>
    <n v="9637960467"/>
    <s v="Valid"/>
    <x v="0"/>
  </r>
  <r>
    <x v="49"/>
    <s v="Arun"/>
    <s v="Reddy"/>
    <x v="0"/>
    <n v="29"/>
    <x v="4"/>
    <x v="3"/>
    <x v="2"/>
    <n v="37088"/>
    <s v="17-05-2020"/>
    <x v="4"/>
    <n v="22"/>
    <n v="5"/>
    <s v="No"/>
    <x v="1"/>
    <s v="arun.reddy1050@company.com"/>
    <s v="Valid"/>
    <n v="9238043482"/>
    <s v="Valid"/>
    <x v="1"/>
  </r>
  <r>
    <x v="50"/>
    <s v="Rahul"/>
    <s v="Singh"/>
    <x v="1"/>
    <n v="36"/>
    <x v="4"/>
    <x v="1"/>
    <x v="4"/>
    <n v="40831"/>
    <s v="28-02-2019"/>
    <x v="1"/>
    <n v="20"/>
    <n v="3"/>
    <s v="No"/>
    <x v="0"/>
    <s v="rahul.singh1051@company.com"/>
    <s v="Valid"/>
    <n v="9006070899"/>
    <s v="Valid"/>
    <x v="4"/>
  </r>
  <r>
    <x v="51"/>
    <s v="Anil"/>
    <s v="Reddy"/>
    <x v="0"/>
    <n v="33"/>
    <x v="1"/>
    <x v="1"/>
    <x v="2"/>
    <n v="85353"/>
    <s v="01-03-2018"/>
    <x v="1"/>
    <n v="9"/>
    <n v="1"/>
    <s v="Yes"/>
    <x v="0"/>
    <s v="anil.reddy1052@company.com"/>
    <s v="Valid"/>
    <n v="9851865535"/>
    <s v="Valid"/>
    <x v="5"/>
  </r>
  <r>
    <x v="52"/>
    <s v="Priya"/>
    <s v="Reddy"/>
    <x v="0"/>
    <n v="24"/>
    <x v="0"/>
    <x v="2"/>
    <x v="2"/>
    <n v="63169"/>
    <s v="24-01-2025"/>
    <x v="2"/>
    <n v="1"/>
    <n v="3"/>
    <s v="No"/>
    <x v="1"/>
    <s v="priya.reddy1053@company.com"/>
    <s v="Valid"/>
    <n v="9934732614"/>
    <s v="Valid"/>
    <x v="3"/>
  </r>
  <r>
    <x v="53"/>
    <s v="Anil"/>
    <s v="Sharma"/>
    <x v="0"/>
    <n v="41"/>
    <x v="2"/>
    <x v="4"/>
    <x v="4"/>
    <n v="28004"/>
    <s v="19-10-2019"/>
    <x v="2"/>
    <n v="25"/>
    <n v="2"/>
    <s v="No"/>
    <x v="1"/>
    <s v="anil.sharma1054@company.com"/>
    <s v="Valid"/>
    <n v="9237026067"/>
    <s v="Valid"/>
    <x v="0"/>
  </r>
  <r>
    <x v="54"/>
    <s v="Ravi"/>
    <s v="Sharma"/>
    <x v="0"/>
    <n v="57"/>
    <x v="0"/>
    <x v="2"/>
    <x v="4"/>
    <n v="70804"/>
    <s v="24-09-2023"/>
    <x v="3"/>
    <n v="16"/>
    <n v="3"/>
    <s v="No"/>
    <x v="0"/>
    <s v="ravi.sharma1055@company.com"/>
    <s v="Valid"/>
    <n v="9765992107"/>
    <s v="Valid"/>
    <x v="2"/>
  </r>
  <r>
    <x v="55"/>
    <s v="Rahul"/>
    <s v="Sharma"/>
    <x v="1"/>
    <n v="58"/>
    <x v="0"/>
    <x v="3"/>
    <x v="0"/>
    <n v="119637"/>
    <s v="27-06-2022"/>
    <x v="2"/>
    <n v="20"/>
    <n v="1"/>
    <s v="No"/>
    <x v="1"/>
    <s v="rahul.sharma1056@company.com"/>
    <s v="Valid"/>
    <n v="9106626608"/>
    <s v="Valid"/>
    <x v="2"/>
  </r>
  <r>
    <x v="56"/>
    <s v="Anil"/>
    <s v="Reddy"/>
    <x v="0"/>
    <n v="50"/>
    <x v="1"/>
    <x v="0"/>
    <x v="2"/>
    <n v="41374"/>
    <s v="23-02-2018"/>
    <x v="3"/>
    <n v="20"/>
    <n v="4"/>
    <s v="Yes"/>
    <x v="0"/>
    <s v="anil.reddy1057@company.com"/>
    <s v="Valid"/>
    <n v="93643516"/>
    <s v="Invalid"/>
    <x v="2"/>
  </r>
  <r>
    <x v="57"/>
    <s v="Rahul"/>
    <s v="Patel"/>
    <x v="0"/>
    <n v="42"/>
    <x v="3"/>
    <x v="4"/>
    <x v="1"/>
    <n v="118851"/>
    <s v="03-05-2024"/>
    <x v="4"/>
    <n v="12"/>
    <n v="2"/>
    <s v="No"/>
    <x v="1"/>
    <s v="Missing email"/>
    <s v="Invalid"/>
    <n v="9420886842"/>
    <s v="Valid"/>
    <x v="0"/>
  </r>
  <r>
    <x v="58"/>
    <s v="John"/>
    <s v="Kumar"/>
    <x v="0"/>
    <n v="45"/>
    <x v="4"/>
    <x v="0"/>
    <x v="0"/>
    <n v="88783"/>
    <s v="17-12-2020"/>
    <x v="4"/>
    <n v="21"/>
    <n v="5"/>
    <s v="No"/>
    <x v="0"/>
    <s v="john.kumar1059@company.com"/>
    <s v="Valid"/>
    <n v="9168951188"/>
    <s v="Valid"/>
    <x v="0"/>
  </r>
  <r>
    <x v="59"/>
    <s v="Anil"/>
    <s v="Patel"/>
    <x v="1"/>
    <n v="55"/>
    <x v="3"/>
    <x v="1"/>
    <x v="2"/>
    <n v="78145"/>
    <s v="14-08-2020"/>
    <x v="1"/>
    <n v="24"/>
    <n v="4"/>
    <s v="No"/>
    <x v="1"/>
    <s v="anil.patel1060@company.com"/>
    <s v="Valid"/>
    <n v="9833916179"/>
    <s v="Valid"/>
    <x v="2"/>
  </r>
  <r>
    <x v="60"/>
    <s v="Kiran"/>
    <s v="Sharma"/>
    <x v="1"/>
    <n v="49"/>
    <x v="3"/>
    <x v="0"/>
    <x v="4"/>
    <n v="51890"/>
    <s v="23-04-2024"/>
    <x v="3"/>
    <n v="0"/>
    <n v="4"/>
    <s v="No"/>
    <x v="0"/>
    <s v="kiran.sharma1061@company.com"/>
    <s v="Valid"/>
    <n v="9974688329"/>
    <s v="Valid"/>
    <x v="0"/>
  </r>
  <r>
    <x v="61"/>
    <s v="Arun"/>
    <s v="Reddy"/>
    <x v="1"/>
    <n v="31"/>
    <x v="2"/>
    <x v="4"/>
    <x v="1"/>
    <n v="92434"/>
    <s v="13-02-2024"/>
    <x v="2"/>
    <n v="2"/>
    <n v="4"/>
    <s v="Yes"/>
    <x v="1"/>
    <s v="arun.reddy1062@company.com"/>
    <s v="Valid"/>
    <n v="9148354846"/>
    <s v="Valid"/>
    <x v="5"/>
  </r>
  <r>
    <x v="62"/>
    <s v="Priya"/>
    <s v="Singh"/>
    <x v="0"/>
    <n v="41"/>
    <x v="4"/>
    <x v="0"/>
    <x v="2"/>
    <n v="75275"/>
    <s v="29-06-2021"/>
    <x v="2"/>
    <n v="3"/>
    <n v="2"/>
    <s v="Yes"/>
    <x v="1"/>
    <s v="priya.singh1063@company.com"/>
    <s v="Valid"/>
    <n v="9610359309"/>
    <s v="Valid"/>
    <x v="0"/>
  </r>
  <r>
    <x v="63"/>
    <s v="Kiran"/>
    <s v="Singh"/>
    <x v="0"/>
    <n v="50"/>
    <x v="4"/>
    <x v="3"/>
    <x v="4"/>
    <n v="77718"/>
    <s v="08-06-2022"/>
    <x v="4"/>
    <n v="25"/>
    <n v="2"/>
    <s v="No"/>
    <x v="1"/>
    <s v="kiran.singh1064@company.com"/>
    <s v="Valid"/>
    <n v="9027841826"/>
    <s v="Valid"/>
    <x v="2"/>
  </r>
  <r>
    <x v="64"/>
    <s v="Priya"/>
    <s v="Reddy"/>
    <x v="0"/>
    <n v="52"/>
    <x v="2"/>
    <x v="1"/>
    <x v="3"/>
    <n v="32648"/>
    <s v="29-02-2024"/>
    <x v="2"/>
    <n v="6"/>
    <n v="4"/>
    <s v="Yes"/>
    <x v="1"/>
    <s v="priya.reddy1065@company.com"/>
    <s v="Valid"/>
    <n v="9628489277"/>
    <s v="Valid"/>
    <x v="2"/>
  </r>
  <r>
    <x v="65"/>
    <s v="Meena"/>
    <s v="Sharma"/>
    <x v="1"/>
    <n v="38"/>
    <x v="3"/>
    <x v="4"/>
    <x v="3"/>
    <n v="90265"/>
    <s v="12-10-2020"/>
    <x v="4"/>
    <n v="16"/>
    <n v="2"/>
    <s v="No"/>
    <x v="0"/>
    <s v="meena.sharma1066@company.com"/>
    <s v="Valid"/>
    <n v="9951294527"/>
    <s v="Valid"/>
    <x v="4"/>
  </r>
  <r>
    <x v="66"/>
    <s v="Ravi"/>
    <s v="Reddy"/>
    <x v="1"/>
    <n v="55"/>
    <x v="0"/>
    <x v="1"/>
    <x v="0"/>
    <n v="106395"/>
    <s v="25-09-2022"/>
    <x v="2"/>
    <n v="5"/>
    <n v="5"/>
    <s v="No"/>
    <x v="0"/>
    <s v="ravi.reddy1067@company.com"/>
    <s v="Valid"/>
    <n v="9520274191"/>
    <s v="Valid"/>
    <x v="2"/>
  </r>
  <r>
    <x v="67"/>
    <s v="John"/>
    <s v="Patel"/>
    <x v="0"/>
    <n v="36"/>
    <x v="2"/>
    <x v="4"/>
    <x v="3"/>
    <n v="114852"/>
    <s v="22-02-2022"/>
    <x v="2"/>
    <n v="2"/>
    <n v="2"/>
    <s v="Yes"/>
    <x v="1"/>
    <s v="john.patel1068@company.com"/>
    <s v="Valid"/>
    <n v="9086384583"/>
    <s v="Valid"/>
    <x v="4"/>
  </r>
  <r>
    <x v="68"/>
    <s v="Kiran"/>
    <s v="Sharma"/>
    <x v="0"/>
    <n v="23"/>
    <x v="4"/>
    <x v="3"/>
    <x v="2"/>
    <n v="45019"/>
    <s v="21-12-2020"/>
    <x v="3"/>
    <n v="20"/>
    <n v="2"/>
    <s v="Yes"/>
    <x v="1"/>
    <s v="kiran.sharma1069@company.com"/>
    <s v="Valid"/>
    <n v="9638267500"/>
    <s v="Valid"/>
    <x v="3"/>
  </r>
  <r>
    <x v="69"/>
    <s v="Kiran"/>
    <s v="Sharma"/>
    <x v="0"/>
    <n v="42"/>
    <x v="1"/>
    <x v="1"/>
    <x v="2"/>
    <n v="85824"/>
    <s v="26-10-2022"/>
    <x v="3"/>
    <n v="4"/>
    <n v="5"/>
    <s v="Yes"/>
    <x v="0"/>
    <s v="kiran.sharma1070@company.com"/>
    <s v="Valid"/>
    <n v="9106503280"/>
    <s v="Valid"/>
    <x v="0"/>
  </r>
  <r>
    <x v="70"/>
    <s v="Meena"/>
    <s v="Kumar"/>
    <x v="1"/>
    <n v="37"/>
    <x v="2"/>
    <x v="0"/>
    <x v="0"/>
    <n v="28697"/>
    <s v="21-12-2020"/>
    <x v="1"/>
    <n v="14"/>
    <n v="3"/>
    <s v="Yes"/>
    <x v="0"/>
    <s v="meena.kumar1071@company.com"/>
    <s v="Valid"/>
    <n v="9530996533"/>
    <s v="Valid"/>
    <x v="4"/>
  </r>
  <r>
    <x v="71"/>
    <s v="Divya"/>
    <s v="Sharma"/>
    <x v="1"/>
    <n v="58"/>
    <x v="0"/>
    <x v="2"/>
    <x v="3"/>
    <n v="90385"/>
    <s v="08-09-2022"/>
    <x v="3"/>
    <n v="24"/>
    <n v="1"/>
    <s v="No"/>
    <x v="1"/>
    <s v="divya.sharma1072@company.com"/>
    <s v="Valid"/>
    <n v="9304795075"/>
    <s v="Valid"/>
    <x v="2"/>
  </r>
  <r>
    <x v="72"/>
    <s v="Kiran"/>
    <s v="Sharma"/>
    <x v="0"/>
    <n v="49"/>
    <x v="1"/>
    <x v="1"/>
    <x v="2"/>
    <n v="44674"/>
    <s v="07-04-2023"/>
    <x v="0"/>
    <n v="11"/>
    <n v="1"/>
    <s v="Yes"/>
    <x v="1"/>
    <s v="kiran.sharma1073@company.com"/>
    <s v="Valid"/>
    <n v="9533907212"/>
    <s v="Valid"/>
    <x v="0"/>
  </r>
  <r>
    <x v="73"/>
    <s v="Divya"/>
    <s v="Patel"/>
    <x v="0"/>
    <n v="26"/>
    <x v="3"/>
    <x v="0"/>
    <x v="3"/>
    <n v="77718"/>
    <s v="06-02-2024"/>
    <x v="0"/>
    <n v="17"/>
    <n v="4"/>
    <s v="No"/>
    <x v="1"/>
    <s v="divya.patel1074@company.com"/>
    <s v="Valid"/>
    <n v="9025539945"/>
    <s v="Valid"/>
    <x v="1"/>
  </r>
  <r>
    <x v="74"/>
    <s v="Rahul"/>
    <s v="Sharma"/>
    <x v="0"/>
    <n v="42"/>
    <x v="1"/>
    <x v="1"/>
    <x v="2"/>
    <n v="59800"/>
    <s v="28-08-2018"/>
    <x v="3"/>
    <n v="25"/>
    <n v="5"/>
    <s v="No"/>
    <x v="0"/>
    <s v="rahul.sharma1075@company.com"/>
    <s v="Valid"/>
    <n v="9402743743"/>
    <s v="Valid"/>
    <x v="0"/>
  </r>
  <r>
    <x v="75"/>
    <s v="Kiran"/>
    <s v="Patel"/>
    <x v="0"/>
    <n v="56"/>
    <x v="1"/>
    <x v="2"/>
    <x v="0"/>
    <n v="64756"/>
    <s v="11-05-2022"/>
    <x v="4"/>
    <n v="15"/>
    <n v="5"/>
    <s v="No"/>
    <x v="0"/>
    <s v="kiran.patel1076@company.com"/>
    <s v="Valid"/>
    <n v="9795600415"/>
    <s v="Valid"/>
    <x v="2"/>
  </r>
  <r>
    <x v="76"/>
    <s v="John"/>
    <s v="Patel"/>
    <x v="0"/>
    <n v="45"/>
    <x v="1"/>
    <x v="4"/>
    <x v="4"/>
    <n v="40676"/>
    <s v="02-02-2022"/>
    <x v="2"/>
    <n v="12"/>
    <n v="4"/>
    <s v="Yes"/>
    <x v="0"/>
    <s v="john.patel1077@company.com"/>
    <s v="Valid"/>
    <n v="9637239735"/>
    <s v="Valid"/>
    <x v="0"/>
  </r>
  <r>
    <x v="77"/>
    <s v="Kiran"/>
    <s v="Reddy"/>
    <x v="1"/>
    <n v="42"/>
    <x v="2"/>
    <x v="2"/>
    <x v="3"/>
    <n v="92627"/>
    <s v="10-07-2018"/>
    <x v="3"/>
    <n v="25"/>
    <n v="1"/>
    <s v="No"/>
    <x v="0"/>
    <s v="kiran.reddy1078@company.com"/>
    <s v="Valid"/>
    <n v="9390034512"/>
    <s v="Valid"/>
    <x v="0"/>
  </r>
  <r>
    <x v="78"/>
    <s v="John"/>
    <s v="Reddy"/>
    <x v="1"/>
    <n v="54"/>
    <x v="1"/>
    <x v="3"/>
    <x v="1"/>
    <n v="34799"/>
    <s v="23-07-2024"/>
    <x v="3"/>
    <n v="3"/>
    <n v="4"/>
    <s v="No"/>
    <x v="0"/>
    <s v="john.reddy1079@company.com"/>
    <s v="Valid"/>
    <n v="9155896821"/>
    <s v="Valid"/>
    <x v="2"/>
  </r>
  <r>
    <x v="79"/>
    <s v="Divya"/>
    <s v="Reddy"/>
    <x v="1"/>
    <n v="54"/>
    <x v="3"/>
    <x v="4"/>
    <x v="2"/>
    <n v="29271"/>
    <s v="01-07-2022"/>
    <x v="2"/>
    <n v="10"/>
    <n v="3"/>
    <s v="No"/>
    <x v="1"/>
    <s v="divya.reddy1080@company.com"/>
    <s v="Valid"/>
    <n v="9424616555"/>
    <s v="Valid"/>
    <x v="2"/>
  </r>
  <r>
    <x v="80"/>
    <s v="Kiran"/>
    <s v="Sharma"/>
    <x v="1"/>
    <n v="39"/>
    <x v="0"/>
    <x v="1"/>
    <x v="2"/>
    <n v="40618"/>
    <s v="08-10-2020"/>
    <x v="3"/>
    <n v="24"/>
    <n v="4"/>
    <s v="Yes"/>
    <x v="0"/>
    <s v="kiran.sharma1081@company.com"/>
    <s v="Valid"/>
    <n v="9298217912"/>
    <s v="Valid"/>
    <x v="4"/>
  </r>
  <r>
    <x v="81"/>
    <s v="Divya"/>
    <s v="Patel"/>
    <x v="0"/>
    <n v="22"/>
    <x v="1"/>
    <x v="4"/>
    <x v="4"/>
    <n v="102008"/>
    <s v="25-01-2021"/>
    <x v="0"/>
    <n v="11"/>
    <n v="3"/>
    <s v="Yes"/>
    <x v="1"/>
    <s v="divya.patel1082company.com"/>
    <s v="Invalid"/>
    <n v="9986482953"/>
    <s v="Valid"/>
    <x v="3"/>
  </r>
  <r>
    <x v="82"/>
    <s v="Arun"/>
    <s v="Singh"/>
    <x v="0"/>
    <n v="47"/>
    <x v="0"/>
    <x v="1"/>
    <x v="1"/>
    <n v="111673"/>
    <s v="09-10-2022"/>
    <x v="4"/>
    <n v="15"/>
    <n v="2"/>
    <s v="No"/>
    <x v="0"/>
    <s v="arun.singh1083@company.com"/>
    <s v="Valid"/>
    <n v="9007814218"/>
    <s v="Valid"/>
    <x v="0"/>
  </r>
  <r>
    <x v="83"/>
    <s v="Anil"/>
    <s v="Singh"/>
    <x v="1"/>
    <n v="49"/>
    <x v="4"/>
    <x v="4"/>
    <x v="0"/>
    <n v="90908"/>
    <s v="21-08-2021"/>
    <x v="4"/>
    <n v="10"/>
    <n v="3"/>
    <s v="Yes"/>
    <x v="0"/>
    <s v="anil.singh1084@company.com"/>
    <s v="Valid"/>
    <n v="9684127129"/>
    <s v="Valid"/>
    <x v="0"/>
  </r>
  <r>
    <x v="84"/>
    <s v="Divya"/>
    <s v="Sharma"/>
    <x v="0"/>
    <n v="49"/>
    <x v="1"/>
    <x v="3"/>
    <x v="2"/>
    <n v="100229"/>
    <s v="01-03-2024"/>
    <x v="0"/>
    <n v="7"/>
    <n v="1"/>
    <s v="Yes"/>
    <x v="0"/>
    <s v="divya.sharma1085@company.com"/>
    <s v="Valid"/>
    <n v="9256557723"/>
    <s v="Valid"/>
    <x v="0"/>
  </r>
  <r>
    <x v="85"/>
    <s v="John"/>
    <s v="Reddy"/>
    <x v="1"/>
    <n v="37"/>
    <x v="3"/>
    <x v="1"/>
    <x v="4"/>
    <n v="93085"/>
    <s v="13-03-2022"/>
    <x v="3"/>
    <n v="18"/>
    <n v="1"/>
    <s v="Yes"/>
    <x v="1"/>
    <s v="john.reddy1086@company.com"/>
    <s v="Valid"/>
    <n v="9884263116"/>
    <s v="Valid"/>
    <x v="4"/>
  </r>
  <r>
    <x v="86"/>
    <s v="Divya"/>
    <s v="Reddy"/>
    <x v="1"/>
    <n v="29"/>
    <x v="1"/>
    <x v="0"/>
    <x v="3"/>
    <n v="84976"/>
    <s v="03-06-2023"/>
    <x v="3"/>
    <n v="21"/>
    <n v="4"/>
    <s v="Yes"/>
    <x v="0"/>
    <s v="divya.reddy1087@company.com"/>
    <s v="Valid"/>
    <n v="9501283339"/>
    <s v="Valid"/>
    <x v="1"/>
  </r>
  <r>
    <x v="87"/>
    <s v="Sneha"/>
    <s v="Patel"/>
    <x v="0"/>
    <n v="40"/>
    <x v="3"/>
    <x v="3"/>
    <x v="4"/>
    <n v="29428"/>
    <s v="06-12-2023"/>
    <x v="2"/>
    <n v="20"/>
    <n v="5"/>
    <s v="No"/>
    <x v="0"/>
    <s v="sneha.patel1088@company.com"/>
    <s v="Valid"/>
    <n v="9231213998"/>
    <s v="Valid"/>
    <x v="0"/>
  </r>
  <r>
    <x v="88"/>
    <s v="Meena"/>
    <s v="Reddy"/>
    <x v="0"/>
    <n v="38"/>
    <x v="0"/>
    <x v="2"/>
    <x v="3"/>
    <n v="30682"/>
    <s v="11-01-2021"/>
    <x v="3"/>
    <n v="24"/>
    <n v="3"/>
    <s v="No"/>
    <x v="1"/>
    <s v="meena.reddy1089@company.com"/>
    <s v="Valid"/>
    <n v="9311615681"/>
    <s v="Valid"/>
    <x v="4"/>
  </r>
  <r>
    <x v="89"/>
    <s v="Sneha"/>
    <s v="Singh"/>
    <x v="0"/>
    <n v="38"/>
    <x v="4"/>
    <x v="0"/>
    <x v="3"/>
    <n v="55657"/>
    <s v="12-09-2023"/>
    <x v="2"/>
    <n v="2"/>
    <n v="1"/>
    <s v="Yes"/>
    <x v="0"/>
    <s v="sneha.singh1090@company.com"/>
    <s v="Valid"/>
    <n v="9624151082"/>
    <s v="Valid"/>
    <x v="4"/>
  </r>
  <r>
    <x v="90"/>
    <s v="Kiran"/>
    <s v="Patel"/>
    <x v="0"/>
    <n v="26"/>
    <x v="0"/>
    <x v="2"/>
    <x v="4"/>
    <n v="110646"/>
    <s v="10-12-2020"/>
    <x v="0"/>
    <n v="23"/>
    <n v="1"/>
    <s v="Yes"/>
    <x v="1"/>
    <s v="kiran.patel1091@company.com"/>
    <s v="Valid"/>
    <n v="9761037030"/>
    <s v="Valid"/>
    <x v="1"/>
  </r>
  <r>
    <x v="91"/>
    <s v="Kiran"/>
    <s v="Singh"/>
    <x v="1"/>
    <n v="25"/>
    <x v="3"/>
    <x v="0"/>
    <x v="1"/>
    <n v="95541"/>
    <s v="20-01-2019"/>
    <x v="1"/>
    <n v="25"/>
    <n v="2"/>
    <s v="Yes"/>
    <x v="1"/>
    <s v="kiran.singh1092@company.com"/>
    <s v="Valid"/>
    <n v="9758231236"/>
    <s v="Valid"/>
    <x v="1"/>
  </r>
  <r>
    <x v="92"/>
    <s v="Ravi"/>
    <s v="Kumar"/>
    <x v="1"/>
    <n v="30"/>
    <x v="4"/>
    <x v="0"/>
    <x v="4"/>
    <s v="Missing"/>
    <s v="15-04-2019"/>
    <x v="3"/>
    <n v="5"/>
    <n v="4"/>
    <s v="Yes"/>
    <x v="1"/>
    <s v="ravi.kumar1093@company.com"/>
    <s v="Valid"/>
    <n v="9774299375"/>
    <s v="Valid"/>
    <x v="5"/>
  </r>
  <r>
    <x v="93"/>
    <s v="Sneha"/>
    <s v="Kumar"/>
    <x v="1"/>
    <n v="49"/>
    <x v="4"/>
    <x v="3"/>
    <x v="4"/>
    <n v="37055"/>
    <s v="10-06-2021"/>
    <x v="2"/>
    <n v="8"/>
    <n v="3"/>
    <s v="No"/>
    <x v="0"/>
    <s v="sneha.kumar1094@company.com"/>
    <s v="Valid"/>
    <n v="9844512986"/>
    <s v="Valid"/>
    <x v="0"/>
  </r>
  <r>
    <x v="94"/>
    <s v="Priya"/>
    <s v="Kumar"/>
    <x v="0"/>
    <n v="46"/>
    <x v="0"/>
    <x v="3"/>
    <x v="4"/>
    <n v="115443"/>
    <s v="22-10-2020"/>
    <x v="1"/>
    <n v="3"/>
    <n v="1"/>
    <s v="No"/>
    <x v="1"/>
    <s v="priya.kumar1095@company.com"/>
    <s v="Valid"/>
    <n v="9840482158"/>
    <s v="Valid"/>
    <x v="0"/>
  </r>
  <r>
    <x v="95"/>
    <s v="Rahul"/>
    <s v="Reddy"/>
    <x v="0"/>
    <n v="57"/>
    <x v="1"/>
    <x v="3"/>
    <x v="3"/>
    <n v="102372"/>
    <s v="09-08-2018"/>
    <x v="4"/>
    <n v="11"/>
    <n v="1"/>
    <s v="Yes"/>
    <x v="0"/>
    <s v="rahul.reddy1096@company.com"/>
    <s v="Valid"/>
    <n v="9240408197"/>
    <s v="Valid"/>
    <x v="2"/>
  </r>
  <r>
    <x v="96"/>
    <s v="Ravi"/>
    <s v="Patel"/>
    <x v="0"/>
    <n v="31"/>
    <x v="1"/>
    <x v="1"/>
    <x v="3"/>
    <n v="51017"/>
    <s v="13-12-2022"/>
    <x v="4"/>
    <n v="0"/>
    <n v="1"/>
    <s v="No"/>
    <x v="0"/>
    <s v="Missing email"/>
    <s v="Invalid"/>
    <n v="9336724603"/>
    <s v="Valid"/>
    <x v="5"/>
  </r>
  <r>
    <x v="97"/>
    <s v="Ravi"/>
    <s v="Sharma"/>
    <x v="0"/>
    <n v="23"/>
    <x v="4"/>
    <x v="0"/>
    <x v="0"/>
    <n v="63370"/>
    <s v="20-12-2023"/>
    <x v="1"/>
    <n v="12"/>
    <n v="4"/>
    <s v="No"/>
    <x v="1"/>
    <s v="ravi.sharma1098@company.com"/>
    <s v="Valid"/>
    <n v="9251190626"/>
    <s v="Valid"/>
    <x v="3"/>
  </r>
  <r>
    <x v="98"/>
    <s v="Priya"/>
    <s v="Reddy"/>
    <x v="0"/>
    <n v="45"/>
    <x v="0"/>
    <x v="1"/>
    <x v="0"/>
    <n v="44014"/>
    <s v="12-09-2019"/>
    <x v="1"/>
    <n v="1"/>
    <n v="3"/>
    <s v="Yes"/>
    <x v="1"/>
    <s v="priya.reddy1099@company.com"/>
    <s v="Valid"/>
    <n v="9248735312"/>
    <s v="Valid"/>
    <x v="0"/>
  </r>
  <r>
    <x v="99"/>
    <s v="John"/>
    <s v="Reddy"/>
    <x v="0"/>
    <n v="58"/>
    <x v="3"/>
    <x v="2"/>
    <x v="4"/>
    <n v="117925"/>
    <s v="22-11-2022"/>
    <x v="1"/>
    <n v="21"/>
    <n v="3"/>
    <s v="Yes"/>
    <x v="0"/>
    <s v="john.reddy1100@company.com"/>
    <s v="Valid"/>
    <n v="9646017744"/>
    <s v="Valid"/>
    <x v="2"/>
  </r>
  <r>
    <x v="100"/>
    <s v="Kiran"/>
    <s v="Kumar"/>
    <x v="1"/>
    <n v="55"/>
    <x v="3"/>
    <x v="0"/>
    <x v="4"/>
    <n v="53573"/>
    <s v="16-06-2018"/>
    <x v="1"/>
    <n v="13"/>
    <n v="4"/>
    <s v="No"/>
    <x v="0"/>
    <s v="kiran.kumar1101@company.com"/>
    <s v="Valid"/>
    <n v="9037097124"/>
    <s v="Valid"/>
    <x v="2"/>
  </r>
  <r>
    <x v="101"/>
    <s v="Sneha"/>
    <s v="Kumar"/>
    <x v="1"/>
    <n v="66"/>
    <x v="0"/>
    <x v="4"/>
    <x v="1"/>
    <n v="66299"/>
    <s v="11-06-2018"/>
    <x v="1"/>
    <n v="11"/>
    <n v="3"/>
    <s v="No"/>
    <x v="1"/>
    <s v="sneha.kumar1102@company.com"/>
    <s v="Valid"/>
    <n v="9626027919"/>
    <s v="Valid"/>
    <x v="2"/>
  </r>
  <r>
    <x v="102"/>
    <s v="Ravi"/>
    <s v="Sharma"/>
    <x v="0"/>
    <n v="25"/>
    <x v="2"/>
    <x v="4"/>
    <x v="2"/>
    <n v="78517"/>
    <s v="19-03-2024"/>
    <x v="1"/>
    <n v="24"/>
    <n v="3"/>
    <s v="Yes"/>
    <x v="0"/>
    <s v="ravi.sharma1103company.com"/>
    <s v="Invalid"/>
    <n v="9075685465"/>
    <s v="Valid"/>
    <x v="1"/>
  </r>
  <r>
    <x v="103"/>
    <s v="Arun"/>
    <s v="Sharma"/>
    <x v="1"/>
    <n v="32"/>
    <x v="3"/>
    <x v="2"/>
    <x v="2"/>
    <n v="66818"/>
    <s v="25-01-2018"/>
    <x v="3"/>
    <n v="6"/>
    <n v="3"/>
    <s v="No"/>
    <x v="0"/>
    <s v="arun.sharma1104@company.com"/>
    <s v="Valid"/>
    <n v="9975372122"/>
    <s v="Valid"/>
    <x v="5"/>
  </r>
  <r>
    <x v="104"/>
    <s v="John"/>
    <s v="Reddy"/>
    <x v="1"/>
    <n v="41"/>
    <x v="3"/>
    <x v="0"/>
    <x v="3"/>
    <n v="93266"/>
    <s v="17-03-2022"/>
    <x v="1"/>
    <n v="6"/>
    <n v="4"/>
    <s v="Yes"/>
    <x v="1"/>
    <s v="john.reddy1105@company.com"/>
    <s v="Valid"/>
    <n v="9170766459"/>
    <s v="Valid"/>
    <x v="0"/>
  </r>
  <r>
    <x v="105"/>
    <s v="Meena"/>
    <s v="Singh"/>
    <x v="1"/>
    <n v="38"/>
    <x v="4"/>
    <x v="3"/>
    <x v="1"/>
    <n v="98752"/>
    <s v="27-07-2023"/>
    <x v="0"/>
    <n v="15"/>
    <n v="3"/>
    <s v="Yes"/>
    <x v="1"/>
    <s v="meena.singh1106@company.com"/>
    <s v="Valid"/>
    <n v="9372983961"/>
    <s v="Valid"/>
    <x v="4"/>
  </r>
  <r>
    <x v="106"/>
    <s v="Divya"/>
    <s v="Sharma"/>
    <x v="0"/>
    <n v="23"/>
    <x v="1"/>
    <x v="4"/>
    <x v="0"/>
    <n v="68827"/>
    <s v="19-03-2019"/>
    <x v="0"/>
    <n v="16"/>
    <n v="2"/>
    <s v="Yes"/>
    <x v="0"/>
    <s v="divya.sharma1107@company.com"/>
    <s v="Valid"/>
    <n v="9540017678"/>
    <s v="Valid"/>
    <x v="3"/>
  </r>
  <r>
    <x v="107"/>
    <s v="Ravi"/>
    <s v="Kumar"/>
    <x v="1"/>
    <n v="33"/>
    <x v="0"/>
    <x v="0"/>
    <x v="3"/>
    <n v="62667"/>
    <s v="06-07-2023"/>
    <x v="1"/>
    <n v="15"/>
    <n v="2"/>
    <s v="Yes"/>
    <x v="1"/>
    <s v="ravi.kumar1108@company.com"/>
    <s v="Valid"/>
    <n v="9197889657"/>
    <s v="Valid"/>
    <x v="5"/>
  </r>
  <r>
    <x v="108"/>
    <s v="Ravi"/>
    <s v="Singh"/>
    <x v="1"/>
    <n v="46"/>
    <x v="0"/>
    <x v="2"/>
    <x v="2"/>
    <n v="47680"/>
    <s v="14-11-2024"/>
    <x v="0"/>
    <n v="7"/>
    <n v="3"/>
    <s v="No"/>
    <x v="1"/>
    <s v="ravi.singh1109@company.com"/>
    <s v="Valid"/>
    <n v="9589153836"/>
    <s v="Valid"/>
    <x v="0"/>
  </r>
  <r>
    <x v="109"/>
    <s v="Arun"/>
    <s v="Sharma"/>
    <x v="0"/>
    <n v="36"/>
    <x v="4"/>
    <x v="4"/>
    <x v="1"/>
    <n v="107425"/>
    <s v="12-05-2020"/>
    <x v="3"/>
    <n v="15"/>
    <n v="4"/>
    <s v="No"/>
    <x v="1"/>
    <s v="arun.sharma1110@company.com"/>
    <s v="Valid"/>
    <n v="9107833390"/>
    <s v="Valid"/>
    <x v="4"/>
  </r>
  <r>
    <x v="110"/>
    <s v="Arun"/>
    <s v="Singh"/>
    <x v="1"/>
    <n v="47"/>
    <x v="4"/>
    <x v="1"/>
    <x v="4"/>
    <n v="74516"/>
    <s v="20-02-2023"/>
    <x v="2"/>
    <n v="22"/>
    <n v="3"/>
    <s v="No"/>
    <x v="0"/>
    <s v="arun.singh1111@company.com"/>
    <s v="Valid"/>
    <n v="9876845316"/>
    <s v="Valid"/>
    <x v="0"/>
  </r>
  <r>
    <x v="111"/>
    <s v="Arun"/>
    <s v="Singh"/>
    <x v="1"/>
    <n v="43"/>
    <x v="1"/>
    <x v="0"/>
    <x v="0"/>
    <n v="59096"/>
    <s v="07-02-2023"/>
    <x v="1"/>
    <n v="12"/>
    <n v="5"/>
    <s v="Yes"/>
    <x v="1"/>
    <s v="arun.singh1112company.com"/>
    <s v="Invalid"/>
    <n v="9862936692"/>
    <s v="Valid"/>
    <x v="0"/>
  </r>
  <r>
    <x v="112"/>
    <s v="Rahul"/>
    <s v="Sharma"/>
    <x v="1"/>
    <n v="37"/>
    <x v="3"/>
    <x v="1"/>
    <x v="4"/>
    <n v="-79426"/>
    <s v="01-03-2024"/>
    <x v="1"/>
    <n v="22"/>
    <n v="2"/>
    <s v="No"/>
    <x v="0"/>
    <s v="rahul.sharma1113@company.com"/>
    <s v="Valid"/>
    <n v="9723619152"/>
    <s v="Valid"/>
    <x v="4"/>
  </r>
  <r>
    <x v="113"/>
    <s v="Anil"/>
    <s v="Patel"/>
    <x v="0"/>
    <n v="26"/>
    <x v="3"/>
    <x v="1"/>
    <x v="4"/>
    <n v="64100"/>
    <s v="27-12-2022"/>
    <x v="1"/>
    <n v="6"/>
    <n v="3"/>
    <s v="No"/>
    <x v="0"/>
    <s v="anil.patel1114@company.com"/>
    <s v="Valid"/>
    <n v="9755051292"/>
    <s v="Valid"/>
    <x v="1"/>
  </r>
  <r>
    <x v="114"/>
    <s v="Ravi"/>
    <s v="Sharma"/>
    <x v="1"/>
    <n v="46"/>
    <x v="2"/>
    <x v="3"/>
    <x v="4"/>
    <n v="45910"/>
    <s v="01-04-2018"/>
    <x v="4"/>
    <n v="16"/>
    <n v="4"/>
    <s v="No"/>
    <x v="1"/>
    <s v="ravi.sharma1115@company.com"/>
    <s v="Valid"/>
    <n v="9787687080"/>
    <s v="Valid"/>
    <x v="0"/>
  </r>
  <r>
    <x v="115"/>
    <s v="John"/>
    <s v="Singh"/>
    <x v="1"/>
    <n v="40"/>
    <x v="2"/>
    <x v="2"/>
    <x v="0"/>
    <n v="58090"/>
    <s v="21-04-2019"/>
    <x v="3"/>
    <n v="0"/>
    <n v="2"/>
    <s v="Yes"/>
    <x v="0"/>
    <s v="john.singh1116@company.com"/>
    <s v="Valid"/>
    <n v="9063841304"/>
    <s v="Valid"/>
    <x v="0"/>
  </r>
  <r>
    <x v="116"/>
    <s v="Meena"/>
    <s v="Singh"/>
    <x v="0"/>
    <n v="45"/>
    <x v="4"/>
    <x v="4"/>
    <x v="4"/>
    <n v="94732"/>
    <s v="28-08-2022"/>
    <x v="3"/>
    <n v="2"/>
    <n v="4"/>
    <s v="Yes"/>
    <x v="1"/>
    <s v="meena.singh1117@company.com"/>
    <s v="Valid"/>
    <n v="9178202179"/>
    <s v="Valid"/>
    <x v="0"/>
  </r>
  <r>
    <x v="117"/>
    <s v="Priya"/>
    <s v="Patel"/>
    <x v="0"/>
    <n v="48"/>
    <x v="3"/>
    <x v="1"/>
    <x v="3"/>
    <n v="75286"/>
    <s v="22-10-2024"/>
    <x v="2"/>
    <n v="5"/>
    <n v="5"/>
    <s v="Yes"/>
    <x v="1"/>
    <s v="priya.patel1118@company.com"/>
    <s v="Valid"/>
    <n v="9093060890"/>
    <s v="Valid"/>
    <x v="0"/>
  </r>
  <r>
    <x v="108"/>
    <s v="Meena"/>
    <s v="Singh"/>
    <x v="1"/>
    <n v="38"/>
    <x v="4"/>
    <x v="3"/>
    <x v="2"/>
    <n v="111216"/>
    <s v="09-08-2022"/>
    <x v="1"/>
    <n v="5"/>
    <n v="2"/>
    <s v="Yes"/>
    <x v="1"/>
    <s v="meena.singh1105@company.com"/>
    <s v="Valid"/>
    <n v="9134481325"/>
    <s v="Valid"/>
    <x v="4"/>
  </r>
  <r>
    <x v="118"/>
    <s v="Sneha"/>
    <s v="Kumar"/>
    <x v="1"/>
    <n v="32"/>
    <x v="1"/>
    <x v="2"/>
    <x v="1"/>
    <n v="62014"/>
    <s v="22-01-2021"/>
    <x v="3"/>
    <n v="2"/>
    <n v="4"/>
    <s v="No"/>
    <x v="1"/>
    <s v="sneha.kumar1120@company.com"/>
    <s v="Valid"/>
    <n v="9458822322"/>
    <s v="Valid"/>
    <x v="5"/>
  </r>
  <r>
    <x v="119"/>
    <s v="Rahul"/>
    <s v="Patel"/>
    <x v="1"/>
    <n v="66"/>
    <x v="3"/>
    <x v="4"/>
    <x v="1"/>
    <n v="114189"/>
    <s v="19-06-2024"/>
    <x v="2"/>
    <n v="1"/>
    <n v="2"/>
    <s v="Yes"/>
    <x v="1"/>
    <s v="rahul.patel1121@company.com"/>
    <s v="Valid"/>
    <n v="9680890200"/>
    <s v="Valid"/>
    <x v="2"/>
  </r>
  <r>
    <x v="120"/>
    <s v="Kiran"/>
    <s v="Singh"/>
    <x v="0"/>
    <n v="22"/>
    <x v="4"/>
    <x v="2"/>
    <x v="4"/>
    <n v="36046"/>
    <s v="15-06-2018"/>
    <x v="2"/>
    <n v="25"/>
    <n v="4"/>
    <s v="No"/>
    <x v="1"/>
    <s v="kiran.singh1122@company.com"/>
    <s v="Valid"/>
    <n v="9957293533"/>
    <s v="Valid"/>
    <x v="3"/>
  </r>
  <r>
    <x v="121"/>
    <s v="Priya"/>
    <s v="Sharma"/>
    <x v="1"/>
    <n v="34"/>
    <x v="2"/>
    <x v="0"/>
    <x v="4"/>
    <n v="63722"/>
    <s v="19-09-2022"/>
    <x v="3"/>
    <n v="6"/>
    <n v="4"/>
    <s v="No"/>
    <x v="0"/>
    <s v="priya.sharma1123@company.com"/>
    <s v="Valid"/>
    <n v="9478719632"/>
    <s v="Valid"/>
    <x v="5"/>
  </r>
  <r>
    <x v="122"/>
    <s v="Meena"/>
    <s v="Kumar"/>
    <x v="1"/>
    <n v="26"/>
    <x v="1"/>
    <x v="1"/>
    <x v="2"/>
    <n v="27755"/>
    <s v="01-06-2023"/>
    <x v="2"/>
    <n v="1"/>
    <n v="3"/>
    <s v="No"/>
    <x v="0"/>
    <s v="meena.kumar1124@company.com"/>
    <s v="Valid"/>
    <n v="93605588"/>
    <s v="Invalid"/>
    <x v="1"/>
  </r>
  <r>
    <x v="123"/>
    <s v="Meena"/>
    <s v="Sharma"/>
    <x v="0"/>
    <n v="27"/>
    <x v="4"/>
    <x v="0"/>
    <x v="0"/>
    <n v="71393"/>
    <s v="15-06-2018"/>
    <x v="3"/>
    <n v="8"/>
    <n v="2"/>
    <s v="No"/>
    <x v="1"/>
    <s v="meena.sharma1125@company.com"/>
    <s v="Valid"/>
    <n v="9226093401"/>
    <s v="Valid"/>
    <x v="1"/>
  </r>
  <r>
    <x v="124"/>
    <s v="Priya"/>
    <s v="Kumar"/>
    <x v="1"/>
    <n v="26"/>
    <x v="0"/>
    <x v="4"/>
    <x v="0"/>
    <n v="118997"/>
    <s v="18-01-2024"/>
    <x v="4"/>
    <n v="19"/>
    <n v="1"/>
    <s v="Yes"/>
    <x v="0"/>
    <s v="priya.kumar1126@company.com"/>
    <s v="Valid"/>
    <n v="9398289297"/>
    <s v="Valid"/>
    <x v="1"/>
  </r>
  <r>
    <x v="125"/>
    <s v="Ravi"/>
    <s v="Singh"/>
    <x v="1"/>
    <n v="25"/>
    <x v="3"/>
    <x v="1"/>
    <x v="3"/>
    <n v="104775"/>
    <s v="16-10-2020"/>
    <x v="4"/>
    <n v="19"/>
    <n v="5"/>
    <s v="No"/>
    <x v="0"/>
    <s v="ravi.singh1127@company.com"/>
    <s v="Valid"/>
    <n v="9936507342"/>
    <s v="Valid"/>
    <x v="1"/>
  </r>
  <r>
    <x v="126"/>
    <s v="Sneha"/>
    <s v="Reddy"/>
    <x v="0"/>
    <n v="52"/>
    <x v="3"/>
    <x v="2"/>
    <x v="3"/>
    <n v="99352"/>
    <s v="23-03-2024"/>
    <x v="4"/>
    <n v="3"/>
    <n v="4"/>
    <s v="No"/>
    <x v="1"/>
    <s v="sneha.reddy1128@company.com"/>
    <s v="Valid"/>
    <n v="97948812"/>
    <s v="Invalid"/>
    <x v="2"/>
  </r>
  <r>
    <x v="127"/>
    <s v="John"/>
    <s v="Singh"/>
    <x v="1"/>
    <n v="23"/>
    <x v="2"/>
    <x v="3"/>
    <x v="0"/>
    <n v="112191"/>
    <s v="31-03-2018"/>
    <x v="3"/>
    <n v="24"/>
    <n v="2"/>
    <s v="Yes"/>
    <x v="0"/>
    <s v="john.singh1129@company.com"/>
    <s v="Valid"/>
    <n v="9008714970"/>
    <s v="Valid"/>
    <x v="3"/>
  </r>
  <r>
    <x v="128"/>
    <s v="Arun"/>
    <s v="Sharma"/>
    <x v="0"/>
    <n v="49"/>
    <x v="3"/>
    <x v="0"/>
    <x v="1"/>
    <n v="37547"/>
    <s v="01-09-2019"/>
    <x v="1"/>
    <n v="24"/>
    <n v="1"/>
    <s v="No"/>
    <x v="1"/>
    <s v="arun.sharma1130@company.com"/>
    <s v="Valid"/>
    <n v="9252151507"/>
    <s v="Valid"/>
    <x v="0"/>
  </r>
  <r>
    <x v="129"/>
    <s v="Divya"/>
    <s v="Patel"/>
    <x v="0"/>
    <n v="42"/>
    <x v="4"/>
    <x v="0"/>
    <x v="4"/>
    <n v="74261"/>
    <s v="12-07-2019"/>
    <x v="3"/>
    <n v="8"/>
    <n v="1"/>
    <s v="Yes"/>
    <x v="1"/>
    <s v="divya.patel1131@company.com"/>
    <s v="Valid"/>
    <n v="9924418944"/>
    <s v="Valid"/>
    <x v="0"/>
  </r>
  <r>
    <x v="130"/>
    <s v="Anil"/>
    <s v="Kumar"/>
    <x v="1"/>
    <n v="27"/>
    <x v="2"/>
    <x v="2"/>
    <x v="4"/>
    <n v="75061"/>
    <s v="13-02-2025"/>
    <x v="2"/>
    <n v="4"/>
    <n v="3"/>
    <s v="Yes"/>
    <x v="0"/>
    <s v="anil.kumar1132@company.com"/>
    <s v="Valid"/>
    <n v="9990190931"/>
    <s v="Valid"/>
    <x v="1"/>
  </r>
  <r>
    <x v="131"/>
    <s v="Sneha"/>
    <s v="Patel"/>
    <x v="1"/>
    <n v="51"/>
    <x v="1"/>
    <x v="3"/>
    <x v="3"/>
    <n v="69562"/>
    <s v="22-09-2023"/>
    <x v="2"/>
    <n v="7"/>
    <n v="3"/>
    <s v="No"/>
    <x v="1"/>
    <s v="sneha.patel1133@company.com"/>
    <s v="Valid"/>
    <n v="9197663641"/>
    <s v="Valid"/>
    <x v="2"/>
  </r>
  <r>
    <x v="132"/>
    <s v="Sneha"/>
    <s v="Singh"/>
    <x v="0"/>
    <n v="51"/>
    <x v="3"/>
    <x v="1"/>
    <x v="0"/>
    <n v="31085"/>
    <s v="21-05-2023"/>
    <x v="4"/>
    <n v="7"/>
    <n v="2"/>
    <s v="Yes"/>
    <x v="1"/>
    <s v="sneha.singh1134@company.com"/>
    <s v="Valid"/>
    <n v="9229217619"/>
    <s v="Valid"/>
    <x v="2"/>
  </r>
  <r>
    <x v="133"/>
    <s v="Kiran"/>
    <s v="Kumar"/>
    <x v="0"/>
    <n v="25"/>
    <x v="3"/>
    <x v="3"/>
    <x v="4"/>
    <n v="57877"/>
    <s v="06-06-2021"/>
    <x v="2"/>
    <n v="0"/>
    <n v="4"/>
    <s v="No"/>
    <x v="1"/>
    <s v="kiran.kumar1135@company.com"/>
    <s v="Valid"/>
    <n v="9289685231"/>
    <s v="Valid"/>
    <x v="1"/>
  </r>
  <r>
    <x v="134"/>
    <s v="Ravi"/>
    <s v="Patel"/>
    <x v="1"/>
    <n v="25"/>
    <x v="2"/>
    <x v="0"/>
    <x v="4"/>
    <n v="31658"/>
    <s v="11-12-2019"/>
    <x v="2"/>
    <n v="1"/>
    <n v="4"/>
    <s v="No"/>
    <x v="1"/>
    <s v="ravi.patel1136@company.com"/>
    <s v="Valid"/>
    <n v="9292568097"/>
    <s v="Valid"/>
    <x v="1"/>
  </r>
  <r>
    <x v="135"/>
    <s v="Anil"/>
    <s v="Patel"/>
    <x v="1"/>
    <n v="29"/>
    <x v="2"/>
    <x v="1"/>
    <x v="0"/>
    <n v="57569"/>
    <s v="14-06-2020"/>
    <x v="4"/>
    <n v="24"/>
    <n v="2"/>
    <s v="Yes"/>
    <x v="0"/>
    <s v="anil.patel1137@company.com"/>
    <s v="Valid"/>
    <n v="9874587057"/>
    <s v="Valid"/>
    <x v="1"/>
  </r>
  <r>
    <x v="136"/>
    <s v="Arun"/>
    <s v="Patel"/>
    <x v="0"/>
    <n v="57"/>
    <x v="0"/>
    <x v="3"/>
    <x v="1"/>
    <n v="60968"/>
    <s v="04-01-2019"/>
    <x v="3"/>
    <n v="17"/>
    <n v="3"/>
    <s v="No"/>
    <x v="0"/>
    <s v="arun.patel1138@company.com"/>
    <s v="Valid"/>
    <n v="9233014830"/>
    <s v="Valid"/>
    <x v="2"/>
  </r>
  <r>
    <x v="137"/>
    <s v="Sneha"/>
    <s v="Sharma"/>
    <x v="1"/>
    <n v="56"/>
    <x v="0"/>
    <x v="1"/>
    <x v="0"/>
    <n v="95085"/>
    <s v="19-04-2021"/>
    <x v="4"/>
    <n v="4"/>
    <n v="3"/>
    <s v="No"/>
    <x v="1"/>
    <s v="sneha.sharma1139@company.com"/>
    <s v="Valid"/>
    <n v="9387242793"/>
    <s v="Valid"/>
    <x v="2"/>
  </r>
  <r>
    <x v="138"/>
    <s v="Meena"/>
    <s v="Kumar"/>
    <x v="0"/>
    <n v="27"/>
    <x v="4"/>
    <x v="4"/>
    <x v="2"/>
    <n v="101348"/>
    <s v="08-06-2021"/>
    <x v="0"/>
    <n v="16"/>
    <n v="2"/>
    <s v="No"/>
    <x v="0"/>
    <s v="meena.kumar1140@company.com"/>
    <s v="Valid"/>
    <n v="94900976"/>
    <s v="Invalid"/>
    <x v="1"/>
  </r>
  <r>
    <x v="139"/>
    <s v="Anil"/>
    <s v="Kumar"/>
    <x v="0"/>
    <n v="46"/>
    <x v="2"/>
    <x v="4"/>
    <x v="0"/>
    <n v="67797"/>
    <s v="11-12-2018"/>
    <x v="0"/>
    <n v="12"/>
    <n v="4"/>
    <s v="Yes"/>
    <x v="1"/>
    <s v="anil.kumar1141@company.com"/>
    <s v="Valid"/>
    <n v="9787139587"/>
    <s v="Valid"/>
    <x v="0"/>
  </r>
  <r>
    <x v="140"/>
    <s v="Divya"/>
    <s v="Kumar"/>
    <x v="0"/>
    <n v="22"/>
    <x v="0"/>
    <x v="4"/>
    <x v="1"/>
    <n v="38534"/>
    <s v="21-11-2019"/>
    <x v="2"/>
    <n v="2"/>
    <n v="4"/>
    <s v="No"/>
    <x v="1"/>
    <s v="divya.kumar1142@company.com"/>
    <s v="Valid"/>
    <n v="9319111537"/>
    <s v="Valid"/>
    <x v="3"/>
  </r>
  <r>
    <x v="141"/>
    <s v="Priya"/>
    <s v="Singh"/>
    <x v="0"/>
    <n v="24"/>
    <x v="2"/>
    <x v="0"/>
    <x v="0"/>
    <n v="84061"/>
    <s v="12-02-2024"/>
    <x v="0"/>
    <n v="5"/>
    <n v="2"/>
    <s v="Yes"/>
    <x v="1"/>
    <s v="priya.singh1143@company.com"/>
    <s v="Valid"/>
    <n v="9720495331"/>
    <s v="Valid"/>
    <x v="3"/>
  </r>
  <r>
    <x v="142"/>
    <s v="Ravi"/>
    <s v="Reddy"/>
    <x v="0"/>
    <n v="48"/>
    <x v="4"/>
    <x v="4"/>
    <x v="2"/>
    <n v="109101"/>
    <s v="24-01-2018"/>
    <x v="2"/>
    <n v="4"/>
    <n v="4"/>
    <s v="No"/>
    <x v="0"/>
    <s v="ravi.reddy1144@company.com"/>
    <s v="Valid"/>
    <n v="9148950873"/>
    <s v="Valid"/>
    <x v="0"/>
  </r>
  <r>
    <x v="143"/>
    <s v="Anil"/>
    <s v="Singh"/>
    <x v="0"/>
    <n v="46"/>
    <x v="4"/>
    <x v="0"/>
    <x v="0"/>
    <n v="52121"/>
    <s v="02-08-2021"/>
    <x v="2"/>
    <n v="18"/>
    <n v="5"/>
    <s v="Yes"/>
    <x v="1"/>
    <s v="anil.singh1145@company.com"/>
    <s v="Valid"/>
    <n v="9605114784"/>
    <s v="Valid"/>
    <x v="0"/>
  </r>
  <r>
    <x v="144"/>
    <s v="Arun"/>
    <s v="Reddy"/>
    <x v="1"/>
    <n v="30"/>
    <x v="1"/>
    <x v="1"/>
    <x v="4"/>
    <n v="94705"/>
    <s v="27-09-2022"/>
    <x v="2"/>
    <n v="3"/>
    <n v="3"/>
    <s v="Yes"/>
    <x v="0"/>
    <s v="arun.reddy1146@company.com"/>
    <s v="Valid"/>
    <n v="9681447659"/>
    <s v="Valid"/>
    <x v="5"/>
  </r>
  <r>
    <x v="145"/>
    <s v="Priya"/>
    <s v="Reddy"/>
    <x v="1"/>
    <n v="40"/>
    <x v="2"/>
    <x v="4"/>
    <x v="0"/>
    <n v="101400"/>
    <s v="18-11-2023"/>
    <x v="4"/>
    <n v="16"/>
    <n v="4"/>
    <s v="Yes"/>
    <x v="1"/>
    <s v="priya.reddy1147@company.com"/>
    <s v="Valid"/>
    <n v="9475963176"/>
    <s v="Valid"/>
    <x v="0"/>
  </r>
  <r>
    <x v="146"/>
    <s v="Rahul"/>
    <s v="Kumar"/>
    <x v="0"/>
    <n v="22"/>
    <x v="2"/>
    <x v="1"/>
    <x v="0"/>
    <n v="75265"/>
    <s v="20-09-2021"/>
    <x v="2"/>
    <n v="10"/>
    <n v="2"/>
    <s v="Yes"/>
    <x v="0"/>
    <s v="rahul.kumar1148@company.com"/>
    <s v="Valid"/>
    <n v="9107281799"/>
    <s v="Valid"/>
    <x v="3"/>
  </r>
  <r>
    <x v="147"/>
    <s v="Kiran"/>
    <s v="Patel"/>
    <x v="0"/>
    <n v="29"/>
    <x v="2"/>
    <x v="1"/>
    <x v="0"/>
    <n v="82710"/>
    <s v="17-08-2023"/>
    <x v="3"/>
    <n v="2"/>
    <n v="5"/>
    <s v="No"/>
    <x v="0"/>
    <s v="kiran.patel1149@company.com"/>
    <s v="Valid"/>
    <n v="9717966056"/>
    <s v="Valid"/>
    <x v="1"/>
  </r>
  <r>
    <x v="148"/>
    <s v="John"/>
    <s v="Sharma"/>
    <x v="0"/>
    <n v="33"/>
    <x v="1"/>
    <x v="4"/>
    <x v="4"/>
    <n v="60045"/>
    <s v="18-05-2022"/>
    <x v="1"/>
    <n v="9"/>
    <n v="5"/>
    <s v="No"/>
    <x v="0"/>
    <s v="john.sharma1150@company.com"/>
    <s v="Valid"/>
    <n v="9103023913"/>
    <s v="Valid"/>
    <x v="5"/>
  </r>
  <r>
    <x v="149"/>
    <s v="Ravi"/>
    <s v="Singh"/>
    <x v="1"/>
    <n v="55"/>
    <x v="1"/>
    <x v="3"/>
    <x v="0"/>
    <n v="76998"/>
    <s v="30-10-2019"/>
    <x v="4"/>
    <n v="19"/>
    <n v="2"/>
    <s v="No"/>
    <x v="1"/>
    <s v="ravi.singh1151@company.com"/>
    <s v="Valid"/>
    <n v="9204951604"/>
    <s v="Valid"/>
    <x v="2"/>
  </r>
  <r>
    <x v="150"/>
    <s v="Anil"/>
    <s v="Sharma"/>
    <x v="1"/>
    <n v="53"/>
    <x v="4"/>
    <x v="4"/>
    <x v="1"/>
    <n v="37065"/>
    <s v="29-03-2022"/>
    <x v="2"/>
    <n v="14"/>
    <n v="4"/>
    <s v="Yes"/>
    <x v="0"/>
    <s v="anil.sharma1152@company.com"/>
    <s v="Valid"/>
    <n v="9165422605"/>
    <s v="Valid"/>
    <x v="2"/>
  </r>
  <r>
    <x v="151"/>
    <s v="Kiran"/>
    <s v="Kumar"/>
    <x v="1"/>
    <n v="39"/>
    <x v="4"/>
    <x v="0"/>
    <x v="2"/>
    <n v="44302"/>
    <s v="15-07-2021"/>
    <x v="4"/>
    <n v="16"/>
    <n v="4"/>
    <s v="No"/>
    <x v="0"/>
    <s v="Missing email"/>
    <s v="Invalid"/>
    <n v="9505336585"/>
    <s v="Valid"/>
    <x v="4"/>
  </r>
  <r>
    <x v="152"/>
    <s v="Arun"/>
    <s v="Kumar"/>
    <x v="0"/>
    <n v="66"/>
    <x v="1"/>
    <x v="2"/>
    <x v="3"/>
    <n v="100180"/>
    <s v="16-06-2024"/>
    <x v="2"/>
    <n v="18"/>
    <n v="5"/>
    <s v="Yes"/>
    <x v="0"/>
    <s v="arun.kumar1154@company.com"/>
    <s v="Valid"/>
    <n v="9328111735"/>
    <s v="Valid"/>
    <x v="2"/>
  </r>
  <r>
    <x v="153"/>
    <s v="John"/>
    <s v="Kumar"/>
    <x v="1"/>
    <n v="35"/>
    <x v="2"/>
    <x v="1"/>
    <x v="2"/>
    <n v="68572"/>
    <s v="23-08-2019"/>
    <x v="1"/>
    <n v="22"/>
    <n v="3"/>
    <s v="Yes"/>
    <x v="0"/>
    <s v="john.kumar1155@company.com"/>
    <s v="Valid"/>
    <n v="9451094656"/>
    <s v="Valid"/>
    <x v="4"/>
  </r>
  <r>
    <x v="154"/>
    <s v="Meena"/>
    <s v="Patel"/>
    <x v="1"/>
    <n v="40"/>
    <x v="0"/>
    <x v="0"/>
    <x v="3"/>
    <n v="88522"/>
    <s v="17-11-2022"/>
    <x v="1"/>
    <n v="22"/>
    <n v="5"/>
    <s v="Yes"/>
    <x v="0"/>
    <s v="meena.patel1156@company.com"/>
    <s v="Valid"/>
    <n v="9289065275"/>
    <s v="Valid"/>
    <x v="0"/>
  </r>
  <r>
    <x v="155"/>
    <s v="John"/>
    <s v="Singh"/>
    <x v="1"/>
    <n v="34"/>
    <x v="4"/>
    <x v="3"/>
    <x v="4"/>
    <n v="105227"/>
    <s v="09-09-2021"/>
    <x v="4"/>
    <n v="14"/>
    <n v="3"/>
    <s v="Yes"/>
    <x v="0"/>
    <s v="john.singh1157@company.com"/>
    <s v="Valid"/>
    <n v="9532663944"/>
    <s v="Valid"/>
    <x v="5"/>
  </r>
  <r>
    <x v="156"/>
    <s v="Arun"/>
    <s v="Sharma"/>
    <x v="0"/>
    <n v="40"/>
    <x v="2"/>
    <x v="4"/>
    <x v="3"/>
    <n v="50393"/>
    <s v="23-04-2021"/>
    <x v="1"/>
    <n v="19"/>
    <n v="4"/>
    <s v="No"/>
    <x v="1"/>
    <s v="arun.sharma1158@company.com"/>
    <s v="Valid"/>
    <n v="9427821749"/>
    <s v="Valid"/>
    <x v="0"/>
  </r>
  <r>
    <x v="157"/>
    <s v="Kiran"/>
    <s v="Singh"/>
    <x v="1"/>
    <n v="43"/>
    <x v="4"/>
    <x v="1"/>
    <x v="3"/>
    <n v="102208"/>
    <s v="19-02-2020"/>
    <x v="1"/>
    <n v="5"/>
    <n v="2"/>
    <s v="Yes"/>
    <x v="0"/>
    <s v="kiran.singh1159@company.com"/>
    <s v="Valid"/>
    <n v="9134756193"/>
    <s v="Valid"/>
    <x v="0"/>
  </r>
  <r>
    <x v="158"/>
    <s v="Anil"/>
    <s v="Kumar"/>
    <x v="0"/>
    <n v="48"/>
    <x v="1"/>
    <x v="0"/>
    <x v="1"/>
    <n v="47432"/>
    <s v="28-11-2024"/>
    <x v="2"/>
    <n v="5"/>
    <n v="2"/>
    <s v="No"/>
    <x v="1"/>
    <s v="anil.kumar1160@company.com"/>
    <s v="Valid"/>
    <n v="9095780967"/>
    <s v="Valid"/>
    <x v="0"/>
  </r>
  <r>
    <x v="159"/>
    <s v="Kiran"/>
    <s v="Patel"/>
    <x v="1"/>
    <n v="40"/>
    <x v="3"/>
    <x v="1"/>
    <x v="2"/>
    <n v="80924"/>
    <s v="29-06-2018"/>
    <x v="1"/>
    <n v="8"/>
    <n v="1"/>
    <s v="No"/>
    <x v="1"/>
    <s v="kiran.patel1161@company.com"/>
    <s v="Valid"/>
    <n v="9406651334"/>
    <s v="Valid"/>
    <x v="0"/>
  </r>
  <r>
    <x v="160"/>
    <s v="Kiran"/>
    <s v="Reddy"/>
    <x v="1"/>
    <n v="44"/>
    <x v="0"/>
    <x v="3"/>
    <x v="1"/>
    <n v="25470"/>
    <s v="15-10-2022"/>
    <x v="2"/>
    <n v="21"/>
    <n v="1"/>
    <s v="Yes"/>
    <x v="0"/>
    <s v="kiran.reddy1162@company.com"/>
    <s v="Valid"/>
    <n v="9881524904"/>
    <s v="Valid"/>
    <x v="0"/>
  </r>
  <r>
    <x v="161"/>
    <s v="Meena"/>
    <s v="Singh"/>
    <x v="1"/>
    <n v="47"/>
    <x v="0"/>
    <x v="4"/>
    <x v="2"/>
    <n v="54023"/>
    <s v="02-09-2019"/>
    <x v="4"/>
    <n v="13"/>
    <n v="1"/>
    <s v="No"/>
    <x v="1"/>
    <s v="meena.singh1163@company.com"/>
    <s v="Valid"/>
    <n v="9186822786"/>
    <s v="Valid"/>
    <x v="0"/>
  </r>
  <r>
    <x v="162"/>
    <s v="Ravi"/>
    <s v="Singh"/>
    <x v="0"/>
    <n v="40"/>
    <x v="4"/>
    <x v="0"/>
    <x v="1"/>
    <n v="110433"/>
    <s v="13-04-2024"/>
    <x v="4"/>
    <n v="14"/>
    <n v="1"/>
    <s v="Yes"/>
    <x v="0"/>
    <s v="Missing email"/>
    <s v="Invalid"/>
    <n v="9221191821"/>
    <s v="Valid"/>
    <x v="0"/>
  </r>
  <r>
    <x v="163"/>
    <s v="Arun"/>
    <s v="Sharma"/>
    <x v="0"/>
    <n v="49"/>
    <x v="3"/>
    <x v="4"/>
    <x v="4"/>
    <n v="107713"/>
    <s v="18-03-2023"/>
    <x v="0"/>
    <n v="11"/>
    <n v="2"/>
    <s v="No"/>
    <x v="1"/>
    <s v="arun.sharma1165@company.com"/>
    <s v="Valid"/>
    <n v="9135278148"/>
    <s v="Valid"/>
    <x v="0"/>
  </r>
  <r>
    <x v="164"/>
    <s v="Rahul"/>
    <s v="Sharma"/>
    <x v="1"/>
    <n v="26"/>
    <x v="3"/>
    <x v="4"/>
    <x v="3"/>
    <n v="104777"/>
    <s v="08-09-2019"/>
    <x v="4"/>
    <n v="24"/>
    <n v="2"/>
    <s v="Yes"/>
    <x v="0"/>
    <s v="rahul.sharma1166@company.com"/>
    <s v="Valid"/>
    <n v="9888510011"/>
    <s v="Valid"/>
    <x v="1"/>
  </r>
  <r>
    <x v="165"/>
    <s v="Sneha"/>
    <s v="Singh"/>
    <x v="1"/>
    <n v="48"/>
    <x v="3"/>
    <x v="4"/>
    <x v="1"/>
    <n v="47848"/>
    <s v="26-02-2024"/>
    <x v="2"/>
    <n v="1"/>
    <n v="2"/>
    <s v="Yes"/>
    <x v="1"/>
    <s v="sneha.singh1167@company.com"/>
    <s v="Valid"/>
    <n v="9460312009"/>
    <s v="Valid"/>
    <x v="0"/>
  </r>
  <r>
    <x v="166"/>
    <s v="Rahul"/>
    <s v="Singh"/>
    <x v="1"/>
    <n v="24"/>
    <x v="3"/>
    <x v="2"/>
    <x v="2"/>
    <n v="60873"/>
    <s v="19-08-2021"/>
    <x v="2"/>
    <n v="2"/>
    <n v="1"/>
    <s v="Yes"/>
    <x v="0"/>
    <s v="Missing email"/>
    <s v="Invalid"/>
    <n v="9116164232"/>
    <s v="Valid"/>
    <x v="3"/>
  </r>
  <r>
    <x v="167"/>
    <s v="Sneha"/>
    <s v="Reddy"/>
    <x v="1"/>
    <n v="36"/>
    <x v="3"/>
    <x v="0"/>
    <x v="4"/>
    <n v="107502"/>
    <s v="16-07-2022"/>
    <x v="0"/>
    <n v="22"/>
    <n v="1"/>
    <s v="No"/>
    <x v="0"/>
    <s v="sneha.reddy1169@company.com"/>
    <s v="Valid"/>
    <n v="9535138433"/>
    <s v="Valid"/>
    <x v="4"/>
  </r>
  <r>
    <x v="168"/>
    <s v="Arun"/>
    <s v="Kumar"/>
    <x v="0"/>
    <n v="24"/>
    <x v="4"/>
    <x v="4"/>
    <x v="0"/>
    <n v="112982"/>
    <s v="06-03-2023"/>
    <x v="2"/>
    <n v="16"/>
    <n v="4"/>
    <s v="No"/>
    <x v="0"/>
    <s v="arun.kumar1170@company.com"/>
    <s v="Valid"/>
    <n v="9236262800"/>
    <s v="Valid"/>
    <x v="3"/>
  </r>
  <r>
    <x v="169"/>
    <s v="Kiran"/>
    <s v="Sharma"/>
    <x v="0"/>
    <n v="41"/>
    <x v="0"/>
    <x v="3"/>
    <x v="1"/>
    <n v="53145"/>
    <s v="06-03-2019"/>
    <x v="3"/>
    <n v="9"/>
    <n v="5"/>
    <s v="No"/>
    <x v="1"/>
    <s v="kiran.sharma1171@company.com"/>
    <s v="Valid"/>
    <n v="9989307158"/>
    <s v="Valid"/>
    <x v="0"/>
  </r>
  <r>
    <x v="170"/>
    <s v="Meena"/>
    <s v="Singh"/>
    <x v="0"/>
    <n v="42"/>
    <x v="2"/>
    <x v="3"/>
    <x v="4"/>
    <n v="77890"/>
    <s v="27-10-2019"/>
    <x v="2"/>
    <n v="12"/>
    <n v="2"/>
    <s v="No"/>
    <x v="1"/>
    <s v="meena.singh1172@company.com"/>
    <s v="Valid"/>
    <n v="9022744418"/>
    <s v="Valid"/>
    <x v="0"/>
  </r>
  <r>
    <x v="171"/>
    <s v="Arun"/>
    <s v="Singh"/>
    <x v="0"/>
    <n v="49"/>
    <x v="0"/>
    <x v="2"/>
    <x v="3"/>
    <n v="40637"/>
    <s v="16-12-2021"/>
    <x v="0"/>
    <n v="13"/>
    <n v="1"/>
    <s v="Yes"/>
    <x v="1"/>
    <s v="arun.singh1173@company.com"/>
    <s v="Valid"/>
    <n v="9663995574"/>
    <s v="Valid"/>
    <x v="0"/>
  </r>
  <r>
    <x v="172"/>
    <s v="Divya"/>
    <s v="Sharma"/>
    <x v="0"/>
    <n v="33"/>
    <x v="0"/>
    <x v="0"/>
    <x v="1"/>
    <s v="Missing"/>
    <s v="26-05-2022"/>
    <x v="0"/>
    <n v="9"/>
    <n v="2"/>
    <s v="No"/>
    <x v="1"/>
    <s v="divya.sharma1174@company.com"/>
    <s v="Valid"/>
    <n v="9403177205"/>
    <s v="Valid"/>
    <x v="5"/>
  </r>
  <r>
    <x v="173"/>
    <s v="John"/>
    <s v="Singh"/>
    <x v="0"/>
    <n v="35"/>
    <x v="0"/>
    <x v="0"/>
    <x v="1"/>
    <n v="52397"/>
    <s v="17-07-2021"/>
    <x v="2"/>
    <n v="9"/>
    <n v="3"/>
    <s v="No"/>
    <x v="1"/>
    <s v="john.singh1175@company.com"/>
    <s v="Valid"/>
    <n v="9264640614"/>
    <s v="Valid"/>
    <x v="4"/>
  </r>
  <r>
    <x v="174"/>
    <s v="John"/>
    <s v="Kumar"/>
    <x v="0"/>
    <n v="50"/>
    <x v="0"/>
    <x v="2"/>
    <x v="0"/>
    <n v="104569"/>
    <s v="16-06-2018"/>
    <x v="2"/>
    <n v="25"/>
    <n v="1"/>
    <s v="No"/>
    <x v="0"/>
    <s v="john.kumar1176@company.com"/>
    <s v="Valid"/>
    <n v="9347655719"/>
    <s v="Valid"/>
    <x v="2"/>
  </r>
  <r>
    <x v="175"/>
    <s v="Arun"/>
    <s v="Reddy"/>
    <x v="1"/>
    <n v="56"/>
    <x v="1"/>
    <x v="0"/>
    <x v="0"/>
    <n v="37646"/>
    <s v="14-02-2018"/>
    <x v="3"/>
    <n v="11"/>
    <n v="3"/>
    <s v="No"/>
    <x v="1"/>
    <s v="arun.reddy1177@company.com"/>
    <s v="Valid"/>
    <n v="9451587618"/>
    <s v="Valid"/>
    <x v="2"/>
  </r>
  <r>
    <x v="176"/>
    <s v="Anil"/>
    <s v="Patel"/>
    <x v="0"/>
    <n v="38"/>
    <x v="0"/>
    <x v="0"/>
    <x v="3"/>
    <n v="52331"/>
    <s v="18-11-2021"/>
    <x v="1"/>
    <n v="21"/>
    <n v="5"/>
    <s v="Yes"/>
    <x v="1"/>
    <s v="anil.patel1178@company.com"/>
    <s v="Valid"/>
    <n v="9685260543"/>
    <s v="Valid"/>
    <x v="4"/>
  </r>
  <r>
    <x v="177"/>
    <s v="Sneha"/>
    <s v="Sharma"/>
    <x v="1"/>
    <n v="28"/>
    <x v="3"/>
    <x v="4"/>
    <x v="4"/>
    <n v="94282"/>
    <s v="06-12-2021"/>
    <x v="0"/>
    <n v="7"/>
    <n v="2"/>
    <s v="Yes"/>
    <x v="1"/>
    <s v="sneha.sharma1179@company.com"/>
    <s v="Valid"/>
    <n v="9787326313"/>
    <s v="Valid"/>
    <x v="1"/>
  </r>
  <r>
    <x v="178"/>
    <s v="Anil"/>
    <s v="Singh"/>
    <x v="1"/>
    <n v="32"/>
    <x v="2"/>
    <x v="3"/>
    <x v="4"/>
    <n v="36624"/>
    <s v="04-03-2019"/>
    <x v="3"/>
    <n v="8"/>
    <n v="5"/>
    <s v="No"/>
    <x v="0"/>
    <s v="anil.singh1180@company.com"/>
    <s v="Valid"/>
    <n v="9622181854"/>
    <s v="Valid"/>
    <x v="5"/>
  </r>
  <r>
    <x v="179"/>
    <s v="Rahul"/>
    <s v="Patel"/>
    <x v="1"/>
    <n v="56"/>
    <x v="1"/>
    <x v="2"/>
    <x v="1"/>
    <n v="27552"/>
    <s v="09-02-2019"/>
    <x v="2"/>
    <n v="10"/>
    <n v="2"/>
    <s v="No"/>
    <x v="1"/>
    <s v="rahul.patel1181@company.com"/>
    <s v="Valid"/>
    <n v="9260647902"/>
    <s v="Valid"/>
    <x v="2"/>
  </r>
  <r>
    <x v="180"/>
    <s v="John"/>
    <s v="Reddy"/>
    <x v="0"/>
    <n v="44"/>
    <x v="2"/>
    <x v="3"/>
    <x v="0"/>
    <n v="55361"/>
    <s v="03-02-2018"/>
    <x v="4"/>
    <n v="18"/>
    <n v="3"/>
    <s v="No"/>
    <x v="0"/>
    <s v="john.reddy1182@company.com"/>
    <s v="Valid"/>
    <n v="9035193576"/>
    <s v="Valid"/>
    <x v="0"/>
  </r>
  <r>
    <x v="181"/>
    <s v="Rahul"/>
    <s v="Patel"/>
    <x v="1"/>
    <n v="39"/>
    <x v="1"/>
    <x v="3"/>
    <x v="3"/>
    <n v="46481"/>
    <s v="28-08-2020"/>
    <x v="1"/>
    <n v="20"/>
    <n v="1"/>
    <s v="Yes"/>
    <x v="1"/>
    <s v="rahul.patel1183@company.com"/>
    <s v="Valid"/>
    <n v="9771874144"/>
    <s v="Valid"/>
    <x v="4"/>
  </r>
  <r>
    <x v="182"/>
    <s v="Arun"/>
    <s v="Reddy"/>
    <x v="0"/>
    <n v="30"/>
    <x v="1"/>
    <x v="4"/>
    <x v="2"/>
    <n v="41134"/>
    <s v="16-07-2019"/>
    <x v="4"/>
    <n v="17"/>
    <n v="3"/>
    <s v="No"/>
    <x v="1"/>
    <s v="arun.reddy1184@company.com"/>
    <s v="Valid"/>
    <n v="9295999694"/>
    <s v="Valid"/>
    <x v="5"/>
  </r>
  <r>
    <x v="183"/>
    <s v="Meena"/>
    <s v="Kumar"/>
    <x v="0"/>
    <n v="32"/>
    <x v="0"/>
    <x v="3"/>
    <x v="3"/>
    <n v="81694"/>
    <s v="05-10-2021"/>
    <x v="3"/>
    <n v="20"/>
    <n v="5"/>
    <s v="Yes"/>
    <x v="0"/>
    <s v="meena.kumar1185company.com"/>
    <s v="Invalid"/>
    <n v="9420563966"/>
    <s v="Valid"/>
    <x v="5"/>
  </r>
  <r>
    <x v="184"/>
    <s v="Kiran"/>
    <s v="Kumar"/>
    <x v="0"/>
    <n v="55"/>
    <x v="1"/>
    <x v="2"/>
    <x v="2"/>
    <n v="47729"/>
    <s v="17-05-2024"/>
    <x v="3"/>
    <n v="20"/>
    <n v="1"/>
    <s v="No"/>
    <x v="1"/>
    <s v="kiran.kumar1186@company.com"/>
    <s v="Valid"/>
    <n v="9605090029"/>
    <s v="Valid"/>
    <x v="2"/>
  </r>
  <r>
    <x v="185"/>
    <s v="Divya"/>
    <s v="Singh"/>
    <x v="1"/>
    <n v="48"/>
    <x v="1"/>
    <x v="2"/>
    <x v="4"/>
    <n v="98924"/>
    <s v="22-05-2023"/>
    <x v="3"/>
    <n v="23"/>
    <n v="2"/>
    <s v="Yes"/>
    <x v="1"/>
    <s v="divya.singh1187@company.com"/>
    <s v="Valid"/>
    <n v="9138447206"/>
    <s v="Valid"/>
    <x v="0"/>
  </r>
  <r>
    <x v="186"/>
    <s v="Sneha"/>
    <s v="Reddy"/>
    <x v="1"/>
    <n v="47"/>
    <x v="4"/>
    <x v="3"/>
    <x v="3"/>
    <n v="74108"/>
    <s v="26-01-2019"/>
    <x v="1"/>
    <n v="13"/>
    <n v="2"/>
    <s v="No"/>
    <x v="1"/>
    <s v="sneha.reddy1188@company.com"/>
    <s v="Valid"/>
    <n v="9707048344"/>
    <s v="Valid"/>
    <x v="0"/>
  </r>
  <r>
    <x v="187"/>
    <s v="Rahul"/>
    <s v="Patel"/>
    <x v="1"/>
    <n v="56"/>
    <x v="3"/>
    <x v="2"/>
    <x v="1"/>
    <n v="-63827"/>
    <s v="12-06-2018"/>
    <x v="1"/>
    <n v="13"/>
    <n v="3"/>
    <s v="No"/>
    <x v="0"/>
    <s v="rahul.patel1189@company.com"/>
    <s v="Valid"/>
    <n v="9199998478"/>
    <s v="Valid"/>
    <x v="2"/>
  </r>
  <r>
    <x v="188"/>
    <s v="John"/>
    <s v="Sharma"/>
    <x v="0"/>
    <n v="28"/>
    <x v="3"/>
    <x v="1"/>
    <x v="1"/>
    <n v="94175"/>
    <s v="25-05-2023"/>
    <x v="4"/>
    <n v="7"/>
    <n v="3"/>
    <s v="Yes"/>
    <x v="1"/>
    <s v="john.sharma1190@company.com"/>
    <s v="Valid"/>
    <n v="9195615255"/>
    <s v="Valid"/>
    <x v="1"/>
  </r>
  <r>
    <x v="189"/>
    <s v="Ravi"/>
    <s v="Sharma"/>
    <x v="1"/>
    <n v="50"/>
    <x v="2"/>
    <x v="4"/>
    <x v="1"/>
    <n v="29365"/>
    <s v="11-03-2024"/>
    <x v="1"/>
    <n v="19"/>
    <n v="2"/>
    <s v="Yes"/>
    <x v="1"/>
    <s v="ravi.sharma1191@company.com"/>
    <s v="Valid"/>
    <n v="99623506"/>
    <s v="Invalid"/>
    <x v="2"/>
  </r>
  <r>
    <x v="190"/>
    <s v="Sneha"/>
    <s v="Singh"/>
    <x v="1"/>
    <n v="49"/>
    <x v="2"/>
    <x v="2"/>
    <x v="1"/>
    <n v="60537"/>
    <s v="16-08-2019"/>
    <x v="1"/>
    <n v="15"/>
    <n v="3"/>
    <s v="No"/>
    <x v="1"/>
    <s v="sneha.singh1192@company.com"/>
    <s v="Valid"/>
    <n v="9414059717"/>
    <s v="Valid"/>
    <x v="0"/>
  </r>
  <r>
    <x v="191"/>
    <s v="Priya"/>
    <s v="Patel"/>
    <x v="1"/>
    <n v="46"/>
    <x v="4"/>
    <x v="0"/>
    <x v="1"/>
    <n v="55745"/>
    <s v="25-07-2019"/>
    <x v="1"/>
    <n v="25"/>
    <n v="4"/>
    <s v="No"/>
    <x v="0"/>
    <s v="priya.patel1193@company.com"/>
    <s v="Valid"/>
    <n v="9728986190"/>
    <s v="Valid"/>
    <x v="0"/>
  </r>
  <r>
    <x v="192"/>
    <s v="Priya"/>
    <s v="Sharma"/>
    <x v="0"/>
    <n v="44"/>
    <x v="3"/>
    <x v="4"/>
    <x v="3"/>
    <n v="70270"/>
    <s v="16-07-2020"/>
    <x v="4"/>
    <n v="8"/>
    <n v="4"/>
    <s v="Yes"/>
    <x v="1"/>
    <s v="priya.sharma1194@company.com"/>
    <s v="Valid"/>
    <n v="9490716040"/>
    <s v="Valid"/>
    <x v="0"/>
  </r>
  <r>
    <x v="193"/>
    <s v="Anil"/>
    <s v="Sharma"/>
    <x v="0"/>
    <n v="34"/>
    <x v="2"/>
    <x v="0"/>
    <x v="3"/>
    <n v="43562"/>
    <s v="09-05-2024"/>
    <x v="1"/>
    <n v="2"/>
    <n v="2"/>
    <s v="No"/>
    <x v="0"/>
    <s v="anil.sharma1195@company.com"/>
    <s v="Valid"/>
    <n v="9952794756"/>
    <s v="Valid"/>
    <x v="5"/>
  </r>
  <r>
    <x v="194"/>
    <s v="Divya"/>
    <s v="Singh"/>
    <x v="0"/>
    <n v="48"/>
    <x v="4"/>
    <x v="3"/>
    <x v="0"/>
    <n v="96090"/>
    <s v="01-04-2020"/>
    <x v="3"/>
    <n v="21"/>
    <n v="1"/>
    <s v="Yes"/>
    <x v="0"/>
    <s v="divya.singh1196@company.com"/>
    <s v="Valid"/>
    <n v="9181423219"/>
    <s v="Valid"/>
    <x v="0"/>
  </r>
  <r>
    <x v="195"/>
    <s v="Meena"/>
    <s v="Reddy"/>
    <x v="0"/>
    <n v="48"/>
    <x v="4"/>
    <x v="1"/>
    <x v="4"/>
    <n v="41080"/>
    <s v="24-03-2024"/>
    <x v="1"/>
    <n v="13"/>
    <n v="3"/>
    <s v="Yes"/>
    <x v="0"/>
    <s v="meena.reddy1197@company.com"/>
    <s v="Valid"/>
    <n v="9960147130"/>
    <s v="Valid"/>
    <x v="0"/>
  </r>
  <r>
    <x v="196"/>
    <s v="Rahul"/>
    <s v="Kumar"/>
    <x v="0"/>
    <n v="56"/>
    <x v="0"/>
    <x v="3"/>
    <x v="3"/>
    <n v="116891"/>
    <s v="01-06-2023"/>
    <x v="4"/>
    <n v="14"/>
    <n v="5"/>
    <s v="Yes"/>
    <x v="0"/>
    <s v="rahul.kumar1198@company.com"/>
    <s v="Valid"/>
    <n v="9122331674"/>
    <s v="Valid"/>
    <x v="2"/>
  </r>
  <r>
    <x v="197"/>
    <s v="Ravi"/>
    <s v="Kumar"/>
    <x v="0"/>
    <n v="53"/>
    <x v="4"/>
    <x v="4"/>
    <x v="3"/>
    <n v="54781"/>
    <s v="18-01-2025"/>
    <x v="2"/>
    <n v="22"/>
    <n v="4"/>
    <s v="Yes"/>
    <x v="0"/>
    <s v="ravi.kumar1199@company.com"/>
    <s v="Valid"/>
    <n v="9699879638"/>
    <s v="Valid"/>
    <x v="2"/>
  </r>
  <r>
    <x v="198"/>
    <s v="Divya"/>
    <s v="Patel"/>
    <x v="0"/>
    <n v="53"/>
    <x v="1"/>
    <x v="3"/>
    <x v="3"/>
    <n v="99932"/>
    <s v="10-09-2019"/>
    <x v="3"/>
    <n v="8"/>
    <n v="3"/>
    <s v="No"/>
    <x v="0"/>
    <s v="divya.patel1200@company.com"/>
    <s v="Valid"/>
    <n v="9847016355"/>
    <s v="Valid"/>
    <x v="2"/>
  </r>
  <r>
    <x v="199"/>
    <s v="Divya"/>
    <s v="Patel"/>
    <x v="1"/>
    <n v="43"/>
    <x v="0"/>
    <x v="1"/>
    <x v="3"/>
    <n v="30229"/>
    <s v="19-07-2023"/>
    <x v="1"/>
    <n v="6"/>
    <n v="3"/>
    <s v="Yes"/>
    <x v="0"/>
    <s v="divya.patel1201@company.com"/>
    <s v="Valid"/>
    <n v="9110021842"/>
    <s v="Valid"/>
    <x v="0"/>
  </r>
  <r>
    <x v="200"/>
    <s v="Meena"/>
    <s v="Patel"/>
    <x v="0"/>
    <n v="39"/>
    <x v="2"/>
    <x v="2"/>
    <x v="2"/>
    <n v="25225"/>
    <s v="16-01-2018"/>
    <x v="3"/>
    <n v="20"/>
    <n v="4"/>
    <s v="Yes"/>
    <x v="1"/>
    <s v="meena.patel1202@company.com"/>
    <s v="Valid"/>
    <n v="9571618380"/>
    <s v="Valid"/>
    <x v="4"/>
  </r>
  <r>
    <x v="201"/>
    <s v="Divya"/>
    <s v="Kumar"/>
    <x v="0"/>
    <n v="41"/>
    <x v="3"/>
    <x v="1"/>
    <x v="4"/>
    <n v="105265"/>
    <s v="28-11-2024"/>
    <x v="0"/>
    <n v="22"/>
    <n v="5"/>
    <s v="No"/>
    <x v="0"/>
    <s v="divya.kumar1203@company.com"/>
    <s v="Valid"/>
    <n v="9421494991"/>
    <s v="Valid"/>
    <x v="0"/>
  </r>
  <r>
    <x v="202"/>
    <s v="Arun"/>
    <s v="Sharma"/>
    <x v="1"/>
    <n v="26"/>
    <x v="4"/>
    <x v="0"/>
    <x v="4"/>
    <n v="30479"/>
    <s v="07-06-2018"/>
    <x v="1"/>
    <n v="5"/>
    <n v="2"/>
    <s v="No"/>
    <x v="1"/>
    <s v="arun.sharma1204@company.com"/>
    <s v="Valid"/>
    <n v="9956711724"/>
    <s v="Valid"/>
    <x v="1"/>
  </r>
  <r>
    <x v="203"/>
    <s v="Arun"/>
    <s v="Sharma"/>
    <x v="0"/>
    <n v="48"/>
    <x v="3"/>
    <x v="1"/>
    <x v="3"/>
    <n v="56956"/>
    <s v="31-03-2018"/>
    <x v="4"/>
    <n v="14"/>
    <n v="3"/>
    <s v="No"/>
    <x v="1"/>
    <s v="arun.sharma1205@company.com"/>
    <s v="Valid"/>
    <n v="9539518127"/>
    <s v="Valid"/>
    <x v="0"/>
  </r>
  <r>
    <x v="204"/>
    <s v="Priya"/>
    <s v="Patel"/>
    <x v="0"/>
    <n v="58"/>
    <x v="4"/>
    <x v="2"/>
    <x v="1"/>
    <n v="60620"/>
    <s v="06-02-2021"/>
    <x v="4"/>
    <n v="18"/>
    <n v="2"/>
    <s v="Yes"/>
    <x v="1"/>
    <s v="priya.patel1206@company.com"/>
    <s v="Valid"/>
    <n v="9260211299"/>
    <s v="Valid"/>
    <x v="2"/>
  </r>
  <r>
    <x v="205"/>
    <s v="Anil"/>
    <s v="Singh"/>
    <x v="0"/>
    <n v="31"/>
    <x v="1"/>
    <x v="1"/>
    <x v="1"/>
    <n v="32620"/>
    <s v="23-06-2023"/>
    <x v="1"/>
    <n v="10"/>
    <n v="1"/>
    <s v="Yes"/>
    <x v="0"/>
    <s v="anil.singh1207@company.com"/>
    <s v="Valid"/>
    <n v="9824590259"/>
    <s v="Valid"/>
    <x v="5"/>
  </r>
  <r>
    <x v="206"/>
    <s v="Divya"/>
    <s v="Patel"/>
    <x v="0"/>
    <n v="25"/>
    <x v="0"/>
    <x v="2"/>
    <x v="4"/>
    <n v="43271"/>
    <s v="28-09-2019"/>
    <x v="1"/>
    <n v="5"/>
    <n v="2"/>
    <s v="Yes"/>
    <x v="0"/>
    <s v="divya.patel1208@company.com"/>
    <s v="Valid"/>
    <n v="9541631609"/>
    <s v="Valid"/>
    <x v="1"/>
  </r>
  <r>
    <x v="207"/>
    <s v="Sneha"/>
    <s v="Patel"/>
    <x v="1"/>
    <n v="51"/>
    <x v="0"/>
    <x v="2"/>
    <x v="3"/>
    <n v="93089"/>
    <s v="07-09-2023"/>
    <x v="3"/>
    <n v="2"/>
    <n v="1"/>
    <s v="No"/>
    <x v="1"/>
    <s v="sneha.patel1209@company.com"/>
    <s v="Valid"/>
    <n v="96753391"/>
    <s v="Invalid"/>
    <x v="2"/>
  </r>
  <r>
    <x v="208"/>
    <s v="John"/>
    <s v="Sharma"/>
    <x v="0"/>
    <n v="58"/>
    <x v="4"/>
    <x v="2"/>
    <x v="1"/>
    <n v="48123"/>
    <s v="04-11-2022"/>
    <x v="3"/>
    <n v="25"/>
    <n v="2"/>
    <s v="No"/>
    <x v="1"/>
    <s v="john.sharma1210@company.com"/>
    <s v="Valid"/>
    <n v="9886510952"/>
    <s v="Valid"/>
    <x v="2"/>
  </r>
  <r>
    <x v="209"/>
    <s v="Kiran"/>
    <s v="Kumar"/>
    <x v="0"/>
    <n v="36"/>
    <x v="0"/>
    <x v="3"/>
    <x v="3"/>
    <n v="34832"/>
    <s v="24-02-2021"/>
    <x v="4"/>
    <n v="22"/>
    <n v="4"/>
    <s v="No"/>
    <x v="0"/>
    <s v="kiran.kumar1211@company.com"/>
    <s v="Valid"/>
    <n v="9530146288"/>
    <s v="Valid"/>
    <x v="4"/>
  </r>
  <r>
    <x v="210"/>
    <s v="Arun"/>
    <s v="Singh"/>
    <x v="0"/>
    <n v="54"/>
    <x v="2"/>
    <x v="0"/>
    <x v="1"/>
    <n v="41016"/>
    <s v="30-08-2020"/>
    <x v="1"/>
    <n v="9"/>
    <n v="2"/>
    <s v="No"/>
    <x v="1"/>
    <s v="arun.singh1212@company.com"/>
    <s v="Valid"/>
    <n v="9528156445"/>
    <s v="Valid"/>
    <x v="2"/>
  </r>
  <r>
    <x v="211"/>
    <s v="Anil"/>
    <s v="Singh"/>
    <x v="1"/>
    <n v="37"/>
    <x v="3"/>
    <x v="0"/>
    <x v="4"/>
    <n v="108075"/>
    <s v="19-04-2023"/>
    <x v="4"/>
    <n v="2"/>
    <n v="5"/>
    <s v="Yes"/>
    <x v="0"/>
    <s v="anil.singh1213@company.com"/>
    <s v="Valid"/>
    <n v="9540834508"/>
    <s v="Valid"/>
    <x v="4"/>
  </r>
  <r>
    <x v="212"/>
    <s v="Priya"/>
    <s v="Patel"/>
    <x v="1"/>
    <n v="41"/>
    <x v="4"/>
    <x v="2"/>
    <x v="0"/>
    <n v="75754"/>
    <s v="24-05-2021"/>
    <x v="2"/>
    <n v="13"/>
    <n v="2"/>
    <s v="Yes"/>
    <x v="0"/>
    <s v="Missing email"/>
    <s v="Invalid"/>
    <n v="9362321018"/>
    <s v="Valid"/>
    <x v="0"/>
  </r>
  <r>
    <x v="213"/>
    <s v="Kiran"/>
    <s v="Sharma"/>
    <x v="0"/>
    <n v="55"/>
    <x v="4"/>
    <x v="1"/>
    <x v="2"/>
    <n v="69138"/>
    <s v="18-07-2023"/>
    <x v="4"/>
    <n v="19"/>
    <n v="1"/>
    <s v="No"/>
    <x v="1"/>
    <s v="kiran.sharma1215@company.com"/>
    <s v="Valid"/>
    <n v="9154698407"/>
    <s v="Valid"/>
    <x v="2"/>
  </r>
  <r>
    <x v="214"/>
    <s v="John"/>
    <s v="Patel"/>
    <x v="0"/>
    <n v="25"/>
    <x v="2"/>
    <x v="0"/>
    <x v="1"/>
    <n v="85373"/>
    <s v="15-04-2024"/>
    <x v="2"/>
    <n v="20"/>
    <n v="2"/>
    <s v="Yes"/>
    <x v="1"/>
    <s v="john.patel1216@company.com"/>
    <s v="Valid"/>
    <n v="9777438793"/>
    <s v="Valid"/>
    <x v="1"/>
  </r>
  <r>
    <x v="215"/>
    <s v="Priya"/>
    <s v="Patel"/>
    <x v="1"/>
    <n v="48"/>
    <x v="0"/>
    <x v="0"/>
    <x v="1"/>
    <n v="79205"/>
    <s v="11-05-2019"/>
    <x v="1"/>
    <n v="7"/>
    <n v="2"/>
    <s v="No"/>
    <x v="1"/>
    <s v="priya.patel1217company.com"/>
    <s v="Invalid"/>
    <n v="9888076199"/>
    <s v="Valid"/>
    <x v="0"/>
  </r>
  <r>
    <x v="216"/>
    <s v="Priya"/>
    <s v="Patel"/>
    <x v="1"/>
    <n v="30"/>
    <x v="0"/>
    <x v="4"/>
    <x v="2"/>
    <n v="107729"/>
    <s v="06-03-2018"/>
    <x v="0"/>
    <n v="11"/>
    <n v="1"/>
    <s v="Yes"/>
    <x v="1"/>
    <s v="priya.patel1218@company.com"/>
    <s v="Valid"/>
    <n v="9236208513"/>
    <s v="Valid"/>
    <x v="5"/>
  </r>
  <r>
    <x v="217"/>
    <s v="Anil"/>
    <s v="Patel"/>
    <x v="1"/>
    <n v="28"/>
    <x v="2"/>
    <x v="3"/>
    <x v="3"/>
    <n v="64355"/>
    <s v="02-07-2024"/>
    <x v="4"/>
    <n v="6"/>
    <n v="2"/>
    <s v="Yes"/>
    <x v="0"/>
    <s v="anil.patel1219@company.com"/>
    <s v="Valid"/>
    <n v="9252371726"/>
    <s v="Valid"/>
    <x v="1"/>
  </r>
  <r>
    <x v="218"/>
    <s v="Rahul"/>
    <s v="Reddy"/>
    <x v="1"/>
    <n v="26"/>
    <x v="3"/>
    <x v="1"/>
    <x v="1"/>
    <n v="29463"/>
    <s v="09-06-2020"/>
    <x v="1"/>
    <n v="18"/>
    <n v="2"/>
    <s v="Yes"/>
    <x v="1"/>
    <s v="rahul.reddy1220@company.com"/>
    <s v="Valid"/>
    <n v="9551702516"/>
    <s v="Valid"/>
    <x v="1"/>
  </r>
  <r>
    <x v="219"/>
    <s v="Ravi"/>
    <s v="Patel"/>
    <x v="0"/>
    <n v="40"/>
    <x v="0"/>
    <x v="0"/>
    <x v="2"/>
    <n v="37469"/>
    <s v="18-05-2024"/>
    <x v="2"/>
    <n v="10"/>
    <n v="4"/>
    <s v="No"/>
    <x v="1"/>
    <s v="ravi.patel1221@company.com"/>
    <s v="Valid"/>
    <n v="9080152253"/>
    <s v="Valid"/>
    <x v="0"/>
  </r>
  <r>
    <x v="220"/>
    <s v="Rahul"/>
    <s v="Singh"/>
    <x v="0"/>
    <n v="39"/>
    <x v="0"/>
    <x v="2"/>
    <x v="2"/>
    <n v="60868"/>
    <s v="26-01-2022"/>
    <x v="3"/>
    <n v="2"/>
    <n v="2"/>
    <s v="No"/>
    <x v="1"/>
    <s v="rahul.singh1222company.com"/>
    <s v="Invalid"/>
    <n v="9938589838"/>
    <s v="Valid"/>
    <x v="4"/>
  </r>
  <r>
    <x v="221"/>
    <s v="Divya"/>
    <s v="Reddy"/>
    <x v="0"/>
    <n v="66"/>
    <x v="2"/>
    <x v="3"/>
    <x v="2"/>
    <n v="31230"/>
    <s v="19-03-2024"/>
    <x v="4"/>
    <n v="3"/>
    <n v="2"/>
    <s v="Yes"/>
    <x v="0"/>
    <s v="divya.reddy1223@company.com"/>
    <s v="Valid"/>
    <n v="9919364833"/>
    <s v="Valid"/>
    <x v="2"/>
  </r>
  <r>
    <x v="222"/>
    <s v="Ravi"/>
    <s v="Reddy"/>
    <x v="0"/>
    <n v="57"/>
    <x v="0"/>
    <x v="1"/>
    <x v="1"/>
    <n v="106590"/>
    <s v="01-02-2025"/>
    <x v="4"/>
    <n v="16"/>
    <n v="1"/>
    <s v="No"/>
    <x v="1"/>
    <s v="ravi.reddy1224@company.com"/>
    <s v="Valid"/>
    <n v="9617138162"/>
    <s v="Valid"/>
    <x v="2"/>
  </r>
  <r>
    <x v="223"/>
    <s v="Kiran"/>
    <s v="Singh"/>
    <x v="1"/>
    <n v="55"/>
    <x v="4"/>
    <x v="1"/>
    <x v="2"/>
    <n v="43185"/>
    <s v="12-02-2018"/>
    <x v="2"/>
    <n v="4"/>
    <n v="2"/>
    <s v="No"/>
    <x v="1"/>
    <s v="kiran.singh1225@company.com"/>
    <s v="Valid"/>
    <n v="9638930282"/>
    <s v="Valid"/>
    <x v="2"/>
  </r>
  <r>
    <x v="224"/>
    <s v="Rahul"/>
    <s v="Kumar"/>
    <x v="1"/>
    <n v="30"/>
    <x v="4"/>
    <x v="1"/>
    <x v="3"/>
    <n v="-51021"/>
    <s v="15-04-2021"/>
    <x v="0"/>
    <n v="14"/>
    <n v="5"/>
    <s v="No"/>
    <x v="0"/>
    <s v="rahul.kumar1226@company.com"/>
    <s v="Valid"/>
    <n v="9000834933"/>
    <s v="Valid"/>
    <x v="5"/>
  </r>
  <r>
    <x v="225"/>
    <s v="Kiran"/>
    <s v="Singh"/>
    <x v="1"/>
    <n v="54"/>
    <x v="0"/>
    <x v="4"/>
    <x v="4"/>
    <n v="97503"/>
    <s v="30-09-2022"/>
    <x v="4"/>
    <n v="23"/>
    <n v="3"/>
    <s v="No"/>
    <x v="0"/>
    <s v="kiran.singh1227@company.com"/>
    <s v="Valid"/>
    <n v="92713821"/>
    <s v="Invalid"/>
    <x v="2"/>
  </r>
  <r>
    <x v="226"/>
    <s v="Divya"/>
    <s v="Singh"/>
    <x v="0"/>
    <n v="55"/>
    <x v="3"/>
    <x v="2"/>
    <x v="0"/>
    <n v="39244"/>
    <s v="01-02-2025"/>
    <x v="2"/>
    <n v="13"/>
    <n v="4"/>
    <s v="Yes"/>
    <x v="1"/>
    <s v="divya.singh1228@company.com"/>
    <s v="Valid"/>
    <n v="9849898174"/>
    <s v="Valid"/>
    <x v="2"/>
  </r>
  <r>
    <x v="227"/>
    <s v="Anil"/>
    <s v="Kumar"/>
    <x v="1"/>
    <n v="32"/>
    <x v="1"/>
    <x v="1"/>
    <x v="3"/>
    <n v="109473"/>
    <s v="19-11-2020"/>
    <x v="2"/>
    <n v="22"/>
    <n v="5"/>
    <s v="No"/>
    <x v="0"/>
    <s v="anil.kumar1229@company.com"/>
    <s v="Valid"/>
    <n v="9276063226"/>
    <s v="Valid"/>
    <x v="5"/>
  </r>
  <r>
    <x v="228"/>
    <s v="Ravi"/>
    <s v="Patel"/>
    <x v="0"/>
    <n v="43"/>
    <x v="1"/>
    <x v="1"/>
    <x v="3"/>
    <n v="72969"/>
    <s v="28-01-2018"/>
    <x v="0"/>
    <n v="17"/>
    <n v="5"/>
    <s v="No"/>
    <x v="1"/>
    <s v="ravi.patel1230@company.com"/>
    <s v="Valid"/>
    <n v="9876230527"/>
    <s v="Valid"/>
    <x v="0"/>
  </r>
  <r>
    <x v="229"/>
    <s v="Rahul"/>
    <s v="Singh"/>
    <x v="0"/>
    <n v="30"/>
    <x v="0"/>
    <x v="3"/>
    <x v="1"/>
    <n v="92211"/>
    <s v="21-04-2021"/>
    <x v="0"/>
    <n v="3"/>
    <n v="3"/>
    <s v="Yes"/>
    <x v="0"/>
    <s v="rahul.singh1231company.com"/>
    <s v="Invalid"/>
    <n v="9685931536"/>
    <s v="Valid"/>
    <x v="5"/>
  </r>
  <r>
    <x v="230"/>
    <s v="John"/>
    <s v="Singh"/>
    <x v="1"/>
    <n v="43"/>
    <x v="1"/>
    <x v="2"/>
    <x v="0"/>
    <n v="108188"/>
    <s v="11-04-2022"/>
    <x v="2"/>
    <n v="10"/>
    <n v="3"/>
    <s v="Yes"/>
    <x v="0"/>
    <s v="john.singh1232@company.com"/>
    <s v="Valid"/>
    <n v="9356082519"/>
    <s v="Valid"/>
    <x v="0"/>
  </r>
  <r>
    <x v="231"/>
    <s v="Meena"/>
    <s v="Singh"/>
    <x v="0"/>
    <n v="53"/>
    <x v="1"/>
    <x v="1"/>
    <x v="2"/>
    <n v="114994"/>
    <s v="24-02-2023"/>
    <x v="0"/>
    <n v="15"/>
    <n v="1"/>
    <s v="Yes"/>
    <x v="1"/>
    <s v="meena.singh1233@company.com"/>
    <s v="Valid"/>
    <n v="9035042107"/>
    <s v="Valid"/>
    <x v="2"/>
  </r>
  <r>
    <x v="232"/>
    <s v="Priya"/>
    <s v="Patel"/>
    <x v="1"/>
    <n v="31"/>
    <x v="3"/>
    <x v="2"/>
    <x v="4"/>
    <n v="104075"/>
    <s v="13-05-2019"/>
    <x v="4"/>
    <n v="23"/>
    <n v="3"/>
    <s v="Yes"/>
    <x v="0"/>
    <s v="priya.patel1234@company.com"/>
    <s v="Valid"/>
    <n v="9537724093"/>
    <s v="Valid"/>
    <x v="5"/>
  </r>
  <r>
    <x v="233"/>
    <s v="Kiran"/>
    <s v="Singh"/>
    <x v="1"/>
    <n v="51"/>
    <x v="2"/>
    <x v="4"/>
    <x v="3"/>
    <n v="55648"/>
    <s v="17-06-2018"/>
    <x v="3"/>
    <n v="9"/>
    <n v="5"/>
    <s v="Yes"/>
    <x v="0"/>
    <s v="kiran.singh1235@company.com"/>
    <s v="Valid"/>
    <n v="9966311089"/>
    <s v="Valid"/>
    <x v="2"/>
  </r>
  <r>
    <x v="234"/>
    <s v="John"/>
    <s v="Sharma"/>
    <x v="1"/>
    <n v="49"/>
    <x v="2"/>
    <x v="1"/>
    <x v="2"/>
    <n v="65300"/>
    <s v="03-11-2020"/>
    <x v="2"/>
    <n v="17"/>
    <n v="2"/>
    <s v="No"/>
    <x v="0"/>
    <s v="john.sharma1236@company.com"/>
    <s v="Valid"/>
    <n v="9373879681"/>
    <s v="Valid"/>
    <x v="0"/>
  </r>
  <r>
    <x v="235"/>
    <s v="Meena"/>
    <s v="Singh"/>
    <x v="1"/>
    <n v="42"/>
    <x v="1"/>
    <x v="4"/>
    <x v="1"/>
    <n v="28079"/>
    <s v="04-11-2020"/>
    <x v="2"/>
    <n v="1"/>
    <n v="2"/>
    <s v="Yes"/>
    <x v="1"/>
    <s v="meena.singh1237@company.com"/>
    <s v="Valid"/>
    <n v="9592444947"/>
    <s v="Valid"/>
    <x v="0"/>
  </r>
  <r>
    <x v="236"/>
    <s v="Anil"/>
    <s v="Singh"/>
    <x v="1"/>
    <n v="52"/>
    <x v="1"/>
    <x v="1"/>
    <x v="2"/>
    <n v="87604"/>
    <s v="10-11-2024"/>
    <x v="1"/>
    <n v="20"/>
    <n v="3"/>
    <s v="Yes"/>
    <x v="0"/>
    <s v="anil.singh1238@company.com"/>
    <s v="Valid"/>
    <n v="9201400574"/>
    <s v="Valid"/>
    <x v="2"/>
  </r>
  <r>
    <x v="237"/>
    <s v="Anil"/>
    <s v="Patel"/>
    <x v="1"/>
    <n v="39"/>
    <x v="4"/>
    <x v="3"/>
    <x v="1"/>
    <n v="33816"/>
    <s v="27-07-2019"/>
    <x v="3"/>
    <n v="17"/>
    <n v="3"/>
    <s v="Yes"/>
    <x v="1"/>
    <s v="anil.patel1239@company.com"/>
    <s v="Valid"/>
    <n v="9782281829"/>
    <s v="Valid"/>
    <x v="4"/>
  </r>
  <r>
    <x v="238"/>
    <s v="Sneha"/>
    <s v="Sharma"/>
    <x v="0"/>
    <n v="38"/>
    <x v="3"/>
    <x v="3"/>
    <x v="3"/>
    <n v="73569"/>
    <s v="22-08-2022"/>
    <x v="4"/>
    <n v="18"/>
    <n v="5"/>
    <s v="No"/>
    <x v="1"/>
    <s v="sneha.sharma1240@company.com"/>
    <s v="Valid"/>
    <n v="9534576122"/>
    <s v="Valid"/>
    <x v="4"/>
  </r>
  <r>
    <x v="239"/>
    <s v="Anil"/>
    <s v="Kumar"/>
    <x v="0"/>
    <n v="38"/>
    <x v="3"/>
    <x v="0"/>
    <x v="3"/>
    <n v="39873"/>
    <s v="01-07-2019"/>
    <x v="2"/>
    <n v="20"/>
    <n v="2"/>
    <s v="No"/>
    <x v="1"/>
    <s v="anil.kumar1241@company.com"/>
    <s v="Valid"/>
    <n v="9944546974"/>
    <s v="Valid"/>
    <x v="4"/>
  </r>
  <r>
    <x v="240"/>
    <s v="Meena"/>
    <s v="Patel"/>
    <x v="0"/>
    <n v="44"/>
    <x v="1"/>
    <x v="4"/>
    <x v="4"/>
    <n v="111398"/>
    <s v="14-07-2023"/>
    <x v="2"/>
    <n v="21"/>
    <n v="2"/>
    <s v="No"/>
    <x v="1"/>
    <s v="meena.patel1242@company.com"/>
    <s v="Valid"/>
    <n v="9297926707"/>
    <s v="Valid"/>
    <x v="0"/>
  </r>
  <r>
    <x v="241"/>
    <s v="Sneha"/>
    <s v="Singh"/>
    <x v="0"/>
    <n v="39"/>
    <x v="2"/>
    <x v="3"/>
    <x v="3"/>
    <n v="51984"/>
    <s v="28-07-2023"/>
    <x v="2"/>
    <n v="10"/>
    <n v="4"/>
    <s v="Yes"/>
    <x v="0"/>
    <s v="sneha.singh1243@company.com"/>
    <s v="Valid"/>
    <n v="9360745864"/>
    <s v="Valid"/>
    <x v="4"/>
  </r>
  <r>
    <x v="242"/>
    <s v="Rahul"/>
    <s v="Kumar"/>
    <x v="0"/>
    <n v="38"/>
    <x v="3"/>
    <x v="1"/>
    <x v="0"/>
    <n v="107760"/>
    <s v="13-09-2018"/>
    <x v="1"/>
    <n v="3"/>
    <n v="5"/>
    <s v="Yes"/>
    <x v="0"/>
    <s v="rahul.kumar1244@company.com"/>
    <s v="Valid"/>
    <n v="9368067928"/>
    <s v="Valid"/>
    <x v="4"/>
  </r>
  <r>
    <x v="243"/>
    <s v="Rahul"/>
    <s v="Singh"/>
    <x v="1"/>
    <n v="47"/>
    <x v="2"/>
    <x v="0"/>
    <x v="3"/>
    <n v="88121"/>
    <s v="29-03-2023"/>
    <x v="1"/>
    <n v="8"/>
    <n v="3"/>
    <s v="No"/>
    <x v="0"/>
    <s v="rahul.singh1245@company.com"/>
    <s v="Valid"/>
    <n v="9164865665"/>
    <s v="Valid"/>
    <x v="0"/>
  </r>
  <r>
    <x v="244"/>
    <s v="Sneha"/>
    <s v="Patel"/>
    <x v="0"/>
    <n v="41"/>
    <x v="0"/>
    <x v="1"/>
    <x v="3"/>
    <s v="Missing"/>
    <s v="29-10-2023"/>
    <x v="4"/>
    <n v="14"/>
    <n v="5"/>
    <s v="No"/>
    <x v="1"/>
    <s v="sneha.patel1246@company.com"/>
    <s v="Valid"/>
    <n v="9638211599"/>
    <s v="Valid"/>
    <x v="0"/>
  </r>
  <r>
    <x v="245"/>
    <s v="Rahul"/>
    <s v="Kumar"/>
    <x v="1"/>
    <n v="27"/>
    <x v="1"/>
    <x v="4"/>
    <x v="4"/>
    <n v="94064"/>
    <s v="03-01-2024"/>
    <x v="2"/>
    <n v="22"/>
    <n v="3"/>
    <s v="Yes"/>
    <x v="0"/>
    <s v="rahul.kumar1247@company.com"/>
    <s v="Valid"/>
    <n v="9664474787"/>
    <s v="Valid"/>
    <x v="1"/>
  </r>
  <r>
    <x v="246"/>
    <s v="Rahul"/>
    <s v="Sharma"/>
    <x v="1"/>
    <n v="38"/>
    <x v="0"/>
    <x v="0"/>
    <x v="4"/>
    <n v="31448"/>
    <s v="08-01-2018"/>
    <x v="1"/>
    <n v="19"/>
    <n v="5"/>
    <s v="No"/>
    <x v="1"/>
    <s v="rahul.sharma1248@company.com"/>
    <s v="Valid"/>
    <n v="9939075487"/>
    <s v="Valid"/>
    <x v="4"/>
  </r>
  <r>
    <x v="247"/>
    <s v="Sneha"/>
    <s v="Reddy"/>
    <x v="1"/>
    <n v="45"/>
    <x v="0"/>
    <x v="0"/>
    <x v="0"/>
    <n v="110475"/>
    <s v="26-12-2024"/>
    <x v="2"/>
    <n v="1"/>
    <n v="1"/>
    <s v="No"/>
    <x v="1"/>
    <s v="sneha.reddy1249@company.com"/>
    <s v="Valid"/>
    <n v="9500106859"/>
    <s v="Valid"/>
    <x v="0"/>
  </r>
  <r>
    <x v="248"/>
    <s v="Priya"/>
    <s v="Sharma"/>
    <x v="0"/>
    <n v="46"/>
    <x v="4"/>
    <x v="0"/>
    <x v="3"/>
    <n v="75897"/>
    <s v="01-07-2018"/>
    <x v="3"/>
    <n v="18"/>
    <n v="1"/>
    <s v="Yes"/>
    <x v="0"/>
    <s v="priya.sharma1250company.com"/>
    <s v="Invalid"/>
    <n v="9279082683"/>
    <s v="Valid"/>
    <x v="0"/>
  </r>
  <r>
    <x v="249"/>
    <s v="Anil"/>
    <s v="Patel"/>
    <x v="1"/>
    <n v="48"/>
    <x v="2"/>
    <x v="2"/>
    <x v="0"/>
    <n v="93429"/>
    <s v="08-07-2019"/>
    <x v="3"/>
    <n v="8"/>
    <n v="5"/>
    <s v="Yes"/>
    <x v="1"/>
    <s v="anil.patel1251@company.com"/>
    <s v="Valid"/>
    <n v="9488747618"/>
    <s v="Valid"/>
    <x v="0"/>
  </r>
  <r>
    <x v="250"/>
    <s v="John"/>
    <s v="Kumar"/>
    <x v="0"/>
    <n v="58"/>
    <x v="4"/>
    <x v="1"/>
    <x v="3"/>
    <n v="63873"/>
    <s v="20-01-2022"/>
    <x v="1"/>
    <n v="20"/>
    <n v="1"/>
    <s v="No"/>
    <x v="0"/>
    <s v="john.kumar1252@company.com"/>
    <s v="Valid"/>
    <n v="9998620256"/>
    <s v="Valid"/>
    <x v="2"/>
  </r>
  <r>
    <x v="251"/>
    <s v="Kiran"/>
    <s v="Sharma"/>
    <x v="1"/>
    <n v="23"/>
    <x v="4"/>
    <x v="3"/>
    <x v="0"/>
    <n v="29432"/>
    <s v="20-08-2018"/>
    <x v="3"/>
    <n v="8"/>
    <n v="1"/>
    <s v="Yes"/>
    <x v="1"/>
    <s v="kiran.sharma1253@company.com"/>
    <s v="Valid"/>
    <n v="9885533770"/>
    <s v="Valid"/>
    <x v="3"/>
  </r>
  <r>
    <x v="252"/>
    <s v="Divya"/>
    <s v="Singh"/>
    <x v="1"/>
    <n v="34"/>
    <x v="3"/>
    <x v="4"/>
    <x v="4"/>
    <n v="34046"/>
    <s v="13-11-2023"/>
    <x v="4"/>
    <n v="14"/>
    <n v="3"/>
    <s v="Yes"/>
    <x v="0"/>
    <s v="divya.singh1254@company.com"/>
    <s v="Valid"/>
    <n v="9798380923"/>
    <s v="Valid"/>
    <x v="5"/>
  </r>
  <r>
    <x v="253"/>
    <s v="Priya"/>
    <s v="Sharma"/>
    <x v="0"/>
    <n v="41"/>
    <x v="3"/>
    <x v="1"/>
    <x v="0"/>
    <n v="110358"/>
    <s v="04-07-2019"/>
    <x v="2"/>
    <n v="1"/>
    <n v="5"/>
    <s v="Yes"/>
    <x v="0"/>
    <s v="priya.sharma1255@company.com"/>
    <s v="Valid"/>
    <n v="9103311959"/>
    <s v="Valid"/>
    <x v="0"/>
  </r>
  <r>
    <x v="254"/>
    <s v="Priya"/>
    <s v="Kumar"/>
    <x v="0"/>
    <n v="53"/>
    <x v="1"/>
    <x v="3"/>
    <x v="4"/>
    <n v="111018"/>
    <s v="31-10-2021"/>
    <x v="3"/>
    <n v="0"/>
    <n v="2"/>
    <s v="No"/>
    <x v="1"/>
    <s v="priya.kumar1256@company.com"/>
    <s v="Valid"/>
    <n v="9620943055"/>
    <s v="Valid"/>
    <x v="2"/>
  </r>
  <r>
    <x v="255"/>
    <s v="John"/>
    <s v="Singh"/>
    <x v="1"/>
    <n v="35"/>
    <x v="2"/>
    <x v="2"/>
    <x v="1"/>
    <n v="115631"/>
    <s v="21-07-2018"/>
    <x v="2"/>
    <n v="4"/>
    <n v="3"/>
    <s v="Yes"/>
    <x v="1"/>
    <s v="john.singh1257@company.com"/>
    <s v="Valid"/>
    <n v="9797553624"/>
    <s v="Valid"/>
    <x v="4"/>
  </r>
  <r>
    <x v="256"/>
    <s v="Divya"/>
    <s v="Singh"/>
    <x v="0"/>
    <n v="23"/>
    <x v="2"/>
    <x v="3"/>
    <x v="4"/>
    <n v="100276"/>
    <s v="17-12-2022"/>
    <x v="4"/>
    <n v="24"/>
    <n v="3"/>
    <s v="No"/>
    <x v="1"/>
    <s v="divya.singh1258@company.com"/>
    <s v="Valid"/>
    <n v="9963587059"/>
    <s v="Valid"/>
    <x v="3"/>
  </r>
  <r>
    <x v="257"/>
    <s v="John"/>
    <s v="Sharma"/>
    <x v="1"/>
    <n v="38"/>
    <x v="2"/>
    <x v="3"/>
    <x v="1"/>
    <n v="67898"/>
    <s v="22-06-2023"/>
    <x v="4"/>
    <n v="23"/>
    <n v="2"/>
    <s v="Yes"/>
    <x v="0"/>
    <s v="john.sharma1259@company.com"/>
    <s v="Valid"/>
    <n v="9870596439"/>
    <s v="Valid"/>
    <x v="4"/>
  </r>
  <r>
    <x v="258"/>
    <s v="Priya"/>
    <s v="Kumar"/>
    <x v="1"/>
    <n v="42"/>
    <x v="2"/>
    <x v="0"/>
    <x v="1"/>
    <n v="84788"/>
    <s v="01-06-2024"/>
    <x v="2"/>
    <n v="0"/>
    <n v="5"/>
    <s v="Yes"/>
    <x v="0"/>
    <s v="priya.kumar1260@company.com"/>
    <s v="Valid"/>
    <n v="9526495273"/>
    <s v="Valid"/>
    <x v="0"/>
  </r>
  <r>
    <x v="259"/>
    <s v="Sneha"/>
    <s v="Patel"/>
    <x v="1"/>
    <n v="49"/>
    <x v="0"/>
    <x v="1"/>
    <x v="4"/>
    <n v="31047"/>
    <s v="13-09-2020"/>
    <x v="4"/>
    <n v="25"/>
    <n v="2"/>
    <s v="No"/>
    <x v="1"/>
    <s v="sneha.patel1261@company.com"/>
    <s v="Valid"/>
    <n v="9832563164"/>
    <s v="Valid"/>
    <x v="0"/>
  </r>
  <r>
    <x v="260"/>
    <s v="Anil"/>
    <s v="Singh"/>
    <x v="0"/>
    <n v="46"/>
    <x v="4"/>
    <x v="2"/>
    <x v="2"/>
    <n v="43948"/>
    <s v="19-11-2022"/>
    <x v="1"/>
    <n v="9"/>
    <n v="3"/>
    <s v="Yes"/>
    <x v="1"/>
    <s v="anil.singh1262@company.com"/>
    <s v="Valid"/>
    <n v="9689431300"/>
    <s v="Valid"/>
    <x v="0"/>
  </r>
  <r>
    <x v="261"/>
    <s v="Arun"/>
    <s v="Singh"/>
    <x v="0"/>
    <n v="45"/>
    <x v="1"/>
    <x v="4"/>
    <x v="2"/>
    <s v="Missing"/>
    <s v="17-04-2021"/>
    <x v="0"/>
    <n v="25"/>
    <n v="3"/>
    <s v="Yes"/>
    <x v="1"/>
    <s v="arun.singh1263@company.com"/>
    <s v="Valid"/>
    <n v="9118398587"/>
    <s v="Valid"/>
    <x v="0"/>
  </r>
  <r>
    <x v="262"/>
    <s v="Rahul"/>
    <s v="Patel"/>
    <x v="0"/>
    <n v="57"/>
    <x v="1"/>
    <x v="4"/>
    <x v="0"/>
    <n v="49673"/>
    <s v="27-08-2020"/>
    <x v="3"/>
    <n v="16"/>
    <n v="4"/>
    <s v="No"/>
    <x v="1"/>
    <s v="rahul.patel1264@company.com"/>
    <s v="Valid"/>
    <n v="9110030778"/>
    <s v="Valid"/>
    <x v="2"/>
  </r>
  <r>
    <x v="263"/>
    <s v="Priya"/>
    <s v="Singh"/>
    <x v="0"/>
    <n v="47"/>
    <x v="1"/>
    <x v="4"/>
    <x v="4"/>
    <n v="76561"/>
    <s v="23-02-2021"/>
    <x v="2"/>
    <n v="23"/>
    <n v="2"/>
    <s v="No"/>
    <x v="1"/>
    <s v="priya.singh1265@company.com"/>
    <s v="Valid"/>
    <n v="9183927589"/>
    <s v="Valid"/>
    <x v="0"/>
  </r>
  <r>
    <x v="264"/>
    <s v="Sneha"/>
    <s v="Kumar"/>
    <x v="1"/>
    <n v="38"/>
    <x v="3"/>
    <x v="1"/>
    <x v="1"/>
    <n v="54450"/>
    <s v="05-01-2023"/>
    <x v="2"/>
    <n v="14"/>
    <n v="2"/>
    <s v="Yes"/>
    <x v="1"/>
    <s v="sneha.kumar1266@company.com"/>
    <s v="Valid"/>
    <n v="9644011136"/>
    <s v="Valid"/>
    <x v="4"/>
  </r>
  <r>
    <x v="265"/>
    <s v="Meena"/>
    <s v="Kumar"/>
    <x v="1"/>
    <n v="33"/>
    <x v="0"/>
    <x v="3"/>
    <x v="1"/>
    <n v="116939"/>
    <s v="01-11-2023"/>
    <x v="3"/>
    <n v="9"/>
    <n v="2"/>
    <s v="Yes"/>
    <x v="1"/>
    <s v="meena.kumar1267@company.com"/>
    <s v="Valid"/>
    <n v="9727932285"/>
    <s v="Valid"/>
    <x v="5"/>
  </r>
  <r>
    <x v="266"/>
    <s v="Arun"/>
    <s v="Reddy"/>
    <x v="1"/>
    <n v="56"/>
    <x v="0"/>
    <x v="2"/>
    <x v="4"/>
    <n v="43261"/>
    <s v="08-10-2018"/>
    <x v="0"/>
    <n v="17"/>
    <n v="4"/>
    <s v="Yes"/>
    <x v="1"/>
    <s v="arun.reddy1268@company.com"/>
    <s v="Valid"/>
    <n v="9143479959"/>
    <s v="Valid"/>
    <x v="2"/>
  </r>
  <r>
    <x v="267"/>
    <s v="Kiran"/>
    <s v="Singh"/>
    <x v="1"/>
    <n v="28"/>
    <x v="2"/>
    <x v="3"/>
    <x v="1"/>
    <n v="119990"/>
    <s v="23-05-2023"/>
    <x v="3"/>
    <n v="11"/>
    <n v="3"/>
    <s v="No"/>
    <x v="0"/>
    <s v="kiran.singh1269@company.com"/>
    <s v="Valid"/>
    <n v="9683527023"/>
    <s v="Valid"/>
    <x v="1"/>
  </r>
  <r>
    <x v="268"/>
    <s v="Divya"/>
    <s v="Kumar"/>
    <x v="1"/>
    <n v="45"/>
    <x v="3"/>
    <x v="2"/>
    <x v="4"/>
    <n v="59906"/>
    <s v="02-12-2023"/>
    <x v="1"/>
    <n v="21"/>
    <n v="4"/>
    <s v="Yes"/>
    <x v="0"/>
    <s v="divya.kumar1270@company.com"/>
    <s v="Valid"/>
    <n v="9367635501"/>
    <s v="Valid"/>
    <x v="0"/>
  </r>
  <r>
    <x v="269"/>
    <s v="Meena"/>
    <s v="Sharma"/>
    <x v="0"/>
    <n v="27"/>
    <x v="2"/>
    <x v="4"/>
    <x v="1"/>
    <n v="29149"/>
    <s v="23-05-2023"/>
    <x v="0"/>
    <n v="18"/>
    <n v="3"/>
    <s v="No"/>
    <x v="1"/>
    <s v="meena.sharma1271@company.com"/>
    <s v="Valid"/>
    <n v="9442519847"/>
    <s v="Valid"/>
    <x v="1"/>
  </r>
  <r>
    <x v="270"/>
    <s v="Priya"/>
    <s v="Singh"/>
    <x v="1"/>
    <n v="49"/>
    <x v="2"/>
    <x v="2"/>
    <x v="2"/>
    <n v="47391"/>
    <s v="13-02-2022"/>
    <x v="3"/>
    <n v="4"/>
    <n v="5"/>
    <s v="No"/>
    <x v="1"/>
    <s v="priya.singh1272@company.com"/>
    <s v="Valid"/>
    <n v="9794246805"/>
    <s v="Valid"/>
    <x v="0"/>
  </r>
  <r>
    <x v="271"/>
    <s v="John"/>
    <s v="Patel"/>
    <x v="0"/>
    <n v="43"/>
    <x v="2"/>
    <x v="2"/>
    <x v="4"/>
    <n v="33750"/>
    <s v="09-03-2019"/>
    <x v="0"/>
    <n v="24"/>
    <n v="5"/>
    <s v="Yes"/>
    <x v="1"/>
    <s v="john.patel1273@company.com"/>
    <s v="Valid"/>
    <n v="9807644418"/>
    <s v="Valid"/>
    <x v="0"/>
  </r>
  <r>
    <x v="272"/>
    <s v="Sneha"/>
    <s v="Patel"/>
    <x v="1"/>
    <n v="55"/>
    <x v="0"/>
    <x v="1"/>
    <x v="1"/>
    <n v="74231"/>
    <s v="27-12-2021"/>
    <x v="0"/>
    <n v="3"/>
    <n v="4"/>
    <s v="No"/>
    <x v="0"/>
    <s v="sneha.patel1274@company.com"/>
    <s v="Valid"/>
    <n v="9798340355"/>
    <s v="Valid"/>
    <x v="2"/>
  </r>
  <r>
    <x v="273"/>
    <s v="Sneha"/>
    <s v="Reddy"/>
    <x v="1"/>
    <n v="26"/>
    <x v="4"/>
    <x v="1"/>
    <x v="3"/>
    <n v="98741"/>
    <s v="27-11-2018"/>
    <x v="2"/>
    <n v="4"/>
    <n v="3"/>
    <s v="No"/>
    <x v="0"/>
    <s v="sneha.reddy1275@company.com"/>
    <s v="Valid"/>
    <n v="9660488669"/>
    <s v="Valid"/>
    <x v="1"/>
  </r>
  <r>
    <x v="274"/>
    <s v="Divya"/>
    <s v="Reddy"/>
    <x v="0"/>
    <n v="36"/>
    <x v="4"/>
    <x v="0"/>
    <x v="4"/>
    <n v="93218"/>
    <s v="15-02-2024"/>
    <x v="3"/>
    <n v="4"/>
    <n v="3"/>
    <s v="Yes"/>
    <x v="0"/>
    <s v="divya.reddy1276@company.com"/>
    <s v="Valid"/>
    <n v="9006929463"/>
    <s v="Valid"/>
    <x v="4"/>
  </r>
  <r>
    <x v="275"/>
    <s v="Sneha"/>
    <s v="Singh"/>
    <x v="0"/>
    <n v="49"/>
    <x v="1"/>
    <x v="4"/>
    <x v="4"/>
    <n v="50178"/>
    <s v="02-10-2020"/>
    <x v="2"/>
    <n v="15"/>
    <n v="3"/>
    <s v="Yes"/>
    <x v="1"/>
    <s v="sneha.singh1277@company.com"/>
    <s v="Valid"/>
    <n v="9029911745"/>
    <s v="Valid"/>
    <x v="0"/>
  </r>
  <r>
    <x v="276"/>
    <s v="Rahul"/>
    <s v="Reddy"/>
    <x v="0"/>
    <n v="35"/>
    <x v="2"/>
    <x v="0"/>
    <x v="4"/>
    <n v="60442"/>
    <s v="24-11-2018"/>
    <x v="3"/>
    <n v="10"/>
    <n v="5"/>
    <s v="No"/>
    <x v="0"/>
    <s v="rahul.reddy1278@company.com"/>
    <s v="Valid"/>
    <n v="9641573886"/>
    <s v="Valid"/>
    <x v="4"/>
  </r>
  <r>
    <x v="277"/>
    <s v="Kiran"/>
    <s v="Reddy"/>
    <x v="0"/>
    <n v="35"/>
    <x v="1"/>
    <x v="1"/>
    <x v="1"/>
    <n v="32161"/>
    <s v="12-09-2019"/>
    <x v="0"/>
    <n v="8"/>
    <n v="1"/>
    <s v="Yes"/>
    <x v="0"/>
    <s v="kiran.reddy1279@company.com"/>
    <s v="Valid"/>
    <n v="9619516580"/>
    <s v="Valid"/>
    <x v="4"/>
  </r>
  <r>
    <x v="278"/>
    <s v="Arun"/>
    <s v="Sharma"/>
    <x v="1"/>
    <n v="29"/>
    <x v="0"/>
    <x v="2"/>
    <x v="4"/>
    <n v="90910"/>
    <s v="05-10-2024"/>
    <x v="2"/>
    <n v="9"/>
    <n v="1"/>
    <s v="Yes"/>
    <x v="1"/>
    <s v="arun.sharma1280@company.com"/>
    <s v="Valid"/>
    <n v="9972381493"/>
    <s v="Valid"/>
    <x v="1"/>
  </r>
  <r>
    <x v="279"/>
    <s v="Ravi"/>
    <s v="Kumar"/>
    <x v="1"/>
    <n v="35"/>
    <x v="0"/>
    <x v="0"/>
    <x v="2"/>
    <n v="97640"/>
    <s v="03-04-2022"/>
    <x v="2"/>
    <n v="9"/>
    <n v="2"/>
    <s v="Yes"/>
    <x v="0"/>
    <s v="ravi.kumar1281@company.com"/>
    <s v="Valid"/>
    <n v="9762276594"/>
    <s v="Valid"/>
    <x v="4"/>
  </r>
  <r>
    <x v="280"/>
    <s v="Sneha"/>
    <s v="Singh"/>
    <x v="0"/>
    <n v="37"/>
    <x v="0"/>
    <x v="1"/>
    <x v="1"/>
    <n v="73367"/>
    <s v="10-12-2021"/>
    <x v="0"/>
    <n v="12"/>
    <n v="1"/>
    <s v="Yes"/>
    <x v="0"/>
    <s v="sneha.singh1282@company.com"/>
    <s v="Valid"/>
    <n v="9513143292"/>
    <s v="Valid"/>
    <x v="4"/>
  </r>
  <r>
    <x v="281"/>
    <s v="Meena"/>
    <s v="Sharma"/>
    <x v="1"/>
    <n v="31"/>
    <x v="1"/>
    <x v="3"/>
    <x v="1"/>
    <n v="43135"/>
    <s v="21-01-2023"/>
    <x v="3"/>
    <n v="12"/>
    <n v="3"/>
    <s v="Yes"/>
    <x v="0"/>
    <s v="meena.sharma1283@company.com"/>
    <s v="Valid"/>
    <n v="9437694951"/>
    <s v="Valid"/>
    <x v="5"/>
  </r>
  <r>
    <x v="282"/>
    <s v="Rahul"/>
    <s v="Sharma"/>
    <x v="0"/>
    <n v="52"/>
    <x v="2"/>
    <x v="0"/>
    <x v="2"/>
    <n v="92257"/>
    <s v="30-04-2021"/>
    <x v="4"/>
    <n v="1"/>
    <n v="2"/>
    <s v="Yes"/>
    <x v="1"/>
    <s v="rahul.sharma1284@company.com"/>
    <s v="Valid"/>
    <n v="9661869467"/>
    <s v="Valid"/>
    <x v="2"/>
  </r>
  <r>
    <x v="283"/>
    <s v="John"/>
    <s v="Reddy"/>
    <x v="1"/>
    <n v="33"/>
    <x v="1"/>
    <x v="4"/>
    <x v="3"/>
    <n v="61476"/>
    <s v="30-07-2019"/>
    <x v="0"/>
    <n v="7"/>
    <n v="5"/>
    <s v="No"/>
    <x v="1"/>
    <s v="john.reddy1285@company.com"/>
    <s v="Valid"/>
    <n v="9349624655"/>
    <s v="Valid"/>
    <x v="5"/>
  </r>
  <r>
    <x v="284"/>
    <s v="John"/>
    <s v="Sharma"/>
    <x v="1"/>
    <n v="23"/>
    <x v="1"/>
    <x v="3"/>
    <x v="1"/>
    <n v="46492"/>
    <s v="29-12-2020"/>
    <x v="1"/>
    <n v="14"/>
    <n v="3"/>
    <s v="No"/>
    <x v="1"/>
    <s v="john.sharma1286@company.com"/>
    <s v="Valid"/>
    <n v="9909057640"/>
    <s v="Valid"/>
    <x v="3"/>
  </r>
  <r>
    <x v="285"/>
    <s v="Anil"/>
    <s v="Kumar"/>
    <x v="1"/>
    <n v="38"/>
    <x v="2"/>
    <x v="4"/>
    <x v="0"/>
    <n v="77155"/>
    <s v="31-03-2020"/>
    <x v="0"/>
    <n v="7"/>
    <n v="3"/>
    <s v="No"/>
    <x v="0"/>
    <s v="anil.kumar1287@company.com"/>
    <s v="Valid"/>
    <n v="9316305201"/>
    <s v="Valid"/>
    <x v="4"/>
  </r>
  <r>
    <x v="286"/>
    <s v="Arun"/>
    <s v="Patel"/>
    <x v="0"/>
    <n v="27"/>
    <x v="2"/>
    <x v="4"/>
    <x v="4"/>
    <n v="105421"/>
    <s v="21-02-2024"/>
    <x v="3"/>
    <n v="25"/>
    <n v="1"/>
    <s v="No"/>
    <x v="0"/>
    <s v="arun.patel1288@company.com"/>
    <s v="Valid"/>
    <n v="9253439914"/>
    <s v="Valid"/>
    <x v="1"/>
  </r>
  <r>
    <x v="287"/>
    <s v="Sneha"/>
    <s v="Singh"/>
    <x v="0"/>
    <n v="66"/>
    <x v="2"/>
    <x v="3"/>
    <x v="3"/>
    <n v="48631"/>
    <s v="09-04-2022"/>
    <x v="4"/>
    <n v="19"/>
    <n v="3"/>
    <s v="No"/>
    <x v="0"/>
    <s v="sneha.singh1289@company.com"/>
    <s v="Valid"/>
    <n v="9530791610"/>
    <s v="Valid"/>
    <x v="2"/>
  </r>
  <r>
    <x v="288"/>
    <s v="John"/>
    <s v="Reddy"/>
    <x v="1"/>
    <n v="33"/>
    <x v="0"/>
    <x v="0"/>
    <x v="3"/>
    <n v="76342"/>
    <s v="25-09-2024"/>
    <x v="0"/>
    <n v="21"/>
    <n v="1"/>
    <s v="Yes"/>
    <x v="0"/>
    <s v="john.reddy1290@company.com"/>
    <s v="Valid"/>
    <n v="9799615199"/>
    <s v="Valid"/>
    <x v="5"/>
  </r>
  <r>
    <x v="289"/>
    <s v="Meena"/>
    <s v="Kumar"/>
    <x v="1"/>
    <n v="22"/>
    <x v="1"/>
    <x v="1"/>
    <x v="1"/>
    <n v="38837"/>
    <s v="17-05-2018"/>
    <x v="1"/>
    <n v="15"/>
    <n v="1"/>
    <s v="No"/>
    <x v="0"/>
    <s v="meena.kumar1291@company.com"/>
    <s v="Valid"/>
    <n v="9179432943"/>
    <s v="Valid"/>
    <x v="3"/>
  </r>
  <r>
    <x v="290"/>
    <s v="Divya"/>
    <s v="Kumar"/>
    <x v="1"/>
    <n v="42"/>
    <x v="0"/>
    <x v="1"/>
    <x v="3"/>
    <n v="72439"/>
    <s v="15-10-2020"/>
    <x v="2"/>
    <n v="22"/>
    <n v="4"/>
    <s v="No"/>
    <x v="1"/>
    <s v="divya.kumar1292@company.com"/>
    <s v="Valid"/>
    <n v="9775370935"/>
    <s v="Valid"/>
    <x v="0"/>
  </r>
  <r>
    <x v="291"/>
    <s v="Kiran"/>
    <s v="Kumar"/>
    <x v="0"/>
    <n v="55"/>
    <x v="1"/>
    <x v="2"/>
    <x v="0"/>
    <n v="90175"/>
    <s v="18-08-2022"/>
    <x v="4"/>
    <n v="2"/>
    <n v="5"/>
    <s v="Yes"/>
    <x v="1"/>
    <s v="kiran.kumar1293@company.com"/>
    <s v="Valid"/>
    <n v="9990076423"/>
    <s v="Valid"/>
    <x v="2"/>
  </r>
  <r>
    <x v="292"/>
    <s v="Divya"/>
    <s v="Reddy"/>
    <x v="0"/>
    <n v="47"/>
    <x v="0"/>
    <x v="4"/>
    <x v="4"/>
    <n v="76388"/>
    <s v="12-09-2023"/>
    <x v="4"/>
    <n v="15"/>
    <n v="5"/>
    <s v="Yes"/>
    <x v="0"/>
    <s v="divya.reddy1294@company.com"/>
    <s v="Valid"/>
    <n v="9925468957"/>
    <s v="Valid"/>
    <x v="0"/>
  </r>
  <r>
    <x v="293"/>
    <s v="Arun"/>
    <s v="Singh"/>
    <x v="1"/>
    <n v="32"/>
    <x v="4"/>
    <x v="2"/>
    <x v="2"/>
    <n v="96130"/>
    <s v="27-02-2024"/>
    <x v="2"/>
    <n v="21"/>
    <n v="2"/>
    <s v="No"/>
    <x v="1"/>
    <s v="arun.singh1295@company.com"/>
    <s v="Valid"/>
    <n v="9383496332"/>
    <s v="Valid"/>
    <x v="5"/>
  </r>
  <r>
    <x v="294"/>
    <s v="Ravi"/>
    <s v="Reddy"/>
    <x v="1"/>
    <n v="25"/>
    <x v="4"/>
    <x v="4"/>
    <x v="3"/>
    <n v="114222"/>
    <s v="29-04-2023"/>
    <x v="1"/>
    <n v="12"/>
    <n v="1"/>
    <s v="Yes"/>
    <x v="0"/>
    <s v="ravi.reddy1296@company.com"/>
    <s v="Valid"/>
    <n v="9426552368"/>
    <s v="Valid"/>
    <x v="1"/>
  </r>
  <r>
    <x v="295"/>
    <s v="Priya"/>
    <s v="Singh"/>
    <x v="1"/>
    <n v="42"/>
    <x v="0"/>
    <x v="1"/>
    <x v="2"/>
    <n v="40362"/>
    <s v="11-02-2025"/>
    <x v="1"/>
    <n v="8"/>
    <n v="5"/>
    <s v="No"/>
    <x v="0"/>
    <s v="priya.singh1297@company.com"/>
    <s v="Valid"/>
    <n v="9728668369"/>
    <s v="Valid"/>
    <x v="0"/>
  </r>
  <r>
    <x v="296"/>
    <s v="Priya"/>
    <s v="Singh"/>
    <x v="0"/>
    <n v="41"/>
    <x v="3"/>
    <x v="3"/>
    <x v="2"/>
    <n v="118438"/>
    <s v="06-01-2025"/>
    <x v="4"/>
    <n v="15"/>
    <n v="4"/>
    <s v="No"/>
    <x v="1"/>
    <s v="priya.singh1298@company.com"/>
    <s v="Valid"/>
    <n v="92843367"/>
    <s v="Invalid"/>
    <x v="0"/>
  </r>
  <r>
    <x v="297"/>
    <s v="Kiran"/>
    <s v="Sharma"/>
    <x v="0"/>
    <n v="53"/>
    <x v="4"/>
    <x v="0"/>
    <x v="4"/>
    <n v="116425"/>
    <s v="29-12-2023"/>
    <x v="2"/>
    <n v="13"/>
    <n v="4"/>
    <s v="No"/>
    <x v="1"/>
    <s v="kiran.sharma1299@company.com"/>
    <s v="Valid"/>
    <n v="9794423721"/>
    <s v="Valid"/>
    <x v="2"/>
  </r>
  <r>
    <x v="298"/>
    <s v="Sneha"/>
    <s v="Kumar"/>
    <x v="1"/>
    <n v="32"/>
    <x v="3"/>
    <x v="2"/>
    <x v="3"/>
    <n v="51015"/>
    <s v="13-08-2024"/>
    <x v="2"/>
    <n v="9"/>
    <n v="3"/>
    <s v="No"/>
    <x v="1"/>
    <s v="sneha.kumar1300@company.com"/>
    <s v="Valid"/>
    <n v="9203727802"/>
    <s v="Valid"/>
    <x v="5"/>
  </r>
  <r>
    <x v="299"/>
    <s v="John"/>
    <s v="Singh"/>
    <x v="0"/>
    <n v="25"/>
    <x v="3"/>
    <x v="1"/>
    <x v="3"/>
    <n v="119784"/>
    <s v="12-08-2020"/>
    <x v="1"/>
    <n v="7"/>
    <n v="4"/>
    <s v="Yes"/>
    <x v="0"/>
    <s v="john.singh1301@company.com"/>
    <s v="Valid"/>
    <n v="9479519767"/>
    <s v="Valid"/>
    <x v="1"/>
  </r>
  <r>
    <x v="300"/>
    <s v="Meena"/>
    <s v="Reddy"/>
    <x v="1"/>
    <n v="51"/>
    <x v="0"/>
    <x v="3"/>
    <x v="3"/>
    <n v="81999"/>
    <s v="28-12-2020"/>
    <x v="1"/>
    <n v="24"/>
    <n v="3"/>
    <s v="Yes"/>
    <x v="1"/>
    <s v="meena.reddy1302@company.com"/>
    <s v="Valid"/>
    <n v="9348225391"/>
    <s v="Valid"/>
    <x v="2"/>
  </r>
  <r>
    <x v="301"/>
    <s v="Sneha"/>
    <s v="Singh"/>
    <x v="0"/>
    <n v="24"/>
    <x v="2"/>
    <x v="1"/>
    <x v="3"/>
    <n v="115146"/>
    <s v="31-12-2023"/>
    <x v="4"/>
    <n v="2"/>
    <n v="5"/>
    <s v="No"/>
    <x v="1"/>
    <s v="sneha.singh1303company.com"/>
    <s v="Invalid"/>
    <n v="9920491231"/>
    <s v="Valid"/>
    <x v="3"/>
  </r>
  <r>
    <x v="302"/>
    <s v="Kiran"/>
    <s v="Patel"/>
    <x v="0"/>
    <n v="25"/>
    <x v="3"/>
    <x v="4"/>
    <x v="4"/>
    <n v="57798"/>
    <s v="21-02-2022"/>
    <x v="1"/>
    <n v="5"/>
    <n v="2"/>
    <s v="No"/>
    <x v="1"/>
    <s v="kiran.patel1304@company.com"/>
    <s v="Valid"/>
    <n v="9495303999"/>
    <s v="Valid"/>
    <x v="1"/>
  </r>
  <r>
    <x v="303"/>
    <s v="Ravi"/>
    <s v="Sharma"/>
    <x v="1"/>
    <n v="35"/>
    <x v="1"/>
    <x v="1"/>
    <x v="0"/>
    <n v="92679"/>
    <s v="30-09-2021"/>
    <x v="1"/>
    <n v="9"/>
    <n v="1"/>
    <s v="No"/>
    <x v="0"/>
    <s v="ravi.sharma1305@company.com"/>
    <s v="Valid"/>
    <n v="9582658636"/>
    <s v="Valid"/>
    <x v="4"/>
  </r>
  <r>
    <x v="304"/>
    <s v="Priya"/>
    <s v="Kumar"/>
    <x v="1"/>
    <n v="46"/>
    <x v="4"/>
    <x v="1"/>
    <x v="4"/>
    <n v="54836"/>
    <s v="17-03-2021"/>
    <x v="3"/>
    <n v="24"/>
    <n v="2"/>
    <s v="No"/>
    <x v="1"/>
    <s v="priya.kumar1306@company.com"/>
    <s v="Valid"/>
    <n v="9557084569"/>
    <s v="Valid"/>
    <x v="0"/>
  </r>
  <r>
    <x v="305"/>
    <s v="John"/>
    <s v="Kumar"/>
    <x v="1"/>
    <n v="27"/>
    <x v="3"/>
    <x v="3"/>
    <x v="2"/>
    <n v="32373"/>
    <s v="10-06-2024"/>
    <x v="4"/>
    <n v="16"/>
    <n v="4"/>
    <s v="No"/>
    <x v="1"/>
    <s v="john.kumar1307@company.com"/>
    <s v="Valid"/>
    <n v="9491690489"/>
    <s v="Valid"/>
    <x v="1"/>
  </r>
  <r>
    <x v="306"/>
    <s v="Arun"/>
    <s v="Kumar"/>
    <x v="1"/>
    <n v="43"/>
    <x v="0"/>
    <x v="4"/>
    <x v="2"/>
    <n v="104779"/>
    <s v="18-04-2023"/>
    <x v="1"/>
    <n v="5"/>
    <n v="3"/>
    <s v="Yes"/>
    <x v="0"/>
    <s v="arun.kumar1308@company.com"/>
    <s v="Valid"/>
    <n v="9464557351"/>
    <s v="Valid"/>
    <x v="0"/>
  </r>
  <r>
    <x v="307"/>
    <s v="Ravi"/>
    <s v="Reddy"/>
    <x v="1"/>
    <n v="38"/>
    <x v="0"/>
    <x v="0"/>
    <x v="2"/>
    <n v="80003"/>
    <s v="06-06-2018"/>
    <x v="2"/>
    <n v="22"/>
    <n v="2"/>
    <s v="No"/>
    <x v="1"/>
    <s v="ravi.reddy1309@company.com"/>
    <s v="Valid"/>
    <n v="9317015435"/>
    <s v="Valid"/>
    <x v="4"/>
  </r>
  <r>
    <x v="308"/>
    <s v="Rahul"/>
    <s v="Singh"/>
    <x v="0"/>
    <n v="57"/>
    <x v="2"/>
    <x v="4"/>
    <x v="0"/>
    <n v="51534"/>
    <s v="18-09-2019"/>
    <x v="1"/>
    <n v="12"/>
    <n v="5"/>
    <s v="No"/>
    <x v="1"/>
    <s v="rahul.singh1310@company.com"/>
    <s v="Valid"/>
    <n v="9703910854"/>
    <s v="Valid"/>
    <x v="2"/>
  </r>
  <r>
    <x v="309"/>
    <s v="Meena"/>
    <s v="Kumar"/>
    <x v="0"/>
    <n v="48"/>
    <x v="0"/>
    <x v="1"/>
    <x v="2"/>
    <n v="44100"/>
    <s v="17-07-2023"/>
    <x v="3"/>
    <n v="7"/>
    <n v="1"/>
    <s v="No"/>
    <x v="0"/>
    <s v="meena.kumar1311@company.com"/>
    <s v="Valid"/>
    <n v="9394751521"/>
    <s v="Valid"/>
    <x v="0"/>
  </r>
  <r>
    <x v="310"/>
    <s v="Meena"/>
    <s v="Singh"/>
    <x v="1"/>
    <n v="23"/>
    <x v="4"/>
    <x v="2"/>
    <x v="0"/>
    <n v="109807"/>
    <s v="07-01-2021"/>
    <x v="4"/>
    <n v="16"/>
    <n v="3"/>
    <s v="Yes"/>
    <x v="1"/>
    <s v="meena.singh1312@company.com"/>
    <s v="Valid"/>
    <n v="9863051880"/>
    <s v="Valid"/>
    <x v="3"/>
  </r>
  <r>
    <x v="311"/>
    <s v="Anil"/>
    <s v="Patel"/>
    <x v="1"/>
    <n v="50"/>
    <x v="4"/>
    <x v="1"/>
    <x v="2"/>
    <n v="56391"/>
    <s v="12-09-2024"/>
    <x v="2"/>
    <n v="8"/>
    <n v="2"/>
    <s v="Yes"/>
    <x v="1"/>
    <s v="anil.patel1313@company.com"/>
    <s v="Valid"/>
    <n v="9526069129"/>
    <s v="Valid"/>
    <x v="2"/>
  </r>
  <r>
    <x v="312"/>
    <s v="Ravi"/>
    <s v="Reddy"/>
    <x v="1"/>
    <n v="29"/>
    <x v="1"/>
    <x v="2"/>
    <x v="4"/>
    <n v="105900"/>
    <s v="18-03-2018"/>
    <x v="0"/>
    <n v="11"/>
    <n v="2"/>
    <s v="No"/>
    <x v="0"/>
    <s v="ravi.reddy1314@company.com"/>
    <s v="Valid"/>
    <n v="99478584"/>
    <s v="Invalid"/>
    <x v="1"/>
  </r>
  <r>
    <x v="313"/>
    <s v="John"/>
    <s v="Sharma"/>
    <x v="1"/>
    <n v="53"/>
    <x v="2"/>
    <x v="0"/>
    <x v="3"/>
    <n v="78562"/>
    <s v="27-01-2023"/>
    <x v="4"/>
    <n v="13"/>
    <n v="2"/>
    <s v="No"/>
    <x v="0"/>
    <s v="john.sharma1315@company.com"/>
    <s v="Valid"/>
    <n v="9753505259"/>
    <s v="Valid"/>
    <x v="2"/>
  </r>
  <r>
    <x v="314"/>
    <s v="Ravi"/>
    <s v="Singh"/>
    <x v="0"/>
    <n v="35"/>
    <x v="0"/>
    <x v="4"/>
    <x v="0"/>
    <n v="47922"/>
    <s v="23-06-2021"/>
    <x v="3"/>
    <n v="12"/>
    <n v="5"/>
    <s v="No"/>
    <x v="1"/>
    <s v="ravi.singh1316@company.com"/>
    <s v="Valid"/>
    <n v="9116040587"/>
    <s v="Valid"/>
    <x v="4"/>
  </r>
  <r>
    <x v="315"/>
    <s v="Arun"/>
    <s v="Reddy"/>
    <x v="0"/>
    <n v="56"/>
    <x v="2"/>
    <x v="2"/>
    <x v="0"/>
    <n v="111997"/>
    <s v="01-07-2024"/>
    <x v="0"/>
    <n v="0"/>
    <n v="5"/>
    <s v="No"/>
    <x v="0"/>
    <s v="arun.reddy1317@company.com"/>
    <s v="Valid"/>
    <n v="9715050043"/>
    <s v="Valid"/>
    <x v="2"/>
  </r>
  <r>
    <x v="316"/>
    <s v="Arun"/>
    <s v="Patel"/>
    <x v="0"/>
    <n v="30"/>
    <x v="4"/>
    <x v="3"/>
    <x v="1"/>
    <n v="-99297"/>
    <s v="06-02-2020"/>
    <x v="2"/>
    <n v="1"/>
    <n v="3"/>
    <s v="No"/>
    <x v="1"/>
    <s v="arun.patel1318@company.com"/>
    <s v="Valid"/>
    <n v="9393359413"/>
    <s v="Valid"/>
    <x v="5"/>
  </r>
  <r>
    <x v="317"/>
    <s v="Arun"/>
    <s v="Reddy"/>
    <x v="1"/>
    <n v="24"/>
    <x v="2"/>
    <x v="0"/>
    <x v="2"/>
    <n v="43947"/>
    <s v="23-10-2019"/>
    <x v="1"/>
    <n v="10"/>
    <n v="5"/>
    <s v="Yes"/>
    <x v="0"/>
    <s v="arun.reddy1319company.com"/>
    <s v="Invalid"/>
    <n v="9617715092"/>
    <s v="Valid"/>
    <x v="3"/>
  </r>
  <r>
    <x v="318"/>
    <s v="Kiran"/>
    <s v="Reddy"/>
    <x v="1"/>
    <n v="38"/>
    <x v="2"/>
    <x v="4"/>
    <x v="3"/>
    <n v="33732"/>
    <s v="13-04-2024"/>
    <x v="3"/>
    <n v="3"/>
    <n v="4"/>
    <s v="Yes"/>
    <x v="0"/>
    <s v="kiran.reddy1320@company.com"/>
    <s v="Valid"/>
    <n v="9850457393"/>
    <s v="Valid"/>
    <x v="4"/>
  </r>
  <r>
    <x v="319"/>
    <s v="Ravi"/>
    <s v="Kumar"/>
    <x v="0"/>
    <n v="53"/>
    <x v="0"/>
    <x v="0"/>
    <x v="1"/>
    <n v="55477"/>
    <s v="21-11-2020"/>
    <x v="3"/>
    <n v="2"/>
    <n v="3"/>
    <s v="Yes"/>
    <x v="1"/>
    <s v="ravi.kumar1321@company.com"/>
    <s v="Valid"/>
    <n v="9585255902"/>
    <s v="Valid"/>
    <x v="2"/>
  </r>
  <r>
    <x v="320"/>
    <s v="Sneha"/>
    <s v="Patel"/>
    <x v="1"/>
    <n v="38"/>
    <x v="2"/>
    <x v="1"/>
    <x v="4"/>
    <n v="27883"/>
    <s v="20-07-2022"/>
    <x v="3"/>
    <n v="19"/>
    <n v="2"/>
    <s v="No"/>
    <x v="1"/>
    <s v="sneha.patel1322@company.com"/>
    <s v="Valid"/>
    <n v="9171676381"/>
    <s v="Valid"/>
    <x v="4"/>
  </r>
  <r>
    <x v="321"/>
    <s v="Kiran"/>
    <s v="Sharma"/>
    <x v="1"/>
    <n v="43"/>
    <x v="2"/>
    <x v="0"/>
    <x v="1"/>
    <n v="32698"/>
    <s v="05-07-2022"/>
    <x v="1"/>
    <n v="13"/>
    <n v="1"/>
    <s v="Yes"/>
    <x v="1"/>
    <s v="kiran.sharma1323@company.com"/>
    <s v="Valid"/>
    <n v="9511663207"/>
    <s v="Valid"/>
    <x v="0"/>
  </r>
  <r>
    <x v="322"/>
    <s v="Rahul"/>
    <s v="Reddy"/>
    <x v="1"/>
    <n v="23"/>
    <x v="4"/>
    <x v="1"/>
    <x v="2"/>
    <n v="73956"/>
    <s v="09-02-2021"/>
    <x v="4"/>
    <n v="3"/>
    <n v="2"/>
    <s v="Yes"/>
    <x v="1"/>
    <s v="rahul.reddy1324@company.com"/>
    <s v="Valid"/>
    <n v="9380576317"/>
    <s v="Valid"/>
    <x v="3"/>
  </r>
  <r>
    <x v="323"/>
    <s v="Priya"/>
    <s v="Patel"/>
    <x v="1"/>
    <n v="48"/>
    <x v="0"/>
    <x v="2"/>
    <x v="1"/>
    <n v="-26699"/>
    <s v="01-03-2022"/>
    <x v="1"/>
    <n v="21"/>
    <n v="5"/>
    <s v="Yes"/>
    <x v="0"/>
    <s v="priya.patel1325@company.com"/>
    <s v="Valid"/>
    <n v="9619295572"/>
    <s v="Valid"/>
    <x v="0"/>
  </r>
  <r>
    <x v="324"/>
    <s v="Ravi"/>
    <s v="Singh"/>
    <x v="0"/>
    <n v="53"/>
    <x v="1"/>
    <x v="2"/>
    <x v="3"/>
    <n v="95301"/>
    <s v="19-09-2023"/>
    <x v="3"/>
    <n v="10"/>
    <n v="2"/>
    <s v="Yes"/>
    <x v="0"/>
    <s v="ravi.singh1326@company.com"/>
    <s v="Valid"/>
    <n v="9515021784"/>
    <s v="Valid"/>
    <x v="2"/>
  </r>
  <r>
    <x v="325"/>
    <s v="Ravi"/>
    <s v="Reddy"/>
    <x v="1"/>
    <n v="34"/>
    <x v="2"/>
    <x v="3"/>
    <x v="4"/>
    <n v="81285"/>
    <s v="18-09-2023"/>
    <x v="3"/>
    <n v="6"/>
    <n v="2"/>
    <s v="Yes"/>
    <x v="1"/>
    <s v="ravi.reddy1327@company.com"/>
    <s v="Valid"/>
    <n v="9946597971"/>
    <s v="Valid"/>
    <x v="5"/>
  </r>
  <r>
    <x v="326"/>
    <s v="Meena"/>
    <s v="Kumar"/>
    <x v="1"/>
    <n v="51"/>
    <x v="3"/>
    <x v="3"/>
    <x v="4"/>
    <n v="93456"/>
    <s v="17-11-2022"/>
    <x v="1"/>
    <n v="4"/>
    <n v="4"/>
    <s v="Yes"/>
    <x v="0"/>
    <s v="meena.kumar1328@company.com"/>
    <s v="Valid"/>
    <n v="9004243158"/>
    <s v="Valid"/>
    <x v="2"/>
  </r>
  <r>
    <x v="327"/>
    <s v="John"/>
    <s v="Patel"/>
    <x v="1"/>
    <n v="43"/>
    <x v="3"/>
    <x v="0"/>
    <x v="2"/>
    <n v="51595"/>
    <s v="27-01-2025"/>
    <x v="0"/>
    <n v="11"/>
    <n v="5"/>
    <s v="Yes"/>
    <x v="1"/>
    <s v="john.patel1329@company.com"/>
    <s v="Valid"/>
    <n v="9679266796"/>
    <s v="Valid"/>
    <x v="0"/>
  </r>
  <r>
    <x v="328"/>
    <s v="Sneha"/>
    <s v="Kumar"/>
    <x v="1"/>
    <n v="47"/>
    <x v="3"/>
    <x v="1"/>
    <x v="1"/>
    <n v="91464"/>
    <s v="03-09-2021"/>
    <x v="3"/>
    <n v="25"/>
    <n v="4"/>
    <s v="No"/>
    <x v="1"/>
    <s v="sneha.kumar1330@company.com"/>
    <s v="Valid"/>
    <n v="9531784293"/>
    <s v="Valid"/>
    <x v="0"/>
  </r>
  <r>
    <x v="329"/>
    <s v="Rahul"/>
    <s v="Reddy"/>
    <x v="1"/>
    <n v="45"/>
    <x v="1"/>
    <x v="4"/>
    <x v="1"/>
    <n v="118999"/>
    <s v="16-06-2023"/>
    <x v="3"/>
    <n v="23"/>
    <n v="4"/>
    <s v="Yes"/>
    <x v="0"/>
    <s v="rahul.reddy1331@company.com"/>
    <s v="Valid"/>
    <n v="9863065684"/>
    <s v="Valid"/>
    <x v="0"/>
  </r>
  <r>
    <x v="330"/>
    <s v="Arun"/>
    <s v="Reddy"/>
    <x v="0"/>
    <n v="29"/>
    <x v="1"/>
    <x v="4"/>
    <x v="2"/>
    <n v="100753"/>
    <s v="29-07-2021"/>
    <x v="4"/>
    <n v="10"/>
    <n v="2"/>
    <s v="No"/>
    <x v="1"/>
    <s v="arun.reddy1332@company.com"/>
    <s v="Valid"/>
    <n v="9960705222"/>
    <s v="Valid"/>
    <x v="1"/>
  </r>
  <r>
    <x v="331"/>
    <s v="John"/>
    <s v="Reddy"/>
    <x v="1"/>
    <n v="24"/>
    <x v="4"/>
    <x v="2"/>
    <x v="3"/>
    <n v="109653"/>
    <s v="13-02-2019"/>
    <x v="4"/>
    <n v="2"/>
    <n v="4"/>
    <s v="Yes"/>
    <x v="1"/>
    <s v="john.reddy1333@company.com"/>
    <s v="Valid"/>
    <n v="9682934397"/>
    <s v="Valid"/>
    <x v="3"/>
  </r>
  <r>
    <x v="332"/>
    <s v="John"/>
    <s v="Kumar"/>
    <x v="1"/>
    <n v="45"/>
    <x v="4"/>
    <x v="0"/>
    <x v="4"/>
    <n v="27212"/>
    <s v="14-05-2023"/>
    <x v="2"/>
    <n v="7"/>
    <n v="3"/>
    <s v="Yes"/>
    <x v="0"/>
    <s v="john.kumar1334@company.com"/>
    <s v="Valid"/>
    <n v="9118608144"/>
    <s v="Valid"/>
    <x v="0"/>
  </r>
  <r>
    <x v="333"/>
    <s v="Meena"/>
    <s v="Kumar"/>
    <x v="1"/>
    <n v="40"/>
    <x v="1"/>
    <x v="1"/>
    <x v="4"/>
    <n v="80360"/>
    <s v="11-10-2021"/>
    <x v="3"/>
    <n v="18"/>
    <n v="1"/>
    <s v="Yes"/>
    <x v="0"/>
    <s v="meena.kumar1335@company.com"/>
    <s v="Valid"/>
    <n v="9791801818"/>
    <s v="Valid"/>
    <x v="0"/>
  </r>
  <r>
    <x v="334"/>
    <s v="Priya"/>
    <s v="Patel"/>
    <x v="1"/>
    <n v="46"/>
    <x v="0"/>
    <x v="3"/>
    <x v="3"/>
    <n v="38324"/>
    <s v="26-05-2018"/>
    <x v="2"/>
    <n v="21"/>
    <n v="5"/>
    <s v="Yes"/>
    <x v="0"/>
    <s v="priya.patel1336@company.com"/>
    <s v="Valid"/>
    <n v="9726670131"/>
    <s v="Valid"/>
    <x v="0"/>
  </r>
  <r>
    <x v="335"/>
    <s v="Arun"/>
    <s v="Sharma"/>
    <x v="1"/>
    <n v="31"/>
    <x v="2"/>
    <x v="0"/>
    <x v="3"/>
    <n v="46082"/>
    <s v="20-01-2023"/>
    <x v="3"/>
    <n v="2"/>
    <n v="5"/>
    <s v="No"/>
    <x v="0"/>
    <s v="arun.sharma1337@company.com"/>
    <s v="Valid"/>
    <n v="9345169432"/>
    <s v="Valid"/>
    <x v="5"/>
  </r>
  <r>
    <x v="336"/>
    <s v="Priya"/>
    <s v="Patel"/>
    <x v="0"/>
    <n v="51"/>
    <x v="3"/>
    <x v="3"/>
    <x v="3"/>
    <n v="66297"/>
    <s v="26-06-2019"/>
    <x v="4"/>
    <n v="5"/>
    <n v="2"/>
    <s v="No"/>
    <x v="1"/>
    <s v="priya.patel1338@company.com"/>
    <s v="Valid"/>
    <n v="9689730059"/>
    <s v="Valid"/>
    <x v="2"/>
  </r>
  <r>
    <x v="337"/>
    <s v="Sneha"/>
    <s v="Kumar"/>
    <x v="1"/>
    <n v="55"/>
    <x v="3"/>
    <x v="0"/>
    <x v="4"/>
    <n v="107835"/>
    <s v="19-11-2018"/>
    <x v="1"/>
    <n v="14"/>
    <n v="4"/>
    <s v="Yes"/>
    <x v="0"/>
    <s v="sneha.kumar1339@company.com"/>
    <s v="Valid"/>
    <n v="9249957958"/>
    <s v="Valid"/>
    <x v="2"/>
  </r>
  <r>
    <x v="338"/>
    <s v="Meena"/>
    <s v="Patel"/>
    <x v="1"/>
    <n v="25"/>
    <x v="3"/>
    <x v="2"/>
    <x v="4"/>
    <n v="118475"/>
    <s v="19-12-2022"/>
    <x v="2"/>
    <n v="20"/>
    <n v="1"/>
    <s v="Yes"/>
    <x v="0"/>
    <s v="meena.patel1340company.com"/>
    <s v="Invalid"/>
    <n v="9587019544"/>
    <s v="Valid"/>
    <x v="1"/>
  </r>
  <r>
    <x v="339"/>
    <s v="Divya"/>
    <s v="Patel"/>
    <x v="0"/>
    <n v="25"/>
    <x v="1"/>
    <x v="0"/>
    <x v="2"/>
    <n v="50031"/>
    <s v="12-02-2021"/>
    <x v="0"/>
    <n v="22"/>
    <n v="2"/>
    <s v="Yes"/>
    <x v="1"/>
    <s v="divya.patel1341@company.com"/>
    <s v="Valid"/>
    <n v="9054642759"/>
    <s v="Valid"/>
    <x v="1"/>
  </r>
  <r>
    <x v="340"/>
    <s v="Arun"/>
    <s v="Reddy"/>
    <x v="1"/>
    <n v="58"/>
    <x v="0"/>
    <x v="2"/>
    <x v="1"/>
    <n v="92235"/>
    <s v="17-10-2022"/>
    <x v="2"/>
    <n v="23"/>
    <n v="2"/>
    <s v="No"/>
    <x v="1"/>
    <s v="arun.reddy1342@company.com"/>
    <s v="Valid"/>
    <n v="9614602984"/>
    <s v="Valid"/>
    <x v="2"/>
  </r>
  <r>
    <x v="341"/>
    <s v="Kiran"/>
    <s v="Patel"/>
    <x v="0"/>
    <n v="24"/>
    <x v="1"/>
    <x v="2"/>
    <x v="4"/>
    <n v="102402"/>
    <s v="19-06-2018"/>
    <x v="3"/>
    <n v="20"/>
    <n v="1"/>
    <s v="No"/>
    <x v="0"/>
    <s v="kiran.patel1343@company.com"/>
    <s v="Valid"/>
    <n v="9297493305"/>
    <s v="Valid"/>
    <x v="3"/>
  </r>
  <r>
    <x v="342"/>
    <s v="Priya"/>
    <s v="Reddy"/>
    <x v="0"/>
    <n v="30"/>
    <x v="1"/>
    <x v="1"/>
    <x v="4"/>
    <n v="46592"/>
    <s v="11-04-2022"/>
    <x v="4"/>
    <n v="12"/>
    <n v="1"/>
    <s v="No"/>
    <x v="0"/>
    <s v="Missing email"/>
    <s v="Invalid"/>
    <n v="9063887576"/>
    <s v="Valid"/>
    <x v="5"/>
  </r>
  <r>
    <x v="343"/>
    <s v="Meena"/>
    <s v="Sharma"/>
    <x v="1"/>
    <n v="54"/>
    <x v="0"/>
    <x v="3"/>
    <x v="4"/>
    <n v="81230"/>
    <s v="16-09-2019"/>
    <x v="1"/>
    <n v="11"/>
    <n v="5"/>
    <s v="No"/>
    <x v="0"/>
    <s v="meena.sharma1345@company.com"/>
    <s v="Valid"/>
    <n v="9978124410"/>
    <s v="Valid"/>
    <x v="2"/>
  </r>
  <r>
    <x v="344"/>
    <s v="Anil"/>
    <s v="Kumar"/>
    <x v="0"/>
    <n v="45"/>
    <x v="4"/>
    <x v="2"/>
    <x v="2"/>
    <n v="26494"/>
    <s v="05-11-2018"/>
    <x v="1"/>
    <n v="21"/>
    <n v="3"/>
    <s v="Yes"/>
    <x v="1"/>
    <s v="anil.kumar1346company.com"/>
    <s v="Invalid"/>
    <n v="9536545382"/>
    <s v="Valid"/>
    <x v="0"/>
  </r>
  <r>
    <x v="345"/>
    <s v="Arun"/>
    <s v="Sharma"/>
    <x v="1"/>
    <n v="48"/>
    <x v="2"/>
    <x v="2"/>
    <x v="1"/>
    <n v="109096"/>
    <s v="11-12-2019"/>
    <x v="0"/>
    <n v="20"/>
    <n v="4"/>
    <s v="No"/>
    <x v="0"/>
    <s v="arun.sharma1347@company.com"/>
    <s v="Valid"/>
    <n v="9585436037"/>
    <s v="Valid"/>
    <x v="0"/>
  </r>
  <r>
    <x v="346"/>
    <s v="Divya"/>
    <s v="Reddy"/>
    <x v="1"/>
    <n v="23"/>
    <x v="4"/>
    <x v="2"/>
    <x v="4"/>
    <n v="105913"/>
    <s v="03-03-2022"/>
    <x v="3"/>
    <n v="22"/>
    <n v="1"/>
    <s v="Yes"/>
    <x v="1"/>
    <s v="divya.reddy1348company.com"/>
    <s v="Invalid"/>
    <n v="9297215374"/>
    <s v="Valid"/>
    <x v="3"/>
  </r>
  <r>
    <x v="347"/>
    <s v="Anil"/>
    <s v="Sharma"/>
    <x v="1"/>
    <n v="54"/>
    <x v="3"/>
    <x v="2"/>
    <x v="4"/>
    <n v="51155"/>
    <s v="10-02-2025"/>
    <x v="4"/>
    <n v="22"/>
    <n v="3"/>
    <s v="No"/>
    <x v="1"/>
    <s v="anil.sharma1349@company.com"/>
    <s v="Valid"/>
    <n v="9252189567"/>
    <s v="Valid"/>
    <x v="2"/>
  </r>
  <r>
    <x v="348"/>
    <s v="Sneha"/>
    <s v="Singh"/>
    <x v="1"/>
    <n v="54"/>
    <x v="2"/>
    <x v="2"/>
    <x v="1"/>
    <n v="116168"/>
    <s v="01-02-2018"/>
    <x v="1"/>
    <n v="0"/>
    <n v="4"/>
    <s v="No"/>
    <x v="0"/>
    <s v="sneha.singh1350@company.com"/>
    <s v="Valid"/>
    <n v="9850783704"/>
    <s v="Valid"/>
    <x v="2"/>
  </r>
  <r>
    <x v="349"/>
    <s v="Rahul"/>
    <s v="Singh"/>
    <x v="1"/>
    <n v="34"/>
    <x v="0"/>
    <x v="2"/>
    <x v="1"/>
    <n v="34107"/>
    <s v="18-11-2018"/>
    <x v="2"/>
    <n v="19"/>
    <n v="2"/>
    <s v="No"/>
    <x v="0"/>
    <s v="rahul.singh1351@company.com"/>
    <s v="Valid"/>
    <n v="9239956682"/>
    <s v="Valid"/>
    <x v="5"/>
  </r>
  <r>
    <x v="350"/>
    <s v="Arun"/>
    <s v="Singh"/>
    <x v="1"/>
    <n v="54"/>
    <x v="0"/>
    <x v="0"/>
    <x v="3"/>
    <n v="84399"/>
    <s v="14-12-2021"/>
    <x v="1"/>
    <n v="4"/>
    <n v="1"/>
    <s v="Yes"/>
    <x v="0"/>
    <s v="arun.singh1352@company.com"/>
    <s v="Valid"/>
    <n v="9112959558"/>
    <s v="Valid"/>
    <x v="2"/>
  </r>
  <r>
    <x v="351"/>
    <s v="Anil"/>
    <s v="Reddy"/>
    <x v="0"/>
    <n v="25"/>
    <x v="3"/>
    <x v="4"/>
    <x v="0"/>
    <n v="56095"/>
    <s v="07-06-2023"/>
    <x v="4"/>
    <n v="21"/>
    <n v="2"/>
    <s v="No"/>
    <x v="0"/>
    <s v="anil.reddy1353@company.com"/>
    <s v="Valid"/>
    <n v="9789797931"/>
    <s v="Valid"/>
    <x v="1"/>
  </r>
  <r>
    <x v="352"/>
    <s v="Anil"/>
    <s v="Sharma"/>
    <x v="1"/>
    <n v="24"/>
    <x v="1"/>
    <x v="4"/>
    <x v="2"/>
    <n v="-52796"/>
    <s v="16-09-2023"/>
    <x v="1"/>
    <n v="25"/>
    <n v="2"/>
    <s v="Yes"/>
    <x v="1"/>
    <s v="anil.sharma1354@company.com"/>
    <s v="Valid"/>
    <n v="9913816912"/>
    <s v="Valid"/>
    <x v="3"/>
  </r>
  <r>
    <x v="353"/>
    <s v="Kiran"/>
    <s v="Reddy"/>
    <x v="0"/>
    <n v="43"/>
    <x v="3"/>
    <x v="0"/>
    <x v="4"/>
    <n v="40700"/>
    <s v="30-09-2022"/>
    <x v="3"/>
    <n v="2"/>
    <n v="5"/>
    <s v="Yes"/>
    <x v="0"/>
    <s v="kiran.reddy1355@company.com"/>
    <s v="Valid"/>
    <n v="9134208483"/>
    <s v="Valid"/>
    <x v="0"/>
  </r>
  <r>
    <x v="354"/>
    <s v="John"/>
    <s v="Patel"/>
    <x v="1"/>
    <n v="66"/>
    <x v="0"/>
    <x v="2"/>
    <x v="1"/>
    <n v="88536"/>
    <s v="18-02-2021"/>
    <x v="2"/>
    <n v="22"/>
    <n v="3"/>
    <s v="No"/>
    <x v="0"/>
    <s v="john.patel1356@company.com"/>
    <s v="Valid"/>
    <n v="9945494644"/>
    <s v="Valid"/>
    <x v="2"/>
  </r>
  <r>
    <x v="355"/>
    <s v="John"/>
    <s v="Singh"/>
    <x v="0"/>
    <n v="51"/>
    <x v="0"/>
    <x v="3"/>
    <x v="2"/>
    <n v="116525"/>
    <s v="06-03-2023"/>
    <x v="4"/>
    <n v="1"/>
    <n v="3"/>
    <s v="Yes"/>
    <x v="1"/>
    <s v="john.singh1357@company.com"/>
    <s v="Valid"/>
    <n v="9610514562"/>
    <s v="Valid"/>
    <x v="2"/>
  </r>
  <r>
    <x v="356"/>
    <s v="Ravi"/>
    <s v="Singh"/>
    <x v="1"/>
    <n v="42"/>
    <x v="1"/>
    <x v="4"/>
    <x v="2"/>
    <n v="89296"/>
    <s v="17-06-2020"/>
    <x v="1"/>
    <n v="24"/>
    <n v="3"/>
    <s v="Yes"/>
    <x v="1"/>
    <s v="ravi.singh1358@company.com"/>
    <s v="Valid"/>
    <n v="9982511337"/>
    <s v="Valid"/>
    <x v="0"/>
  </r>
  <r>
    <x v="357"/>
    <s v="Anil"/>
    <s v="Kumar"/>
    <x v="0"/>
    <n v="58"/>
    <x v="1"/>
    <x v="2"/>
    <x v="0"/>
    <n v="105629"/>
    <s v="13-01-2019"/>
    <x v="3"/>
    <n v="7"/>
    <n v="5"/>
    <s v="Yes"/>
    <x v="1"/>
    <s v="anil.kumar1359@company.com"/>
    <s v="Valid"/>
    <n v="9594391514"/>
    <s v="Valid"/>
    <x v="2"/>
  </r>
  <r>
    <x v="358"/>
    <s v="Ravi"/>
    <s v="Sharma"/>
    <x v="1"/>
    <n v="56"/>
    <x v="4"/>
    <x v="2"/>
    <x v="2"/>
    <n v="64080"/>
    <s v="20-04-2018"/>
    <x v="3"/>
    <n v="5"/>
    <n v="2"/>
    <s v="No"/>
    <x v="1"/>
    <s v="ravi.sharma1360@company.com"/>
    <s v="Valid"/>
    <n v="9587176445"/>
    <s v="Valid"/>
    <x v="2"/>
  </r>
  <r>
    <x v="359"/>
    <s v="Rahul"/>
    <s v="Kumar"/>
    <x v="0"/>
    <n v="29"/>
    <x v="4"/>
    <x v="4"/>
    <x v="1"/>
    <n v="71688"/>
    <s v="17-11-2023"/>
    <x v="3"/>
    <n v="15"/>
    <n v="4"/>
    <s v="No"/>
    <x v="0"/>
    <s v="rahul.kumar1361@company.com"/>
    <s v="Valid"/>
    <n v="9857133608"/>
    <s v="Valid"/>
    <x v="1"/>
  </r>
  <r>
    <x v="360"/>
    <s v="Sneha"/>
    <s v="Sharma"/>
    <x v="0"/>
    <n v="51"/>
    <x v="4"/>
    <x v="3"/>
    <x v="1"/>
    <n v="115545"/>
    <s v="07-05-2018"/>
    <x v="1"/>
    <n v="17"/>
    <n v="1"/>
    <s v="Yes"/>
    <x v="0"/>
    <s v="sneha.sharma1362@company.com"/>
    <s v="Valid"/>
    <n v="9333659557"/>
    <s v="Valid"/>
    <x v="2"/>
  </r>
  <r>
    <x v="361"/>
    <s v="Sneha"/>
    <s v="Singh"/>
    <x v="1"/>
    <n v="32"/>
    <x v="3"/>
    <x v="4"/>
    <x v="0"/>
    <n v="56282"/>
    <s v="19-04-2018"/>
    <x v="2"/>
    <n v="19"/>
    <n v="2"/>
    <s v="No"/>
    <x v="0"/>
    <s v="sneha.singh1363@company.com"/>
    <s v="Valid"/>
    <n v="9882033871"/>
    <s v="Valid"/>
    <x v="5"/>
  </r>
  <r>
    <x v="362"/>
    <s v="John"/>
    <s v="Patel"/>
    <x v="0"/>
    <n v="36"/>
    <x v="4"/>
    <x v="0"/>
    <x v="2"/>
    <n v="58740"/>
    <s v="30-08-2021"/>
    <x v="1"/>
    <n v="11"/>
    <n v="5"/>
    <s v="No"/>
    <x v="1"/>
    <s v="john.patel1364@company.com"/>
    <s v="Valid"/>
    <n v="9315074307"/>
    <s v="Valid"/>
    <x v="4"/>
  </r>
  <r>
    <x v="363"/>
    <s v="Divya"/>
    <s v="Reddy"/>
    <x v="0"/>
    <n v="26"/>
    <x v="4"/>
    <x v="2"/>
    <x v="0"/>
    <n v="26583"/>
    <s v="22-04-2021"/>
    <x v="1"/>
    <n v="20"/>
    <n v="2"/>
    <s v="Yes"/>
    <x v="0"/>
    <s v="divya.reddy1365@company.com"/>
    <s v="Valid"/>
    <n v="9525222311"/>
    <s v="Valid"/>
    <x v="1"/>
  </r>
  <r>
    <x v="364"/>
    <s v="Kiran"/>
    <s v="Sharma"/>
    <x v="1"/>
    <n v="57"/>
    <x v="2"/>
    <x v="0"/>
    <x v="0"/>
    <n v="92129"/>
    <s v="11-06-2022"/>
    <x v="1"/>
    <n v="19"/>
    <n v="3"/>
    <s v="No"/>
    <x v="0"/>
    <s v="kiran.sharma1366@company.com"/>
    <s v="Valid"/>
    <n v="9854502497"/>
    <s v="Valid"/>
    <x v="2"/>
  </r>
  <r>
    <x v="365"/>
    <s v="Priya"/>
    <s v="Sharma"/>
    <x v="1"/>
    <n v="52"/>
    <x v="3"/>
    <x v="2"/>
    <x v="4"/>
    <n v="28886"/>
    <s v="23-01-2019"/>
    <x v="4"/>
    <n v="16"/>
    <n v="4"/>
    <s v="No"/>
    <x v="0"/>
    <s v="priya.sharma1367@company.com"/>
    <s v="Valid"/>
    <n v="9621310711"/>
    <s v="Valid"/>
    <x v="2"/>
  </r>
  <r>
    <x v="366"/>
    <s v="Ravi"/>
    <s v="Kumar"/>
    <x v="0"/>
    <n v="39"/>
    <x v="4"/>
    <x v="3"/>
    <x v="4"/>
    <n v="-116181"/>
    <s v="08-05-2020"/>
    <x v="3"/>
    <n v="25"/>
    <n v="1"/>
    <s v="No"/>
    <x v="0"/>
    <s v="ravi.kumar1368@company.com"/>
    <s v="Valid"/>
    <n v="94889951"/>
    <s v="Invalid"/>
    <x v="4"/>
  </r>
  <r>
    <x v="367"/>
    <s v="Sneha"/>
    <s v="Singh"/>
    <x v="1"/>
    <n v="48"/>
    <x v="1"/>
    <x v="2"/>
    <x v="0"/>
    <n v="82208"/>
    <s v="27-01-2023"/>
    <x v="3"/>
    <n v="9"/>
    <n v="3"/>
    <s v="No"/>
    <x v="0"/>
    <s v="sneha.singh1369@company.com"/>
    <s v="Valid"/>
    <n v="9007221041"/>
    <s v="Valid"/>
    <x v="0"/>
  </r>
  <r>
    <x v="368"/>
    <s v="Ravi"/>
    <s v="Kumar"/>
    <x v="0"/>
    <n v="44"/>
    <x v="3"/>
    <x v="2"/>
    <x v="0"/>
    <n v="-100697"/>
    <s v="21-05-2018"/>
    <x v="3"/>
    <n v="21"/>
    <n v="1"/>
    <s v="No"/>
    <x v="0"/>
    <s v="ravi.kumar1370@company.com"/>
    <s v="Valid"/>
    <n v="9718379025"/>
    <s v="Valid"/>
    <x v="0"/>
  </r>
  <r>
    <x v="369"/>
    <s v="Rahul"/>
    <s v="Sharma"/>
    <x v="0"/>
    <n v="42"/>
    <x v="4"/>
    <x v="3"/>
    <x v="0"/>
    <n v="29048"/>
    <s v="22-02-2023"/>
    <x v="0"/>
    <n v="10"/>
    <n v="2"/>
    <s v="Yes"/>
    <x v="0"/>
    <s v="rahul.sharma1371@company.com"/>
    <s v="Valid"/>
    <n v="9784730340"/>
    <s v="Valid"/>
    <x v="0"/>
  </r>
  <r>
    <x v="370"/>
    <s v="Arun"/>
    <s v="Singh"/>
    <x v="1"/>
    <n v="48"/>
    <x v="1"/>
    <x v="2"/>
    <x v="3"/>
    <n v="44636"/>
    <s v="05-07-2020"/>
    <x v="2"/>
    <n v="24"/>
    <n v="3"/>
    <s v="Yes"/>
    <x v="0"/>
    <s v="arun.singh1372@company.com"/>
    <s v="Valid"/>
    <n v="9989821591"/>
    <s v="Valid"/>
    <x v="0"/>
  </r>
  <r>
    <x v="371"/>
    <s v="Anil"/>
    <s v="Singh"/>
    <x v="0"/>
    <n v="30"/>
    <x v="4"/>
    <x v="3"/>
    <x v="4"/>
    <n v="116569"/>
    <s v="11-03-2019"/>
    <x v="4"/>
    <n v="24"/>
    <n v="1"/>
    <s v="No"/>
    <x v="0"/>
    <s v="anil.singh1373@company.com"/>
    <s v="Valid"/>
    <n v="9228385226"/>
    <s v="Valid"/>
    <x v="5"/>
  </r>
  <r>
    <x v="372"/>
    <s v="John"/>
    <s v="Singh"/>
    <x v="1"/>
    <n v="31"/>
    <x v="4"/>
    <x v="4"/>
    <x v="0"/>
    <n v="101368"/>
    <s v="15-10-2021"/>
    <x v="0"/>
    <n v="5"/>
    <n v="2"/>
    <s v="No"/>
    <x v="1"/>
    <s v="john.singh1374@company.com"/>
    <s v="Valid"/>
    <n v="9324633900"/>
    <s v="Valid"/>
    <x v="5"/>
  </r>
  <r>
    <x v="373"/>
    <s v="Arun"/>
    <s v="Sharma"/>
    <x v="1"/>
    <n v="58"/>
    <x v="4"/>
    <x v="1"/>
    <x v="4"/>
    <n v="94848"/>
    <s v="26-05-2020"/>
    <x v="2"/>
    <n v="23"/>
    <n v="3"/>
    <s v="Yes"/>
    <x v="1"/>
    <s v="arun.sharma1375@company.com"/>
    <s v="Valid"/>
    <n v="9257408893"/>
    <s v="Valid"/>
    <x v="2"/>
  </r>
  <r>
    <x v="374"/>
    <s v="Anil"/>
    <s v="Reddy"/>
    <x v="0"/>
    <n v="40"/>
    <x v="1"/>
    <x v="4"/>
    <x v="2"/>
    <n v="29686"/>
    <s v="01-02-2024"/>
    <x v="3"/>
    <n v="8"/>
    <n v="4"/>
    <s v="Yes"/>
    <x v="0"/>
    <s v="anil.reddy1376@company.com"/>
    <s v="Valid"/>
    <n v="9873090047"/>
    <s v="Valid"/>
    <x v="0"/>
  </r>
  <r>
    <x v="375"/>
    <s v="Arun"/>
    <s v="Reddy"/>
    <x v="1"/>
    <n v="53"/>
    <x v="3"/>
    <x v="1"/>
    <x v="1"/>
    <n v="74554"/>
    <s v="04-12-2023"/>
    <x v="1"/>
    <n v="4"/>
    <n v="2"/>
    <s v="No"/>
    <x v="0"/>
    <s v="arun.reddy1377@company.com"/>
    <s v="Valid"/>
    <n v="9968035915"/>
    <s v="Valid"/>
    <x v="2"/>
  </r>
  <r>
    <x v="376"/>
    <s v="Arun"/>
    <s v="Sharma"/>
    <x v="1"/>
    <n v="23"/>
    <x v="4"/>
    <x v="3"/>
    <x v="4"/>
    <n v="110673"/>
    <s v="24-09-2021"/>
    <x v="4"/>
    <n v="22"/>
    <n v="5"/>
    <s v="No"/>
    <x v="1"/>
    <s v="arun.sharma1378@company.com"/>
    <s v="Valid"/>
    <n v="9699958770"/>
    <s v="Valid"/>
    <x v="3"/>
  </r>
  <r>
    <x v="377"/>
    <s v="Meena"/>
    <s v="Sharma"/>
    <x v="1"/>
    <n v="38"/>
    <x v="4"/>
    <x v="0"/>
    <x v="1"/>
    <n v="93217"/>
    <s v="08-09-2018"/>
    <x v="1"/>
    <n v="25"/>
    <n v="4"/>
    <s v="Yes"/>
    <x v="0"/>
    <s v="meena.sharma1379@company.com"/>
    <s v="Valid"/>
    <n v="9850454740"/>
    <s v="Valid"/>
    <x v="4"/>
  </r>
  <r>
    <x v="378"/>
    <s v="Rahul"/>
    <s v="Patel"/>
    <x v="0"/>
    <n v="27"/>
    <x v="2"/>
    <x v="2"/>
    <x v="1"/>
    <n v="52118"/>
    <s v="23-09-2021"/>
    <x v="0"/>
    <n v="22"/>
    <n v="1"/>
    <s v="No"/>
    <x v="0"/>
    <s v="rahul.patel1380@company.com"/>
    <s v="Valid"/>
    <n v="9490154347"/>
    <s v="Valid"/>
    <x v="1"/>
  </r>
  <r>
    <x v="379"/>
    <s v="John"/>
    <s v="Sharma"/>
    <x v="0"/>
    <n v="41"/>
    <x v="1"/>
    <x v="1"/>
    <x v="2"/>
    <n v="26170"/>
    <s v="09-12-2018"/>
    <x v="3"/>
    <n v="11"/>
    <n v="3"/>
    <s v="No"/>
    <x v="0"/>
    <s v="john.sharma1381@company.com"/>
    <s v="Valid"/>
    <n v="9007801884"/>
    <s v="Valid"/>
    <x v="0"/>
  </r>
  <r>
    <x v="380"/>
    <s v="Ravi"/>
    <s v="Reddy"/>
    <x v="0"/>
    <n v="28"/>
    <x v="1"/>
    <x v="1"/>
    <x v="4"/>
    <n v="80341"/>
    <s v="31-03-2019"/>
    <x v="1"/>
    <n v="18"/>
    <n v="2"/>
    <s v="No"/>
    <x v="0"/>
    <s v="ravi.reddy1382@company.com"/>
    <s v="Valid"/>
    <n v="9780089318"/>
    <s v="Valid"/>
    <x v="1"/>
  </r>
  <r>
    <x v="381"/>
    <s v="Anil"/>
    <s v="Singh"/>
    <x v="1"/>
    <n v="46"/>
    <x v="2"/>
    <x v="4"/>
    <x v="2"/>
    <n v="82091"/>
    <s v="09-10-2019"/>
    <x v="3"/>
    <n v="4"/>
    <n v="4"/>
    <s v="Yes"/>
    <x v="0"/>
    <s v="anil.singh1383@company.com"/>
    <s v="Valid"/>
    <n v="9059913116"/>
    <s v="Valid"/>
    <x v="0"/>
  </r>
  <r>
    <x v="382"/>
    <s v="Priya"/>
    <s v="Singh"/>
    <x v="1"/>
    <n v="47"/>
    <x v="0"/>
    <x v="0"/>
    <x v="4"/>
    <n v="108942"/>
    <s v="20-09-2018"/>
    <x v="2"/>
    <n v="18"/>
    <n v="1"/>
    <s v="No"/>
    <x v="0"/>
    <s v="priya.singh1384@company.com"/>
    <s v="Valid"/>
    <n v="9650834463"/>
    <s v="Valid"/>
    <x v="0"/>
  </r>
  <r>
    <x v="383"/>
    <s v="Ravi"/>
    <s v="Kumar"/>
    <x v="0"/>
    <n v="43"/>
    <x v="3"/>
    <x v="4"/>
    <x v="1"/>
    <n v="34925"/>
    <s v="29-09-2021"/>
    <x v="3"/>
    <n v="6"/>
    <n v="1"/>
    <s v="No"/>
    <x v="1"/>
    <s v="ravi.kumar1385@company.com"/>
    <s v="Valid"/>
    <n v="9532566860"/>
    <s v="Valid"/>
    <x v="0"/>
  </r>
  <r>
    <x v="384"/>
    <s v="Meena"/>
    <s v="Kumar"/>
    <x v="1"/>
    <n v="45"/>
    <x v="3"/>
    <x v="1"/>
    <x v="4"/>
    <n v="43929"/>
    <s v="13-12-2018"/>
    <x v="3"/>
    <n v="6"/>
    <n v="3"/>
    <s v="Yes"/>
    <x v="1"/>
    <s v="meena.kumar1386@company.com"/>
    <s v="Valid"/>
    <n v="9965383889"/>
    <s v="Valid"/>
    <x v="0"/>
  </r>
  <r>
    <x v="385"/>
    <s v="Meena"/>
    <s v="Reddy"/>
    <x v="0"/>
    <n v="32"/>
    <x v="3"/>
    <x v="0"/>
    <x v="0"/>
    <n v="82330"/>
    <s v="01-05-2019"/>
    <x v="1"/>
    <n v="18"/>
    <n v="5"/>
    <s v="Yes"/>
    <x v="0"/>
    <s v="meena.reddy1387@company.com"/>
    <s v="Valid"/>
    <n v="9115923379"/>
    <s v="Valid"/>
    <x v="5"/>
  </r>
  <r>
    <x v="386"/>
    <s v="Kiran"/>
    <s v="Patel"/>
    <x v="0"/>
    <n v="40"/>
    <x v="3"/>
    <x v="4"/>
    <x v="3"/>
    <n v="92029"/>
    <s v="26-02-2023"/>
    <x v="2"/>
    <n v="25"/>
    <n v="4"/>
    <s v="Yes"/>
    <x v="0"/>
    <s v="kiran.patel1388@company.com"/>
    <s v="Valid"/>
    <n v="9502485218"/>
    <s v="Valid"/>
    <x v="0"/>
  </r>
  <r>
    <x v="387"/>
    <s v="Sneha"/>
    <s v="Singh"/>
    <x v="1"/>
    <n v="44"/>
    <x v="1"/>
    <x v="1"/>
    <x v="3"/>
    <n v="59866"/>
    <s v="10-10-2024"/>
    <x v="1"/>
    <n v="24"/>
    <n v="1"/>
    <s v="Yes"/>
    <x v="0"/>
    <s v="sneha.singh1389@company.com"/>
    <s v="Valid"/>
    <n v="9026301752"/>
    <s v="Valid"/>
    <x v="0"/>
  </r>
  <r>
    <x v="388"/>
    <s v="Divya"/>
    <s v="Singh"/>
    <x v="1"/>
    <n v="52"/>
    <x v="3"/>
    <x v="0"/>
    <x v="1"/>
    <n v="109654"/>
    <s v="10-01-2025"/>
    <x v="1"/>
    <n v="16"/>
    <n v="1"/>
    <s v="Yes"/>
    <x v="0"/>
    <s v="divya.singh1390@company.com"/>
    <s v="Valid"/>
    <n v="9527598567"/>
    <s v="Valid"/>
    <x v="2"/>
  </r>
  <r>
    <x v="389"/>
    <s v="Kiran"/>
    <s v="Patel"/>
    <x v="1"/>
    <n v="50"/>
    <x v="2"/>
    <x v="1"/>
    <x v="1"/>
    <n v="47223"/>
    <s v="06-03-2020"/>
    <x v="2"/>
    <n v="13"/>
    <n v="1"/>
    <s v="Yes"/>
    <x v="1"/>
    <s v="kiran.patel1391@company.com"/>
    <s v="Valid"/>
    <n v="9242144648"/>
    <s v="Valid"/>
    <x v="2"/>
  </r>
  <r>
    <x v="390"/>
    <s v="Divya"/>
    <s v="Reddy"/>
    <x v="0"/>
    <n v="36"/>
    <x v="0"/>
    <x v="1"/>
    <x v="4"/>
    <n v="94567"/>
    <s v="20-03-2022"/>
    <x v="4"/>
    <n v="2"/>
    <n v="4"/>
    <s v="Yes"/>
    <x v="1"/>
    <s v="divya.reddy1392@company.com"/>
    <s v="Valid"/>
    <n v="9746628830"/>
    <s v="Valid"/>
    <x v="4"/>
  </r>
  <r>
    <x v="391"/>
    <s v="John"/>
    <s v="Singh"/>
    <x v="0"/>
    <n v="27"/>
    <x v="2"/>
    <x v="2"/>
    <x v="3"/>
    <n v="109016"/>
    <s v="02-09-2020"/>
    <x v="3"/>
    <n v="6"/>
    <n v="2"/>
    <s v="No"/>
    <x v="0"/>
    <s v="john.singh1393@company.com"/>
    <s v="Valid"/>
    <n v="9952291390"/>
    <s v="Valid"/>
    <x v="1"/>
  </r>
  <r>
    <x v="392"/>
    <s v="Rahul"/>
    <s v="Kumar"/>
    <x v="1"/>
    <n v="32"/>
    <x v="3"/>
    <x v="1"/>
    <x v="4"/>
    <n v="72958"/>
    <s v="07-09-2024"/>
    <x v="2"/>
    <n v="2"/>
    <n v="2"/>
    <s v="Yes"/>
    <x v="0"/>
    <s v="rahul.kumar1394@company.com"/>
    <s v="Valid"/>
    <n v="9615298632"/>
    <s v="Valid"/>
    <x v="5"/>
  </r>
  <r>
    <x v="393"/>
    <s v="Meena"/>
    <s v="Reddy"/>
    <x v="1"/>
    <n v="32"/>
    <x v="0"/>
    <x v="3"/>
    <x v="1"/>
    <n v="96542"/>
    <s v="22-04-2021"/>
    <x v="1"/>
    <n v="4"/>
    <n v="3"/>
    <s v="Yes"/>
    <x v="1"/>
    <s v="meena.reddy1395@company.com"/>
    <s v="Valid"/>
    <n v="9132112491"/>
    <s v="Valid"/>
    <x v="5"/>
  </r>
  <r>
    <x v="394"/>
    <s v="Priya"/>
    <s v="Kumar"/>
    <x v="1"/>
    <n v="23"/>
    <x v="3"/>
    <x v="3"/>
    <x v="4"/>
    <n v="113131"/>
    <s v="02-01-2025"/>
    <x v="0"/>
    <n v="7"/>
    <n v="3"/>
    <s v="No"/>
    <x v="1"/>
    <s v="priya.kumar1396@company.com"/>
    <s v="Valid"/>
    <n v="9037963447"/>
    <s v="Valid"/>
    <x v="3"/>
  </r>
  <r>
    <x v="395"/>
    <s v="Rahul"/>
    <s v="Reddy"/>
    <x v="0"/>
    <n v="46"/>
    <x v="1"/>
    <x v="1"/>
    <x v="0"/>
    <n v="41788"/>
    <s v="17-09-2019"/>
    <x v="1"/>
    <n v="1"/>
    <n v="4"/>
    <s v="Yes"/>
    <x v="0"/>
    <s v="rahul.reddy1397@company.com"/>
    <s v="Valid"/>
    <n v="9760482290"/>
    <s v="Valid"/>
    <x v="0"/>
  </r>
  <r>
    <x v="396"/>
    <s v="Kiran"/>
    <s v="Sharma"/>
    <x v="0"/>
    <n v="35"/>
    <x v="3"/>
    <x v="2"/>
    <x v="3"/>
    <n v="93917"/>
    <s v="09-04-2023"/>
    <x v="0"/>
    <n v="11"/>
    <n v="4"/>
    <s v="No"/>
    <x v="0"/>
    <s v="kiran.sharma1398@company.com"/>
    <s v="Valid"/>
    <n v="9094472236"/>
    <s v="Valid"/>
    <x v="4"/>
  </r>
  <r>
    <x v="397"/>
    <s v="Ravi"/>
    <s v="Kumar"/>
    <x v="1"/>
    <n v="51"/>
    <x v="2"/>
    <x v="0"/>
    <x v="3"/>
    <n v="104544"/>
    <s v="11-08-2021"/>
    <x v="3"/>
    <n v="9"/>
    <n v="5"/>
    <s v="No"/>
    <x v="1"/>
    <s v="ravi.kumar1399@company.com"/>
    <s v="Valid"/>
    <n v="9793271116"/>
    <s v="Valid"/>
    <x v="2"/>
  </r>
  <r>
    <x v="398"/>
    <s v="Anil"/>
    <s v="Patel"/>
    <x v="0"/>
    <n v="41"/>
    <x v="0"/>
    <x v="2"/>
    <x v="1"/>
    <n v="110637"/>
    <s v="26-05-2020"/>
    <x v="4"/>
    <n v="11"/>
    <n v="1"/>
    <s v="Yes"/>
    <x v="0"/>
    <s v="anil.patel1400@company.com"/>
    <s v="Valid"/>
    <n v="9507995532"/>
    <s v="Valid"/>
    <x v="0"/>
  </r>
  <r>
    <x v="399"/>
    <s v="Divya"/>
    <s v="Reddy"/>
    <x v="1"/>
    <n v="30"/>
    <x v="3"/>
    <x v="2"/>
    <x v="2"/>
    <n v="68060"/>
    <s v="26-03-2020"/>
    <x v="2"/>
    <n v="24"/>
    <n v="5"/>
    <s v="Yes"/>
    <x v="0"/>
    <s v="divya.reddy1401@company.com"/>
    <s v="Valid"/>
    <n v="9792647568"/>
    <s v="Valid"/>
    <x v="5"/>
  </r>
  <r>
    <x v="400"/>
    <s v="Priya"/>
    <s v="Kumar"/>
    <x v="1"/>
    <n v="43"/>
    <x v="1"/>
    <x v="2"/>
    <x v="1"/>
    <n v="54168"/>
    <s v="15-07-2020"/>
    <x v="2"/>
    <n v="25"/>
    <n v="5"/>
    <s v="Yes"/>
    <x v="1"/>
    <s v="priya.kumar1402@company.com"/>
    <s v="Valid"/>
    <n v="9823171591"/>
    <s v="Valid"/>
    <x v="0"/>
  </r>
  <r>
    <x v="401"/>
    <s v="Kiran"/>
    <s v="Reddy"/>
    <x v="0"/>
    <n v="30"/>
    <x v="3"/>
    <x v="0"/>
    <x v="3"/>
    <n v="113480"/>
    <s v="10-04-2023"/>
    <x v="4"/>
    <n v="13"/>
    <n v="1"/>
    <s v="Yes"/>
    <x v="0"/>
    <s v="kiran.reddy1403@company.com"/>
    <s v="Valid"/>
    <n v="9788185805"/>
    <s v="Valid"/>
    <x v="5"/>
  </r>
  <r>
    <x v="402"/>
    <s v="Rahul"/>
    <s v="Sharma"/>
    <x v="1"/>
    <n v="46"/>
    <x v="0"/>
    <x v="3"/>
    <x v="2"/>
    <n v="87391"/>
    <s v="29-09-2021"/>
    <x v="1"/>
    <n v="10"/>
    <n v="2"/>
    <s v="No"/>
    <x v="0"/>
    <s v="rahul.sharma1404@company.com"/>
    <s v="Valid"/>
    <n v="9441710398"/>
    <s v="Valid"/>
    <x v="0"/>
  </r>
  <r>
    <x v="403"/>
    <s v="Divya"/>
    <s v="Reddy"/>
    <x v="1"/>
    <n v="37"/>
    <x v="4"/>
    <x v="3"/>
    <x v="4"/>
    <n v="85265"/>
    <s v="01-01-2018"/>
    <x v="1"/>
    <n v="23"/>
    <n v="2"/>
    <s v="Yes"/>
    <x v="0"/>
    <s v="divya.reddy1405@company.com"/>
    <s v="Valid"/>
    <n v="9492436623"/>
    <s v="Valid"/>
    <x v="4"/>
  </r>
  <r>
    <x v="404"/>
    <s v="John"/>
    <s v="Patel"/>
    <x v="1"/>
    <n v="42"/>
    <x v="4"/>
    <x v="4"/>
    <x v="2"/>
    <n v="98615"/>
    <s v="12-05-2021"/>
    <x v="1"/>
    <n v="20"/>
    <n v="2"/>
    <s v="Yes"/>
    <x v="0"/>
    <s v="john.patel1406@company.com"/>
    <s v="Valid"/>
    <n v="9013530598"/>
    <s v="Valid"/>
    <x v="0"/>
  </r>
  <r>
    <x v="405"/>
    <s v="Rahul"/>
    <s v="Patel"/>
    <x v="0"/>
    <n v="35"/>
    <x v="1"/>
    <x v="1"/>
    <x v="2"/>
    <n v="-80407"/>
    <s v="13-12-2022"/>
    <x v="1"/>
    <n v="25"/>
    <n v="5"/>
    <s v="No"/>
    <x v="1"/>
    <s v="rahul.patel1407@company.com"/>
    <s v="Valid"/>
    <n v="9980714384"/>
    <s v="Valid"/>
    <x v="4"/>
  </r>
  <r>
    <x v="406"/>
    <s v="John"/>
    <s v="Patel"/>
    <x v="0"/>
    <n v="52"/>
    <x v="1"/>
    <x v="2"/>
    <x v="0"/>
    <n v="63173"/>
    <s v="17-03-2023"/>
    <x v="4"/>
    <n v="8"/>
    <n v="1"/>
    <s v="Yes"/>
    <x v="1"/>
    <s v="john.patel1408@company.com"/>
    <s v="Valid"/>
    <n v="9061444715"/>
    <s v="Valid"/>
    <x v="2"/>
  </r>
  <r>
    <x v="407"/>
    <s v="Arun"/>
    <s v="Patel"/>
    <x v="1"/>
    <n v="34"/>
    <x v="2"/>
    <x v="0"/>
    <x v="0"/>
    <n v="119704"/>
    <s v="15-02-2021"/>
    <x v="3"/>
    <n v="17"/>
    <n v="2"/>
    <s v="Yes"/>
    <x v="1"/>
    <s v="arun.patel1409@company.com"/>
    <s v="Valid"/>
    <n v="9602886604"/>
    <s v="Valid"/>
    <x v="5"/>
  </r>
  <r>
    <x v="408"/>
    <s v="Divya"/>
    <s v="Singh"/>
    <x v="1"/>
    <n v="35"/>
    <x v="4"/>
    <x v="0"/>
    <x v="2"/>
    <n v="119698"/>
    <s v="25-10-2023"/>
    <x v="2"/>
    <n v="23"/>
    <n v="5"/>
    <s v="No"/>
    <x v="1"/>
    <s v="divya.singh1410@company.com"/>
    <s v="Valid"/>
    <n v="9233264105"/>
    <s v="Valid"/>
    <x v="4"/>
  </r>
  <r>
    <x v="409"/>
    <s v="Arun"/>
    <s v="Reddy"/>
    <x v="0"/>
    <n v="51"/>
    <x v="3"/>
    <x v="4"/>
    <x v="3"/>
    <n v="52867"/>
    <s v="24-12-2021"/>
    <x v="4"/>
    <n v="19"/>
    <n v="2"/>
    <s v="Yes"/>
    <x v="1"/>
    <s v="arun.reddy1411@company.com"/>
    <s v="Valid"/>
    <n v="9622967340"/>
    <s v="Valid"/>
    <x v="2"/>
  </r>
  <r>
    <x v="410"/>
    <s v="Arun"/>
    <s v="Reddy"/>
    <x v="1"/>
    <n v="66"/>
    <x v="2"/>
    <x v="1"/>
    <x v="2"/>
    <n v="119782"/>
    <s v="22-09-2024"/>
    <x v="1"/>
    <n v="22"/>
    <n v="1"/>
    <s v="No"/>
    <x v="0"/>
    <s v="arun.reddy1412@company.com"/>
    <s v="Valid"/>
    <n v="9369560667"/>
    <s v="Valid"/>
    <x v="2"/>
  </r>
  <r>
    <x v="411"/>
    <s v="Arun"/>
    <s v="Patel"/>
    <x v="1"/>
    <n v="30"/>
    <x v="3"/>
    <x v="1"/>
    <x v="0"/>
    <n v="39228"/>
    <s v="06-01-2021"/>
    <x v="0"/>
    <n v="23"/>
    <n v="1"/>
    <s v="No"/>
    <x v="0"/>
    <s v="arun.patel1413@company.com"/>
    <s v="Valid"/>
    <n v="9304665415"/>
    <s v="Valid"/>
    <x v="5"/>
  </r>
  <r>
    <x v="412"/>
    <s v="Meena"/>
    <s v="Singh"/>
    <x v="0"/>
    <n v="58"/>
    <x v="0"/>
    <x v="4"/>
    <x v="1"/>
    <n v="59356"/>
    <s v="09-02-2019"/>
    <x v="1"/>
    <n v="0"/>
    <n v="4"/>
    <s v="No"/>
    <x v="0"/>
    <s v="meena.singh1414@company.com"/>
    <s v="Valid"/>
    <n v="9094423609"/>
    <s v="Valid"/>
    <x v="2"/>
  </r>
  <r>
    <x v="413"/>
    <s v="Sneha"/>
    <s v="Patel"/>
    <x v="0"/>
    <n v="41"/>
    <x v="3"/>
    <x v="0"/>
    <x v="2"/>
    <n v="54526"/>
    <s v="25-08-2020"/>
    <x v="3"/>
    <n v="6"/>
    <n v="4"/>
    <s v="No"/>
    <x v="0"/>
    <s v="sneha.patel1415@company.com"/>
    <s v="Valid"/>
    <n v="9790265742"/>
    <s v="Valid"/>
    <x v="0"/>
  </r>
  <r>
    <x v="414"/>
    <s v="Arun"/>
    <s v="Patel"/>
    <x v="0"/>
    <n v="50"/>
    <x v="3"/>
    <x v="2"/>
    <x v="0"/>
    <n v="63313"/>
    <s v="12-10-2021"/>
    <x v="2"/>
    <n v="9"/>
    <n v="2"/>
    <s v="No"/>
    <x v="1"/>
    <s v="arun.patel1416@company.com"/>
    <s v="Valid"/>
    <n v="9677025714"/>
    <s v="Valid"/>
    <x v="2"/>
  </r>
  <r>
    <x v="415"/>
    <s v="Kiran"/>
    <s v="Reddy"/>
    <x v="1"/>
    <n v="52"/>
    <x v="0"/>
    <x v="4"/>
    <x v="2"/>
    <n v="87015"/>
    <s v="25-03-2019"/>
    <x v="3"/>
    <n v="9"/>
    <n v="1"/>
    <s v="No"/>
    <x v="1"/>
    <s v="kiran.reddy1417@company.com"/>
    <s v="Valid"/>
    <n v="9136146751"/>
    <s v="Valid"/>
    <x v="2"/>
  </r>
  <r>
    <x v="416"/>
    <s v="Arun"/>
    <s v="Kumar"/>
    <x v="0"/>
    <n v="45"/>
    <x v="2"/>
    <x v="3"/>
    <x v="0"/>
    <n v="27764"/>
    <s v="25-06-2018"/>
    <x v="2"/>
    <n v="10"/>
    <n v="4"/>
    <s v="Yes"/>
    <x v="0"/>
    <s v="arun.kumar1418@company.com"/>
    <s v="Valid"/>
    <n v="9700749076"/>
    <s v="Valid"/>
    <x v="0"/>
  </r>
  <r>
    <x v="417"/>
    <s v="Anil"/>
    <s v="Reddy"/>
    <x v="1"/>
    <n v="28"/>
    <x v="1"/>
    <x v="3"/>
    <x v="2"/>
    <n v="117833"/>
    <s v="25-04-2021"/>
    <x v="2"/>
    <n v="1"/>
    <n v="4"/>
    <s v="Yes"/>
    <x v="1"/>
    <s v="anil.reddy1419@company.com"/>
    <s v="Valid"/>
    <n v="9585915558"/>
    <s v="Valid"/>
    <x v="1"/>
  </r>
  <r>
    <x v="418"/>
    <s v="Rahul"/>
    <s v="Singh"/>
    <x v="1"/>
    <n v="22"/>
    <x v="3"/>
    <x v="4"/>
    <x v="2"/>
    <n v="59620"/>
    <s v="22-07-2019"/>
    <x v="4"/>
    <n v="18"/>
    <n v="5"/>
    <s v="No"/>
    <x v="0"/>
    <s v="rahul.singh1420@company.com"/>
    <s v="Valid"/>
    <n v="9655836811"/>
    <s v="Valid"/>
    <x v="3"/>
  </r>
  <r>
    <x v="419"/>
    <s v="Meena"/>
    <s v="Sharma"/>
    <x v="0"/>
    <n v="25"/>
    <x v="1"/>
    <x v="3"/>
    <x v="4"/>
    <n v="99629"/>
    <s v="06-12-2020"/>
    <x v="3"/>
    <n v="17"/>
    <n v="1"/>
    <s v="No"/>
    <x v="1"/>
    <s v="meena.sharma1421@company.com"/>
    <s v="Valid"/>
    <n v="9863791724"/>
    <s v="Valid"/>
    <x v="1"/>
  </r>
  <r>
    <x v="420"/>
    <s v="Rahul"/>
    <s v="Sharma"/>
    <x v="0"/>
    <n v="29"/>
    <x v="1"/>
    <x v="2"/>
    <x v="4"/>
    <n v="71045"/>
    <s v="10-10-2018"/>
    <x v="2"/>
    <n v="1"/>
    <n v="4"/>
    <s v="Yes"/>
    <x v="0"/>
    <s v="rahul.sharma1422@company.com"/>
    <s v="Valid"/>
    <n v="9998723262"/>
    <s v="Valid"/>
    <x v="1"/>
  </r>
  <r>
    <x v="421"/>
    <s v="John"/>
    <s v="Patel"/>
    <x v="0"/>
    <n v="40"/>
    <x v="2"/>
    <x v="2"/>
    <x v="1"/>
    <n v="102263"/>
    <s v="08-02-2018"/>
    <x v="4"/>
    <n v="10"/>
    <n v="3"/>
    <s v="No"/>
    <x v="1"/>
    <s v="john.patel1423@company.com"/>
    <s v="Valid"/>
    <n v="9882993014"/>
    <s v="Valid"/>
    <x v="0"/>
  </r>
  <r>
    <x v="422"/>
    <s v="John"/>
    <s v="Singh"/>
    <x v="1"/>
    <n v="34"/>
    <x v="4"/>
    <x v="2"/>
    <x v="1"/>
    <n v="58494"/>
    <s v="02-09-2024"/>
    <x v="2"/>
    <n v="23"/>
    <n v="4"/>
    <s v="No"/>
    <x v="0"/>
    <s v="john.singh1424@company.com"/>
    <s v="Valid"/>
    <n v="9798989431"/>
    <s v="Valid"/>
    <x v="5"/>
  </r>
  <r>
    <x v="423"/>
    <s v="Anil"/>
    <s v="Sharma"/>
    <x v="0"/>
    <n v="45"/>
    <x v="2"/>
    <x v="4"/>
    <x v="4"/>
    <n v="56516"/>
    <s v="24-02-2020"/>
    <x v="0"/>
    <n v="6"/>
    <n v="1"/>
    <s v="Yes"/>
    <x v="1"/>
    <s v="anil.sharma1425@company.com"/>
    <s v="Valid"/>
    <n v="9706145975"/>
    <s v="Valid"/>
    <x v="0"/>
  </r>
  <r>
    <x v="424"/>
    <s v="Meena"/>
    <s v="Reddy"/>
    <x v="0"/>
    <n v="55"/>
    <x v="2"/>
    <x v="1"/>
    <x v="1"/>
    <n v="90132"/>
    <s v="19-11-2022"/>
    <x v="2"/>
    <n v="20"/>
    <n v="3"/>
    <s v="No"/>
    <x v="0"/>
    <s v="meena.reddy1426@company.com"/>
    <s v="Valid"/>
    <n v="9324875954"/>
    <s v="Valid"/>
    <x v="2"/>
  </r>
  <r>
    <x v="425"/>
    <s v="Meena"/>
    <s v="Reddy"/>
    <x v="1"/>
    <n v="23"/>
    <x v="4"/>
    <x v="4"/>
    <x v="3"/>
    <n v="95862"/>
    <s v="03-01-2023"/>
    <x v="1"/>
    <n v="17"/>
    <n v="2"/>
    <s v="No"/>
    <x v="0"/>
    <s v="meena.reddy1427@company.com"/>
    <s v="Valid"/>
    <n v="9511666148"/>
    <s v="Valid"/>
    <x v="3"/>
  </r>
  <r>
    <x v="426"/>
    <s v="Arun"/>
    <s v="Kumar"/>
    <x v="0"/>
    <n v="46"/>
    <x v="0"/>
    <x v="4"/>
    <x v="2"/>
    <n v="110369"/>
    <s v="27-08-2022"/>
    <x v="3"/>
    <n v="4"/>
    <n v="2"/>
    <s v="No"/>
    <x v="1"/>
    <s v="arun.kumar1428@company.com"/>
    <s v="Valid"/>
    <n v="9551609214"/>
    <s v="Valid"/>
    <x v="0"/>
  </r>
  <r>
    <x v="427"/>
    <s v="John"/>
    <s v="Singh"/>
    <x v="1"/>
    <n v="50"/>
    <x v="0"/>
    <x v="1"/>
    <x v="1"/>
    <n v="85867"/>
    <s v="19-05-2022"/>
    <x v="1"/>
    <n v="25"/>
    <n v="2"/>
    <s v="Yes"/>
    <x v="1"/>
    <s v="john.singh1429@company.com"/>
    <s v="Valid"/>
    <n v="9380022742"/>
    <s v="Valid"/>
    <x v="2"/>
  </r>
  <r>
    <x v="428"/>
    <s v="Anil"/>
    <s v="Kumar"/>
    <x v="1"/>
    <n v="48"/>
    <x v="1"/>
    <x v="4"/>
    <x v="2"/>
    <n v="78580"/>
    <s v="08-06-2019"/>
    <x v="3"/>
    <n v="16"/>
    <n v="5"/>
    <s v="No"/>
    <x v="1"/>
    <s v="anil.kumar1430@company.com"/>
    <s v="Valid"/>
    <n v="9844475681"/>
    <s v="Valid"/>
    <x v="0"/>
  </r>
  <r>
    <x v="429"/>
    <s v="Divya"/>
    <s v="Kumar"/>
    <x v="1"/>
    <n v="37"/>
    <x v="0"/>
    <x v="2"/>
    <x v="2"/>
    <n v="76897"/>
    <s v="23-03-2022"/>
    <x v="3"/>
    <n v="11"/>
    <n v="1"/>
    <s v="Yes"/>
    <x v="0"/>
    <s v="divya.kumar1431@company.com"/>
    <s v="Valid"/>
    <n v="9992629877"/>
    <s v="Valid"/>
    <x v="4"/>
  </r>
  <r>
    <x v="430"/>
    <s v="John"/>
    <s v="Reddy"/>
    <x v="1"/>
    <n v="49"/>
    <x v="3"/>
    <x v="4"/>
    <x v="0"/>
    <n v="60444"/>
    <s v="06-08-2023"/>
    <x v="3"/>
    <n v="20"/>
    <n v="1"/>
    <s v="No"/>
    <x v="0"/>
    <s v="john.reddy1432@company.com"/>
    <s v="Valid"/>
    <n v="9109548228"/>
    <s v="Valid"/>
    <x v="0"/>
  </r>
  <r>
    <x v="431"/>
    <s v="Meena"/>
    <s v="Sharma"/>
    <x v="0"/>
    <n v="50"/>
    <x v="2"/>
    <x v="4"/>
    <x v="3"/>
    <n v="76039"/>
    <s v="23-11-2021"/>
    <x v="4"/>
    <n v="19"/>
    <n v="5"/>
    <s v="No"/>
    <x v="1"/>
    <s v="meena.sharma1433@company.com"/>
    <s v="Valid"/>
    <n v="9402321036"/>
    <s v="Valid"/>
    <x v="2"/>
  </r>
  <r>
    <x v="432"/>
    <s v="Anil"/>
    <s v="Patel"/>
    <x v="0"/>
    <n v="38"/>
    <x v="3"/>
    <x v="3"/>
    <x v="2"/>
    <n v="55238"/>
    <s v="30-05-2020"/>
    <x v="0"/>
    <n v="19"/>
    <n v="1"/>
    <s v="No"/>
    <x v="1"/>
    <s v="anil.patel1434@company.com"/>
    <s v="Valid"/>
    <n v="9318382079"/>
    <s v="Valid"/>
    <x v="4"/>
  </r>
  <r>
    <x v="433"/>
    <s v="Anil"/>
    <s v="Singh"/>
    <x v="1"/>
    <n v="35"/>
    <x v="1"/>
    <x v="4"/>
    <x v="0"/>
    <n v="33686"/>
    <s v="09-10-2023"/>
    <x v="1"/>
    <n v="21"/>
    <n v="5"/>
    <s v="Yes"/>
    <x v="1"/>
    <s v="anil.singh1435@company.com"/>
    <s v="Valid"/>
    <n v="9763151700"/>
    <s v="Valid"/>
    <x v="4"/>
  </r>
  <r>
    <x v="434"/>
    <s v="Divya"/>
    <s v="Patel"/>
    <x v="1"/>
    <n v="55"/>
    <x v="4"/>
    <x v="2"/>
    <x v="0"/>
    <n v="26559"/>
    <s v="09-06-2022"/>
    <x v="3"/>
    <n v="12"/>
    <n v="2"/>
    <s v="No"/>
    <x v="1"/>
    <s v="divya.patel1436@company.com"/>
    <s v="Valid"/>
    <n v="9997181273"/>
    <s v="Valid"/>
    <x v="2"/>
  </r>
  <r>
    <x v="435"/>
    <s v="Anil"/>
    <s v="Sharma"/>
    <x v="0"/>
    <n v="53"/>
    <x v="3"/>
    <x v="4"/>
    <x v="4"/>
    <n v="49615"/>
    <s v="13-02-2018"/>
    <x v="3"/>
    <n v="23"/>
    <n v="4"/>
    <s v="Yes"/>
    <x v="1"/>
    <s v="anil.sharma1437@company.com"/>
    <s v="Valid"/>
    <n v="9012083574"/>
    <s v="Valid"/>
    <x v="2"/>
  </r>
  <r>
    <x v="436"/>
    <s v="Priya"/>
    <s v="Singh"/>
    <x v="1"/>
    <n v="57"/>
    <x v="4"/>
    <x v="4"/>
    <x v="2"/>
    <n v="51380"/>
    <s v="04-02-2023"/>
    <x v="4"/>
    <n v="13"/>
    <n v="2"/>
    <s v="No"/>
    <x v="1"/>
    <s v="priya.singh1438@company.com"/>
    <s v="Valid"/>
    <n v="9602059309"/>
    <s v="Valid"/>
    <x v="2"/>
  </r>
  <r>
    <x v="437"/>
    <s v="Priya"/>
    <s v="Sharma"/>
    <x v="0"/>
    <n v="38"/>
    <x v="1"/>
    <x v="0"/>
    <x v="4"/>
    <n v="97138"/>
    <s v="09-05-2022"/>
    <x v="0"/>
    <n v="19"/>
    <n v="4"/>
    <s v="Yes"/>
    <x v="1"/>
    <s v="priya.sharma1439@company.com"/>
    <s v="Valid"/>
    <n v="9747674171"/>
    <s v="Valid"/>
    <x v="4"/>
  </r>
  <r>
    <x v="438"/>
    <s v="Divya"/>
    <s v="Sharma"/>
    <x v="0"/>
    <n v="30"/>
    <x v="1"/>
    <x v="0"/>
    <x v="2"/>
    <n v="29447"/>
    <s v="14-07-2022"/>
    <x v="4"/>
    <n v="18"/>
    <n v="3"/>
    <s v="No"/>
    <x v="1"/>
    <s v="divya.sharma1440@company.com"/>
    <s v="Valid"/>
    <n v="9889731851"/>
    <s v="Valid"/>
    <x v="5"/>
  </r>
  <r>
    <x v="439"/>
    <s v="Meena"/>
    <s v="Singh"/>
    <x v="1"/>
    <n v="31"/>
    <x v="0"/>
    <x v="2"/>
    <x v="2"/>
    <n v="103959"/>
    <s v="26-06-2023"/>
    <x v="3"/>
    <n v="20"/>
    <n v="3"/>
    <s v="Yes"/>
    <x v="0"/>
    <s v="meena.singh1441@company.com"/>
    <s v="Valid"/>
    <n v="9188041197"/>
    <s v="Valid"/>
    <x v="5"/>
  </r>
  <r>
    <x v="440"/>
    <s v="Meena"/>
    <s v="Patel"/>
    <x v="1"/>
    <n v="48"/>
    <x v="1"/>
    <x v="4"/>
    <x v="1"/>
    <n v="41623"/>
    <s v="09-09-2021"/>
    <x v="0"/>
    <n v="21"/>
    <n v="2"/>
    <s v="No"/>
    <x v="1"/>
    <s v="meena.patel1442@company.com"/>
    <s v="Valid"/>
    <n v="9839340288"/>
    <s v="Valid"/>
    <x v="0"/>
  </r>
  <r>
    <x v="441"/>
    <s v="Sneha"/>
    <s v="Reddy"/>
    <x v="1"/>
    <n v="33"/>
    <x v="3"/>
    <x v="0"/>
    <x v="4"/>
    <n v="69603"/>
    <s v="15-02-2020"/>
    <x v="4"/>
    <n v="14"/>
    <n v="3"/>
    <s v="No"/>
    <x v="0"/>
    <s v="sneha.reddy1443@company.com"/>
    <s v="Valid"/>
    <n v="9253620829"/>
    <s v="Valid"/>
    <x v="5"/>
  </r>
  <r>
    <x v="442"/>
    <s v="Meena"/>
    <s v="Singh"/>
    <x v="1"/>
    <n v="41"/>
    <x v="3"/>
    <x v="4"/>
    <x v="2"/>
    <n v="88395"/>
    <s v="21-06-2021"/>
    <x v="4"/>
    <n v="5"/>
    <n v="5"/>
    <s v="Yes"/>
    <x v="0"/>
    <s v="meena.singh1444@company.com"/>
    <s v="Valid"/>
    <n v="9737514494"/>
    <s v="Valid"/>
    <x v="0"/>
  </r>
  <r>
    <x v="443"/>
    <s v="Divya"/>
    <s v="Kumar"/>
    <x v="1"/>
    <n v="39"/>
    <x v="3"/>
    <x v="3"/>
    <x v="3"/>
    <s v="Missing"/>
    <s v="09-07-2019"/>
    <x v="0"/>
    <n v="15"/>
    <n v="4"/>
    <s v="No"/>
    <x v="0"/>
    <s v="divya.kumar1445company.com"/>
    <s v="Invalid"/>
    <n v="9822649115"/>
    <s v="Valid"/>
    <x v="4"/>
  </r>
  <r>
    <x v="444"/>
    <s v="Divya"/>
    <s v="Patel"/>
    <x v="1"/>
    <n v="57"/>
    <x v="4"/>
    <x v="0"/>
    <x v="1"/>
    <n v="64285"/>
    <s v="13-07-2023"/>
    <x v="2"/>
    <n v="22"/>
    <n v="1"/>
    <s v="Yes"/>
    <x v="1"/>
    <s v="divya.patel1446@company.com"/>
    <s v="Valid"/>
    <n v="9325446777"/>
    <s v="Valid"/>
    <x v="2"/>
  </r>
  <r>
    <x v="445"/>
    <s v="Divya"/>
    <s v="Kumar"/>
    <x v="0"/>
    <n v="29"/>
    <x v="0"/>
    <x v="0"/>
    <x v="1"/>
    <n v="52686"/>
    <s v="13-10-2024"/>
    <x v="4"/>
    <n v="23"/>
    <n v="2"/>
    <s v="No"/>
    <x v="1"/>
    <s v="divya.kumar1447@company.com"/>
    <s v="Valid"/>
    <n v="9667942810"/>
    <s v="Valid"/>
    <x v="1"/>
  </r>
  <r>
    <x v="446"/>
    <s v="Sneha"/>
    <s v="Sharma"/>
    <x v="1"/>
    <n v="50"/>
    <x v="2"/>
    <x v="2"/>
    <x v="0"/>
    <n v="75477"/>
    <s v="02-02-2019"/>
    <x v="4"/>
    <n v="25"/>
    <n v="3"/>
    <s v="No"/>
    <x v="1"/>
    <s v="sneha.sharma1448@company.com"/>
    <s v="Valid"/>
    <n v="9847588995"/>
    <s v="Valid"/>
    <x v="2"/>
  </r>
  <r>
    <x v="104"/>
    <s v="Arun"/>
    <s v="Patel"/>
    <x v="1"/>
    <n v="58"/>
    <x v="3"/>
    <x v="1"/>
    <x v="1"/>
    <n v="94134"/>
    <s v="11-12-2021"/>
    <x v="0"/>
    <n v="12"/>
    <n v="3"/>
    <s v="No"/>
    <x v="1"/>
    <s v="arun.patel1105@company.com"/>
    <s v="Valid"/>
    <n v="9967297289"/>
    <s v="Valid"/>
    <x v="2"/>
  </r>
  <r>
    <x v="447"/>
    <s v="Meena"/>
    <s v="Singh"/>
    <x v="0"/>
    <n v="40"/>
    <x v="4"/>
    <x v="4"/>
    <x v="4"/>
    <n v="105844"/>
    <s v="10-02-2022"/>
    <x v="0"/>
    <n v="2"/>
    <n v="4"/>
    <s v="No"/>
    <x v="0"/>
    <s v="meena.singh1450@company.com"/>
    <s v="Valid"/>
    <n v="96011446"/>
    <s v="Invalid"/>
    <x v="0"/>
  </r>
  <r>
    <x v="448"/>
    <s v="Ravi"/>
    <s v="Kumar"/>
    <x v="1"/>
    <n v="45"/>
    <x v="3"/>
    <x v="0"/>
    <x v="0"/>
    <n v="96824"/>
    <s v="18-12-2024"/>
    <x v="0"/>
    <n v="19"/>
    <n v="1"/>
    <s v="No"/>
    <x v="1"/>
    <s v="ravi.kumar1451@company.com"/>
    <s v="Valid"/>
    <n v="9871929148"/>
    <s v="Valid"/>
    <x v="0"/>
  </r>
  <r>
    <x v="449"/>
    <s v="Kiran"/>
    <s v="Singh"/>
    <x v="0"/>
    <n v="25"/>
    <x v="3"/>
    <x v="1"/>
    <x v="1"/>
    <n v="75972"/>
    <s v="19-05-2021"/>
    <x v="0"/>
    <n v="15"/>
    <n v="5"/>
    <s v="No"/>
    <x v="0"/>
    <s v="kiran.singh1452@company.com"/>
    <s v="Valid"/>
    <n v="9296760892"/>
    <s v="Valid"/>
    <x v="1"/>
  </r>
  <r>
    <x v="450"/>
    <s v="Divya"/>
    <s v="Singh"/>
    <x v="1"/>
    <n v="26"/>
    <x v="2"/>
    <x v="0"/>
    <x v="2"/>
    <n v="115349"/>
    <s v="28-06-2024"/>
    <x v="0"/>
    <n v="17"/>
    <n v="1"/>
    <s v="No"/>
    <x v="1"/>
    <s v="divya.singh1453@company.com"/>
    <s v="Valid"/>
    <n v="9388905276"/>
    <s v="Valid"/>
    <x v="1"/>
  </r>
  <r>
    <x v="451"/>
    <s v="John"/>
    <s v="Sharma"/>
    <x v="1"/>
    <n v="45"/>
    <x v="3"/>
    <x v="4"/>
    <x v="0"/>
    <n v="73719"/>
    <s v="13-10-2021"/>
    <x v="3"/>
    <n v="19"/>
    <n v="1"/>
    <s v="Yes"/>
    <x v="1"/>
    <s v="john.sharma1454@company.com"/>
    <s v="Valid"/>
    <n v="9312650783"/>
    <s v="Valid"/>
    <x v="0"/>
  </r>
  <r>
    <x v="452"/>
    <s v="Sneha"/>
    <s v="Sharma"/>
    <x v="0"/>
    <n v="49"/>
    <x v="3"/>
    <x v="3"/>
    <x v="2"/>
    <n v="49024"/>
    <s v="02-12-2023"/>
    <x v="4"/>
    <n v="2"/>
    <n v="5"/>
    <s v="Yes"/>
    <x v="1"/>
    <s v="sneha.sharma1455@company.com"/>
    <s v="Valid"/>
    <n v="9081207908"/>
    <s v="Valid"/>
    <x v="0"/>
  </r>
  <r>
    <x v="453"/>
    <s v="Sneha"/>
    <s v="Sharma"/>
    <x v="0"/>
    <n v="27"/>
    <x v="3"/>
    <x v="2"/>
    <x v="4"/>
    <n v="27949"/>
    <s v="25-07-2024"/>
    <x v="1"/>
    <n v="13"/>
    <n v="5"/>
    <s v="Yes"/>
    <x v="0"/>
    <s v="sneha.sharma1456@company.com"/>
    <s v="Valid"/>
    <n v="9970105834"/>
    <s v="Valid"/>
    <x v="1"/>
  </r>
  <r>
    <x v="454"/>
    <s v="John"/>
    <s v="Reddy"/>
    <x v="0"/>
    <n v="56"/>
    <x v="1"/>
    <x v="1"/>
    <x v="3"/>
    <n v="46775"/>
    <s v="05-03-2018"/>
    <x v="1"/>
    <n v="5"/>
    <n v="3"/>
    <s v="Yes"/>
    <x v="0"/>
    <s v="john.reddy1457@company.com"/>
    <s v="Valid"/>
    <n v="9513408382"/>
    <s v="Valid"/>
    <x v="2"/>
  </r>
  <r>
    <x v="455"/>
    <s v="John"/>
    <s v="Sharma"/>
    <x v="0"/>
    <n v="31"/>
    <x v="0"/>
    <x v="0"/>
    <x v="2"/>
    <n v="-77391"/>
    <s v="16-05-2022"/>
    <x v="0"/>
    <n v="6"/>
    <n v="2"/>
    <s v="No"/>
    <x v="1"/>
    <s v="john.sharma1458@company.com"/>
    <s v="Valid"/>
    <n v="9037644931"/>
    <s v="Valid"/>
    <x v="5"/>
  </r>
  <r>
    <x v="456"/>
    <s v="Arun"/>
    <s v="Patel"/>
    <x v="0"/>
    <n v="30"/>
    <x v="3"/>
    <x v="3"/>
    <x v="1"/>
    <n v="62581"/>
    <s v="11-08-2024"/>
    <x v="2"/>
    <n v="18"/>
    <n v="4"/>
    <s v="Yes"/>
    <x v="1"/>
    <s v="arun.patel1459@company.com"/>
    <s v="Valid"/>
    <n v="9920201071"/>
    <s v="Valid"/>
    <x v="5"/>
  </r>
  <r>
    <x v="457"/>
    <s v="John"/>
    <s v="Reddy"/>
    <x v="0"/>
    <n v="51"/>
    <x v="4"/>
    <x v="3"/>
    <x v="4"/>
    <n v="38926"/>
    <s v="11-11-2020"/>
    <x v="1"/>
    <n v="5"/>
    <n v="5"/>
    <s v="Yes"/>
    <x v="0"/>
    <s v="john.reddy1460@company.com"/>
    <s v="Valid"/>
    <n v="9747662409"/>
    <s v="Valid"/>
    <x v="2"/>
  </r>
  <r>
    <x v="458"/>
    <s v="Rahul"/>
    <s v="Sharma"/>
    <x v="1"/>
    <n v="52"/>
    <x v="2"/>
    <x v="2"/>
    <x v="1"/>
    <n v="72778"/>
    <s v="23-08-2021"/>
    <x v="2"/>
    <n v="25"/>
    <n v="3"/>
    <s v="No"/>
    <x v="0"/>
    <s v="rahul.sharma1461@company.com"/>
    <s v="Valid"/>
    <n v="9288581370"/>
    <s v="Valid"/>
    <x v="2"/>
  </r>
  <r>
    <x v="459"/>
    <s v="Ravi"/>
    <s v="Sharma"/>
    <x v="0"/>
    <n v="25"/>
    <x v="3"/>
    <x v="0"/>
    <x v="3"/>
    <n v="55600"/>
    <s v="25-11-2023"/>
    <x v="4"/>
    <n v="11"/>
    <n v="5"/>
    <s v="No"/>
    <x v="1"/>
    <s v="ravi.sharma1462@company.com"/>
    <s v="Valid"/>
    <n v="9210586960"/>
    <s v="Valid"/>
    <x v="1"/>
  </r>
  <r>
    <x v="460"/>
    <s v="Kiran"/>
    <s v="Reddy"/>
    <x v="0"/>
    <n v="37"/>
    <x v="2"/>
    <x v="0"/>
    <x v="0"/>
    <n v="32342"/>
    <s v="03-01-2025"/>
    <x v="2"/>
    <n v="17"/>
    <n v="1"/>
    <s v="No"/>
    <x v="0"/>
    <s v="kiran.reddy1463@company.com"/>
    <s v="Valid"/>
    <n v="9295935861"/>
    <s v="Valid"/>
    <x v="4"/>
  </r>
  <r>
    <x v="461"/>
    <s v="Rahul"/>
    <s v="Reddy"/>
    <x v="0"/>
    <n v="38"/>
    <x v="1"/>
    <x v="4"/>
    <x v="2"/>
    <n v="77833"/>
    <s v="31-03-2023"/>
    <x v="0"/>
    <n v="19"/>
    <n v="3"/>
    <s v="No"/>
    <x v="0"/>
    <s v="rahul.reddy1464@company.com"/>
    <s v="Valid"/>
    <n v="9158646366"/>
    <s v="Valid"/>
    <x v="4"/>
  </r>
  <r>
    <x v="462"/>
    <s v="Priya"/>
    <s v="Kumar"/>
    <x v="0"/>
    <n v="56"/>
    <x v="3"/>
    <x v="3"/>
    <x v="3"/>
    <n v="49962"/>
    <s v="29-03-2019"/>
    <x v="2"/>
    <n v="14"/>
    <n v="4"/>
    <s v="Yes"/>
    <x v="0"/>
    <s v="priya.kumar1465company.com"/>
    <s v="Invalid"/>
    <n v="9820814663"/>
    <s v="Valid"/>
    <x v="2"/>
  </r>
  <r>
    <x v="463"/>
    <s v="Arun"/>
    <s v="Reddy"/>
    <x v="1"/>
    <n v="52"/>
    <x v="1"/>
    <x v="0"/>
    <x v="4"/>
    <n v="92644"/>
    <s v="14-04-2018"/>
    <x v="2"/>
    <n v="10"/>
    <n v="4"/>
    <s v="Yes"/>
    <x v="0"/>
    <s v="arun.reddy1466@company.com"/>
    <s v="Valid"/>
    <n v="9571615148"/>
    <s v="Valid"/>
    <x v="2"/>
  </r>
  <r>
    <x v="464"/>
    <s v="Sneha"/>
    <s v="Sharma"/>
    <x v="1"/>
    <n v="27"/>
    <x v="0"/>
    <x v="0"/>
    <x v="3"/>
    <n v="62319"/>
    <s v="09-02-2019"/>
    <x v="4"/>
    <n v="19"/>
    <n v="1"/>
    <s v="No"/>
    <x v="0"/>
    <s v="sneha.sharma1467@company.com"/>
    <s v="Valid"/>
    <n v="9858320325"/>
    <s v="Valid"/>
    <x v="1"/>
  </r>
  <r>
    <x v="465"/>
    <s v="Divya"/>
    <s v="Patel"/>
    <x v="1"/>
    <n v="42"/>
    <x v="4"/>
    <x v="2"/>
    <x v="2"/>
    <n v="100720"/>
    <s v="06-06-2018"/>
    <x v="0"/>
    <n v="4"/>
    <n v="4"/>
    <s v="No"/>
    <x v="1"/>
    <s v="divya.patel1468@company.com"/>
    <s v="Valid"/>
    <n v="9152859148"/>
    <s v="Valid"/>
    <x v="0"/>
  </r>
  <r>
    <x v="466"/>
    <s v="Ravi"/>
    <s v="Sharma"/>
    <x v="0"/>
    <n v="28"/>
    <x v="0"/>
    <x v="3"/>
    <x v="3"/>
    <n v="33918"/>
    <s v="11-12-2018"/>
    <x v="3"/>
    <n v="19"/>
    <n v="5"/>
    <s v="No"/>
    <x v="1"/>
    <s v="ravi.sharma1469@company.com"/>
    <s v="Valid"/>
    <n v="91034022"/>
    <s v="Invalid"/>
    <x v="1"/>
  </r>
  <r>
    <x v="467"/>
    <s v="Rahul"/>
    <s v="Singh"/>
    <x v="1"/>
    <n v="37"/>
    <x v="3"/>
    <x v="4"/>
    <x v="1"/>
    <n v="94383"/>
    <s v="09-07-2024"/>
    <x v="1"/>
    <n v="9"/>
    <n v="5"/>
    <s v="No"/>
    <x v="1"/>
    <s v="rahul.singh1470@company.com"/>
    <s v="Valid"/>
    <n v="9789560517"/>
    <s v="Valid"/>
    <x v="4"/>
  </r>
  <r>
    <x v="468"/>
    <s v="Arun"/>
    <s v="Reddy"/>
    <x v="1"/>
    <n v="51"/>
    <x v="4"/>
    <x v="4"/>
    <x v="3"/>
    <n v="103074"/>
    <s v="18-08-2019"/>
    <x v="4"/>
    <n v="2"/>
    <n v="2"/>
    <s v="No"/>
    <x v="1"/>
    <s v="arun.reddy1471@company.com"/>
    <s v="Valid"/>
    <n v="9263363028"/>
    <s v="Valid"/>
    <x v="2"/>
  </r>
  <r>
    <x v="469"/>
    <s v="Sneha"/>
    <s v="Sharma"/>
    <x v="1"/>
    <n v="30"/>
    <x v="1"/>
    <x v="2"/>
    <x v="0"/>
    <n v="70382"/>
    <s v="05-04-2024"/>
    <x v="2"/>
    <n v="22"/>
    <n v="2"/>
    <s v="Yes"/>
    <x v="1"/>
    <s v="sneha.sharma1472@company.com"/>
    <s v="Valid"/>
    <n v="9017913291"/>
    <s v="Valid"/>
    <x v="5"/>
  </r>
  <r>
    <x v="470"/>
    <s v="Sneha"/>
    <s v="Reddy"/>
    <x v="0"/>
    <n v="47"/>
    <x v="0"/>
    <x v="0"/>
    <x v="2"/>
    <n v="66307"/>
    <s v="06-08-2021"/>
    <x v="2"/>
    <n v="4"/>
    <n v="4"/>
    <s v="Yes"/>
    <x v="0"/>
    <s v="sneha.reddy1473@company.com"/>
    <s v="Valid"/>
    <n v="9871753667"/>
    <s v="Valid"/>
    <x v="0"/>
  </r>
  <r>
    <x v="471"/>
    <s v="Priya"/>
    <s v="Singh"/>
    <x v="0"/>
    <n v="26"/>
    <x v="0"/>
    <x v="2"/>
    <x v="4"/>
    <n v="-60112"/>
    <s v="28-11-2020"/>
    <x v="2"/>
    <n v="1"/>
    <n v="4"/>
    <s v="Yes"/>
    <x v="1"/>
    <s v="priya.singh1474@company.com"/>
    <s v="Valid"/>
    <n v="9768237318"/>
    <s v="Valid"/>
    <x v="1"/>
  </r>
  <r>
    <x v="472"/>
    <s v="Sneha"/>
    <s v="Sharma"/>
    <x v="1"/>
    <n v="32"/>
    <x v="1"/>
    <x v="1"/>
    <x v="4"/>
    <n v="113156"/>
    <s v="01-05-2018"/>
    <x v="3"/>
    <n v="6"/>
    <n v="4"/>
    <s v="No"/>
    <x v="0"/>
    <s v="sneha.sharma1475@company.com"/>
    <s v="Valid"/>
    <n v="9586765746"/>
    <s v="Valid"/>
    <x v="5"/>
  </r>
  <r>
    <x v="473"/>
    <s v="Priya"/>
    <s v="Singh"/>
    <x v="0"/>
    <n v="27"/>
    <x v="2"/>
    <x v="1"/>
    <x v="4"/>
    <n v="31181"/>
    <s v="09-06-2023"/>
    <x v="3"/>
    <n v="9"/>
    <n v="1"/>
    <s v="No"/>
    <x v="0"/>
    <s v="priya.singh1476@company.com"/>
    <s v="Valid"/>
    <n v="9483361645"/>
    <s v="Valid"/>
    <x v="1"/>
  </r>
  <r>
    <x v="474"/>
    <s v="Divya"/>
    <s v="Reddy"/>
    <x v="0"/>
    <n v="55"/>
    <x v="1"/>
    <x v="1"/>
    <x v="1"/>
    <n v="79827"/>
    <s v="28-02-2022"/>
    <x v="1"/>
    <n v="14"/>
    <n v="5"/>
    <s v="No"/>
    <x v="0"/>
    <s v="divya.reddy1477@company.com"/>
    <s v="Valid"/>
    <n v="9080220620"/>
    <s v="Valid"/>
    <x v="2"/>
  </r>
  <r>
    <x v="475"/>
    <s v="Divya"/>
    <s v="Kumar"/>
    <x v="0"/>
    <n v="30"/>
    <x v="4"/>
    <x v="0"/>
    <x v="0"/>
    <n v="117275"/>
    <s v="10-10-2022"/>
    <x v="3"/>
    <n v="14"/>
    <n v="1"/>
    <s v="Yes"/>
    <x v="0"/>
    <s v="divya.kumar1478@company.com"/>
    <s v="Valid"/>
    <n v="9688555071"/>
    <s v="Valid"/>
    <x v="5"/>
  </r>
  <r>
    <x v="476"/>
    <s v="Priya"/>
    <s v="Sharma"/>
    <x v="1"/>
    <n v="25"/>
    <x v="4"/>
    <x v="4"/>
    <x v="1"/>
    <n v="32846"/>
    <s v="24-06-2018"/>
    <x v="4"/>
    <n v="6"/>
    <n v="3"/>
    <s v="No"/>
    <x v="1"/>
    <s v="priya.sharma1479@company.com"/>
    <s v="Valid"/>
    <n v="9074755486"/>
    <s v="Valid"/>
    <x v="1"/>
  </r>
  <r>
    <x v="477"/>
    <s v="Sneha"/>
    <s v="Singh"/>
    <x v="1"/>
    <n v="44"/>
    <x v="0"/>
    <x v="1"/>
    <x v="2"/>
    <n v="35776"/>
    <s v="07-01-2024"/>
    <x v="3"/>
    <n v="24"/>
    <n v="2"/>
    <s v="Yes"/>
    <x v="1"/>
    <s v="sneha.singh1480@company.com"/>
    <s v="Valid"/>
    <n v="9865018721"/>
    <s v="Valid"/>
    <x v="0"/>
  </r>
  <r>
    <x v="478"/>
    <s v="Arun"/>
    <s v="Sharma"/>
    <x v="0"/>
    <n v="31"/>
    <x v="2"/>
    <x v="2"/>
    <x v="2"/>
    <n v="94898"/>
    <s v="21-03-2024"/>
    <x v="0"/>
    <n v="11"/>
    <n v="3"/>
    <s v="No"/>
    <x v="1"/>
    <s v="arun.sharma1481@company.com"/>
    <s v="Valid"/>
    <n v="9996895210"/>
    <s v="Valid"/>
    <x v="5"/>
  </r>
  <r>
    <x v="479"/>
    <s v="Arun"/>
    <s v="Kumar"/>
    <x v="0"/>
    <n v="28"/>
    <x v="1"/>
    <x v="3"/>
    <x v="1"/>
    <n v="57684"/>
    <s v="01-09-2021"/>
    <x v="1"/>
    <n v="11"/>
    <n v="2"/>
    <s v="No"/>
    <x v="1"/>
    <s v="arun.kumar1482@company.com"/>
    <s v="Valid"/>
    <n v="9071819771"/>
    <s v="Valid"/>
    <x v="1"/>
  </r>
  <r>
    <x v="480"/>
    <s v="Arun"/>
    <s v="Kumar"/>
    <x v="0"/>
    <n v="42"/>
    <x v="0"/>
    <x v="4"/>
    <x v="1"/>
    <n v="119703"/>
    <s v="19-03-2020"/>
    <x v="4"/>
    <n v="5"/>
    <n v="5"/>
    <s v="Yes"/>
    <x v="0"/>
    <s v="arun.kumar1483@company.com"/>
    <s v="Valid"/>
    <n v="9996588264"/>
    <s v="Valid"/>
    <x v="0"/>
  </r>
  <r>
    <x v="481"/>
    <s v="Anil"/>
    <s v="Patel"/>
    <x v="0"/>
    <n v="46"/>
    <x v="3"/>
    <x v="4"/>
    <x v="2"/>
    <n v="50214"/>
    <s v="16-07-2019"/>
    <x v="2"/>
    <n v="17"/>
    <n v="1"/>
    <s v="No"/>
    <x v="1"/>
    <s v="anil.patel1484@company.com"/>
    <s v="Valid"/>
    <n v="9688400074"/>
    <s v="Valid"/>
    <x v="0"/>
  </r>
  <r>
    <x v="482"/>
    <s v="John"/>
    <s v="Reddy"/>
    <x v="0"/>
    <n v="57"/>
    <x v="3"/>
    <x v="3"/>
    <x v="4"/>
    <n v="90080"/>
    <s v="23-06-2024"/>
    <x v="2"/>
    <n v="9"/>
    <n v="2"/>
    <s v="No"/>
    <x v="0"/>
    <s v="john.reddy1485@company.com"/>
    <s v="Valid"/>
    <n v="9765427721"/>
    <s v="Valid"/>
    <x v="2"/>
  </r>
  <r>
    <x v="483"/>
    <s v="Sneha"/>
    <s v="Singh"/>
    <x v="1"/>
    <n v="25"/>
    <x v="4"/>
    <x v="2"/>
    <x v="0"/>
    <n v="79833"/>
    <s v="02-02-2022"/>
    <x v="0"/>
    <n v="9"/>
    <n v="4"/>
    <s v="No"/>
    <x v="0"/>
    <s v="sneha.singh1486@company.com"/>
    <s v="Valid"/>
    <n v="9627492795"/>
    <s v="Valid"/>
    <x v="1"/>
  </r>
  <r>
    <x v="484"/>
    <s v="Kiran"/>
    <s v="Singh"/>
    <x v="1"/>
    <n v="28"/>
    <x v="2"/>
    <x v="0"/>
    <x v="4"/>
    <n v="30409"/>
    <s v="01-02-2021"/>
    <x v="3"/>
    <n v="18"/>
    <n v="2"/>
    <s v="Yes"/>
    <x v="0"/>
    <s v="kiran.singh1487@company.com"/>
    <s v="Valid"/>
    <n v="9995811930"/>
    <s v="Valid"/>
    <x v="1"/>
  </r>
  <r>
    <x v="485"/>
    <s v="John"/>
    <s v="Sharma"/>
    <x v="1"/>
    <n v="55"/>
    <x v="2"/>
    <x v="4"/>
    <x v="2"/>
    <n v="91519"/>
    <s v="08-08-2018"/>
    <x v="3"/>
    <n v="25"/>
    <n v="5"/>
    <s v="No"/>
    <x v="1"/>
    <s v="john.sharma1488@company.com"/>
    <s v="Valid"/>
    <n v="9461340339"/>
    <s v="Valid"/>
    <x v="2"/>
  </r>
  <r>
    <x v="486"/>
    <s v="Priya"/>
    <s v="Sharma"/>
    <x v="0"/>
    <n v="56"/>
    <x v="1"/>
    <x v="0"/>
    <x v="0"/>
    <n v="99613"/>
    <s v="15-03-2020"/>
    <x v="4"/>
    <n v="15"/>
    <n v="3"/>
    <s v="No"/>
    <x v="1"/>
    <s v="priya.sharma1489@company.com"/>
    <s v="Valid"/>
    <n v="9866417012"/>
    <s v="Valid"/>
    <x v="2"/>
  </r>
  <r>
    <x v="487"/>
    <s v="Arun"/>
    <s v="Patel"/>
    <x v="1"/>
    <n v="39"/>
    <x v="4"/>
    <x v="1"/>
    <x v="1"/>
    <n v="95228"/>
    <s v="16-03-2022"/>
    <x v="2"/>
    <n v="13"/>
    <n v="1"/>
    <s v="No"/>
    <x v="0"/>
    <s v="arun.patel1490@company.com"/>
    <s v="Valid"/>
    <n v="9677667340"/>
    <s v="Valid"/>
    <x v="4"/>
  </r>
  <r>
    <x v="488"/>
    <s v="Anil"/>
    <s v="Patel"/>
    <x v="1"/>
    <n v="50"/>
    <x v="4"/>
    <x v="4"/>
    <x v="2"/>
    <n v="26728"/>
    <s v="07-02-2021"/>
    <x v="2"/>
    <n v="0"/>
    <n v="5"/>
    <s v="Yes"/>
    <x v="0"/>
    <s v="anil.patel1491company.com"/>
    <s v="Invalid"/>
    <n v="9247190240"/>
    <s v="Valid"/>
    <x v="2"/>
  </r>
  <r>
    <x v="489"/>
    <s v="Ravi"/>
    <s v="Patel"/>
    <x v="1"/>
    <n v="40"/>
    <x v="2"/>
    <x v="1"/>
    <x v="0"/>
    <n v="87846"/>
    <s v="19-06-2022"/>
    <x v="1"/>
    <n v="23"/>
    <n v="1"/>
    <s v="No"/>
    <x v="0"/>
    <s v="ravi.patel1492@company.com"/>
    <s v="Valid"/>
    <n v="9179922386"/>
    <s v="Valid"/>
    <x v="0"/>
  </r>
  <r>
    <x v="490"/>
    <s v="John"/>
    <s v="Patel"/>
    <x v="1"/>
    <n v="33"/>
    <x v="1"/>
    <x v="3"/>
    <x v="4"/>
    <n v="37201"/>
    <s v="01-07-2020"/>
    <x v="1"/>
    <n v="11"/>
    <n v="4"/>
    <s v="Yes"/>
    <x v="1"/>
    <s v="john.patel1493@company.com"/>
    <s v="Valid"/>
    <n v="9234427339"/>
    <s v="Valid"/>
    <x v="5"/>
  </r>
  <r>
    <x v="491"/>
    <s v="Rahul"/>
    <s v="Patel"/>
    <x v="0"/>
    <n v="33"/>
    <x v="1"/>
    <x v="4"/>
    <x v="1"/>
    <n v="57313"/>
    <s v="02-11-2021"/>
    <x v="4"/>
    <n v="4"/>
    <n v="5"/>
    <s v="Yes"/>
    <x v="1"/>
    <s v="rahul.patel1494@company.com"/>
    <s v="Valid"/>
    <n v="9428671415"/>
    <s v="Valid"/>
    <x v="5"/>
  </r>
  <r>
    <x v="492"/>
    <s v="Ravi"/>
    <s v="Patel"/>
    <x v="1"/>
    <n v="31"/>
    <x v="1"/>
    <x v="0"/>
    <x v="1"/>
    <n v="118568"/>
    <s v="10-09-2018"/>
    <x v="1"/>
    <n v="17"/>
    <n v="4"/>
    <s v="No"/>
    <x v="1"/>
    <s v="ravi.patel1495@company.com"/>
    <s v="Valid"/>
    <n v="9085609722"/>
    <s v="Valid"/>
    <x v="5"/>
  </r>
  <r>
    <x v="493"/>
    <s v="Sneha"/>
    <s v="Reddy"/>
    <x v="1"/>
    <n v="37"/>
    <x v="1"/>
    <x v="1"/>
    <x v="2"/>
    <n v="25377"/>
    <s v="03-03-2023"/>
    <x v="2"/>
    <n v="18"/>
    <n v="1"/>
    <s v="Yes"/>
    <x v="0"/>
    <s v="sneha.reddy1496@company.com"/>
    <s v="Valid"/>
    <n v="9017726167"/>
    <s v="Valid"/>
    <x v="4"/>
  </r>
  <r>
    <x v="494"/>
    <s v="Anil"/>
    <s v="Reddy"/>
    <x v="0"/>
    <n v="28"/>
    <x v="3"/>
    <x v="0"/>
    <x v="4"/>
    <n v="66804"/>
    <s v="27-04-2019"/>
    <x v="2"/>
    <n v="20"/>
    <n v="5"/>
    <s v="Yes"/>
    <x v="1"/>
    <s v="anil.reddy1497@company.com"/>
    <s v="Valid"/>
    <n v="9404089383"/>
    <s v="Valid"/>
    <x v="1"/>
  </r>
  <r>
    <x v="495"/>
    <s v="John"/>
    <s v="Sharma"/>
    <x v="1"/>
    <n v="40"/>
    <x v="3"/>
    <x v="3"/>
    <x v="3"/>
    <n v="49360"/>
    <s v="01-09-2018"/>
    <x v="1"/>
    <n v="2"/>
    <n v="4"/>
    <s v="Yes"/>
    <x v="1"/>
    <s v="john.sharma1498@company.com"/>
    <s v="Valid"/>
    <n v="9075216357"/>
    <s v="Valid"/>
    <x v="0"/>
  </r>
  <r>
    <x v="496"/>
    <s v="Kiran"/>
    <s v="Singh"/>
    <x v="0"/>
    <n v="28"/>
    <x v="3"/>
    <x v="2"/>
    <x v="1"/>
    <n v="84250"/>
    <s v="23-06-2023"/>
    <x v="3"/>
    <n v="11"/>
    <n v="3"/>
    <s v="No"/>
    <x v="0"/>
    <s v="kiran.singh1499@company.com"/>
    <s v="Valid"/>
    <n v="9316501298"/>
    <s v="Valid"/>
    <x v="1"/>
  </r>
  <r>
    <x v="497"/>
    <s v="Kiran"/>
    <s v="Reddy"/>
    <x v="0"/>
    <n v="35"/>
    <x v="4"/>
    <x v="1"/>
    <x v="0"/>
    <n v="81900"/>
    <s v="10-02-2023"/>
    <x v="2"/>
    <n v="8"/>
    <n v="2"/>
    <s v="No"/>
    <x v="1"/>
    <s v="kiran.reddy1500@company.com"/>
    <s v="Valid"/>
    <n v="9137773747"/>
    <s v="Valid"/>
    <x v="4"/>
  </r>
  <r>
    <x v="498"/>
    <s v="Kiran"/>
    <s v="Singh"/>
    <x v="1"/>
    <n v="24"/>
    <x v="1"/>
    <x v="4"/>
    <x v="4"/>
    <n v="25346"/>
    <s v="07-09-2021"/>
    <x v="4"/>
    <n v="4"/>
    <n v="3"/>
    <s v="No"/>
    <x v="0"/>
    <s v="Missing email"/>
    <s v="Invalid"/>
    <n v="9121057609"/>
    <s v="Valid"/>
    <x v="3"/>
  </r>
  <r>
    <x v="499"/>
    <s v="Anil"/>
    <s v="Kumar"/>
    <x v="1"/>
    <n v="53"/>
    <x v="4"/>
    <x v="4"/>
    <x v="3"/>
    <n v="66370"/>
    <s v="14-02-2023"/>
    <x v="4"/>
    <n v="18"/>
    <n v="2"/>
    <s v="Yes"/>
    <x v="1"/>
    <s v="anil.kumar1502@company.com"/>
    <s v="Valid"/>
    <n v="9516739226"/>
    <s v="Valid"/>
    <x v="2"/>
  </r>
  <r>
    <x v="500"/>
    <s v="Priya"/>
    <s v="Reddy"/>
    <x v="0"/>
    <n v="41"/>
    <x v="1"/>
    <x v="0"/>
    <x v="3"/>
    <n v="96917"/>
    <s v="23-06-2021"/>
    <x v="3"/>
    <n v="2"/>
    <n v="3"/>
    <s v="Yes"/>
    <x v="0"/>
    <s v="priya.reddy1503@company.com"/>
    <s v="Valid"/>
    <n v="9328395075"/>
    <s v="Valid"/>
    <x v="0"/>
  </r>
  <r>
    <x v="501"/>
    <s v="John"/>
    <s v="Singh"/>
    <x v="1"/>
    <n v="56"/>
    <x v="2"/>
    <x v="2"/>
    <x v="3"/>
    <n v="54375"/>
    <s v="23-05-2023"/>
    <x v="0"/>
    <n v="25"/>
    <n v="1"/>
    <s v="Yes"/>
    <x v="1"/>
    <s v="john.singh1504@company.com"/>
    <s v="Valid"/>
    <n v="9483190059"/>
    <s v="Valid"/>
    <x v="2"/>
  </r>
  <r>
    <x v="502"/>
    <s v="Priya"/>
    <s v="Kumar"/>
    <x v="0"/>
    <n v="33"/>
    <x v="4"/>
    <x v="3"/>
    <x v="1"/>
    <n v="44246"/>
    <s v="09-08-2021"/>
    <x v="3"/>
    <n v="13"/>
    <n v="4"/>
    <s v="No"/>
    <x v="0"/>
    <s v="priya.kumar1505@company.com"/>
    <s v="Valid"/>
    <n v="9423441179"/>
    <s v="Valid"/>
    <x v="5"/>
  </r>
  <r>
    <x v="503"/>
    <s v="John"/>
    <s v="Reddy"/>
    <x v="1"/>
    <n v="52"/>
    <x v="2"/>
    <x v="1"/>
    <x v="3"/>
    <n v="85819"/>
    <s v="10-09-2020"/>
    <x v="3"/>
    <n v="19"/>
    <n v="4"/>
    <s v="No"/>
    <x v="0"/>
    <s v="john.reddy1506@company.com"/>
    <s v="Valid"/>
    <n v="9464883354"/>
    <s v="Valid"/>
    <x v="2"/>
  </r>
  <r>
    <x v="504"/>
    <s v="Sneha"/>
    <s v="Sharma"/>
    <x v="1"/>
    <n v="25"/>
    <x v="1"/>
    <x v="0"/>
    <x v="1"/>
    <n v="96269"/>
    <s v="05-02-2018"/>
    <x v="1"/>
    <n v="20"/>
    <n v="2"/>
    <s v="Yes"/>
    <x v="1"/>
    <s v="sneha.sharma1507@company.com"/>
    <s v="Valid"/>
    <n v="94046869"/>
    <s v="Invalid"/>
    <x v="1"/>
  </r>
  <r>
    <x v="505"/>
    <s v="Meena"/>
    <s v="Kumar"/>
    <x v="0"/>
    <n v="32"/>
    <x v="1"/>
    <x v="2"/>
    <x v="0"/>
    <n v="81258"/>
    <s v="20-12-2024"/>
    <x v="2"/>
    <n v="12"/>
    <n v="5"/>
    <s v="Yes"/>
    <x v="0"/>
    <s v="meena.kumar1508@company.com"/>
    <s v="Valid"/>
    <n v="9181836332"/>
    <s v="Valid"/>
    <x v="5"/>
  </r>
  <r>
    <x v="506"/>
    <s v="John"/>
    <s v="Reddy"/>
    <x v="0"/>
    <n v="29"/>
    <x v="0"/>
    <x v="0"/>
    <x v="1"/>
    <n v="41338"/>
    <s v="19-10-2024"/>
    <x v="3"/>
    <n v="24"/>
    <n v="3"/>
    <s v="No"/>
    <x v="1"/>
    <s v="john.reddy1509@company.com"/>
    <s v="Valid"/>
    <n v="9396959289"/>
    <s v="Valid"/>
    <x v="1"/>
  </r>
  <r>
    <x v="507"/>
    <s v="Meena"/>
    <s v="Patel"/>
    <x v="1"/>
    <n v="47"/>
    <x v="1"/>
    <x v="0"/>
    <x v="4"/>
    <n v="48382"/>
    <s v="19-04-2021"/>
    <x v="2"/>
    <n v="20"/>
    <n v="3"/>
    <s v="Yes"/>
    <x v="1"/>
    <s v="meena.patel1510@company.com"/>
    <s v="Valid"/>
    <n v="9770173886"/>
    <s v="Valid"/>
    <x v="0"/>
  </r>
  <r>
    <x v="508"/>
    <s v="Rahul"/>
    <s v="Patel"/>
    <x v="1"/>
    <n v="50"/>
    <x v="2"/>
    <x v="1"/>
    <x v="1"/>
    <n v="115627"/>
    <s v="09-12-2022"/>
    <x v="1"/>
    <n v="3"/>
    <n v="3"/>
    <s v="Yes"/>
    <x v="1"/>
    <s v="rahul.patel1511@company.com"/>
    <s v="Valid"/>
    <n v="9966428680"/>
    <s v="Valid"/>
    <x v="2"/>
  </r>
  <r>
    <x v="509"/>
    <s v="Rahul"/>
    <s v="Singh"/>
    <x v="1"/>
    <n v="50"/>
    <x v="1"/>
    <x v="1"/>
    <x v="3"/>
    <n v="26598"/>
    <s v="11-06-2023"/>
    <x v="2"/>
    <n v="10"/>
    <n v="1"/>
    <s v="Yes"/>
    <x v="0"/>
    <s v="rahul.singh1512@company.com"/>
    <s v="Valid"/>
    <n v="9746899470"/>
    <s v="Valid"/>
    <x v="2"/>
  </r>
  <r>
    <x v="510"/>
    <s v="Meena"/>
    <s v="Reddy"/>
    <x v="1"/>
    <n v="42"/>
    <x v="1"/>
    <x v="1"/>
    <x v="0"/>
    <n v="62041"/>
    <s v="09-02-2019"/>
    <x v="3"/>
    <n v="22"/>
    <n v="2"/>
    <s v="Yes"/>
    <x v="1"/>
    <s v="meena.reddy1513@company.com"/>
    <s v="Valid"/>
    <n v="9093561751"/>
    <s v="Valid"/>
    <x v="0"/>
  </r>
  <r>
    <x v="511"/>
    <s v="Arun"/>
    <s v="Reddy"/>
    <x v="1"/>
    <n v="38"/>
    <x v="4"/>
    <x v="2"/>
    <x v="2"/>
    <n v="106652"/>
    <s v="25-08-2024"/>
    <x v="2"/>
    <n v="24"/>
    <n v="2"/>
    <s v="Yes"/>
    <x v="1"/>
    <s v="arun.reddy1514@company.com"/>
    <s v="Valid"/>
    <n v="9574411769"/>
    <s v="Valid"/>
    <x v="4"/>
  </r>
  <r>
    <x v="512"/>
    <s v="Priya"/>
    <s v="Kumar"/>
    <x v="0"/>
    <n v="33"/>
    <x v="2"/>
    <x v="4"/>
    <x v="1"/>
    <n v="40258"/>
    <s v="21-02-2022"/>
    <x v="2"/>
    <n v="1"/>
    <n v="3"/>
    <s v="Yes"/>
    <x v="0"/>
    <s v="priya.kumar1515@company.com"/>
    <s v="Valid"/>
    <n v="9492119109"/>
    <s v="Valid"/>
    <x v="5"/>
  </r>
  <r>
    <x v="513"/>
    <s v="Kiran"/>
    <s v="Singh"/>
    <x v="1"/>
    <n v="22"/>
    <x v="4"/>
    <x v="2"/>
    <x v="4"/>
    <n v="115500"/>
    <s v="16-03-2023"/>
    <x v="3"/>
    <n v="9"/>
    <n v="4"/>
    <s v="No"/>
    <x v="1"/>
    <s v="kiran.singh1516@company.com"/>
    <s v="Valid"/>
    <n v="9017103742"/>
    <s v="Valid"/>
    <x v="3"/>
  </r>
  <r>
    <x v="514"/>
    <s v="Anil"/>
    <s v="Singh"/>
    <x v="1"/>
    <n v="27"/>
    <x v="0"/>
    <x v="4"/>
    <x v="0"/>
    <n v="40640"/>
    <s v="07-07-2023"/>
    <x v="2"/>
    <n v="16"/>
    <n v="4"/>
    <s v="Yes"/>
    <x v="1"/>
    <s v="anil.singh1517company.com"/>
    <s v="Invalid"/>
    <n v="9927369614"/>
    <s v="Valid"/>
    <x v="1"/>
  </r>
  <r>
    <x v="515"/>
    <s v="Meena"/>
    <s v="Patel"/>
    <x v="1"/>
    <n v="66"/>
    <x v="0"/>
    <x v="1"/>
    <x v="0"/>
    <n v="50131"/>
    <s v="01-02-2020"/>
    <x v="0"/>
    <n v="14"/>
    <n v="1"/>
    <s v="Yes"/>
    <x v="1"/>
    <s v="meena.patel1518@company.com"/>
    <s v="Valid"/>
    <n v="9818353928"/>
    <s v="Valid"/>
    <x v="2"/>
  </r>
  <r>
    <x v="516"/>
    <s v="Ravi"/>
    <s v="Reddy"/>
    <x v="0"/>
    <n v="38"/>
    <x v="3"/>
    <x v="2"/>
    <x v="0"/>
    <s v="Missing"/>
    <s v="03-10-2018"/>
    <x v="2"/>
    <n v="3"/>
    <n v="5"/>
    <s v="Yes"/>
    <x v="1"/>
    <s v="ravi.reddy1519@company.com"/>
    <s v="Valid"/>
    <n v="9389346810"/>
    <s v="Valid"/>
    <x v="4"/>
  </r>
  <r>
    <x v="517"/>
    <s v="Ravi"/>
    <s v="Kumar"/>
    <x v="0"/>
    <n v="56"/>
    <x v="0"/>
    <x v="4"/>
    <x v="4"/>
    <n v="87504"/>
    <s v="06-04-2020"/>
    <x v="3"/>
    <n v="15"/>
    <n v="4"/>
    <s v="Yes"/>
    <x v="0"/>
    <s v="ravi.kumar1520@company.com"/>
    <s v="Valid"/>
    <n v="9746305754"/>
    <s v="Valid"/>
    <x v="2"/>
  </r>
  <r>
    <x v="518"/>
    <s v="Sneha"/>
    <s v="Kumar"/>
    <x v="0"/>
    <n v="47"/>
    <x v="0"/>
    <x v="0"/>
    <x v="0"/>
    <n v="115175"/>
    <s v="08-12-2023"/>
    <x v="2"/>
    <n v="16"/>
    <n v="4"/>
    <s v="No"/>
    <x v="0"/>
    <s v="sneha.kumar1521@company.com"/>
    <s v="Valid"/>
    <n v="9692705913"/>
    <s v="Valid"/>
    <x v="0"/>
  </r>
  <r>
    <x v="519"/>
    <s v="Kiran"/>
    <s v="Sharma"/>
    <x v="0"/>
    <n v="38"/>
    <x v="0"/>
    <x v="4"/>
    <x v="1"/>
    <n v="80929"/>
    <s v="22-02-2018"/>
    <x v="2"/>
    <n v="4"/>
    <n v="1"/>
    <s v="No"/>
    <x v="0"/>
    <s v="kiran.sharma1522@company.com"/>
    <s v="Valid"/>
    <n v="9551694350"/>
    <s v="Valid"/>
    <x v="4"/>
  </r>
  <r>
    <x v="520"/>
    <s v="Anil"/>
    <s v="Sharma"/>
    <x v="1"/>
    <n v="54"/>
    <x v="2"/>
    <x v="1"/>
    <x v="2"/>
    <n v="-37654"/>
    <s v="28-02-2024"/>
    <x v="1"/>
    <n v="20"/>
    <n v="5"/>
    <s v="No"/>
    <x v="0"/>
    <s v="anil.sharma1523@company.com"/>
    <s v="Valid"/>
    <n v="9732669582"/>
    <s v="Valid"/>
    <x v="2"/>
  </r>
  <r>
    <x v="521"/>
    <s v="Kiran"/>
    <s v="Singh"/>
    <x v="0"/>
    <n v="32"/>
    <x v="1"/>
    <x v="3"/>
    <x v="3"/>
    <n v="88347"/>
    <s v="22-06-2022"/>
    <x v="4"/>
    <n v="9"/>
    <n v="3"/>
    <s v="Yes"/>
    <x v="0"/>
    <s v="kiran.singh1524company.com"/>
    <s v="Invalid"/>
    <n v="9532210518"/>
    <s v="Valid"/>
    <x v="5"/>
  </r>
  <r>
    <x v="522"/>
    <s v="John"/>
    <s v="Patel"/>
    <x v="0"/>
    <n v="27"/>
    <x v="3"/>
    <x v="1"/>
    <x v="3"/>
    <n v="64830"/>
    <s v="04-03-2018"/>
    <x v="0"/>
    <n v="5"/>
    <n v="1"/>
    <s v="No"/>
    <x v="0"/>
    <s v="Missing email"/>
    <s v="Invalid"/>
    <n v="9507373170"/>
    <s v="Valid"/>
    <x v="1"/>
  </r>
  <r>
    <x v="523"/>
    <s v="Priya"/>
    <s v="Kumar"/>
    <x v="0"/>
    <n v="27"/>
    <x v="2"/>
    <x v="2"/>
    <x v="1"/>
    <n v="76596"/>
    <s v="24-03-2023"/>
    <x v="2"/>
    <n v="14"/>
    <n v="5"/>
    <s v="No"/>
    <x v="0"/>
    <s v="priya.kumar1526company.com"/>
    <s v="Invalid"/>
    <n v="9486261558"/>
    <s v="Valid"/>
    <x v="1"/>
  </r>
  <r>
    <x v="524"/>
    <s v="Divya"/>
    <s v="Reddy"/>
    <x v="1"/>
    <n v="44"/>
    <x v="1"/>
    <x v="0"/>
    <x v="3"/>
    <n v="74954"/>
    <s v="07-05-2024"/>
    <x v="4"/>
    <n v="12"/>
    <n v="2"/>
    <s v="Yes"/>
    <x v="1"/>
    <s v="divya.reddy1527@company.com"/>
    <s v="Valid"/>
    <n v="9205084187"/>
    <s v="Valid"/>
    <x v="0"/>
  </r>
  <r>
    <x v="525"/>
    <s v="Kiran"/>
    <s v="Patel"/>
    <x v="0"/>
    <n v="27"/>
    <x v="3"/>
    <x v="1"/>
    <x v="4"/>
    <n v="75689"/>
    <s v="02-05-2020"/>
    <x v="1"/>
    <n v="8"/>
    <n v="4"/>
    <s v="No"/>
    <x v="1"/>
    <s v="kiran.patel1528@company.com"/>
    <s v="Valid"/>
    <n v="9977690261"/>
    <s v="Valid"/>
    <x v="1"/>
  </r>
  <r>
    <x v="526"/>
    <s v="Kiran"/>
    <s v="Sharma"/>
    <x v="1"/>
    <n v="51"/>
    <x v="1"/>
    <x v="3"/>
    <x v="1"/>
    <n v="65230"/>
    <s v="09-11-2024"/>
    <x v="1"/>
    <n v="13"/>
    <n v="4"/>
    <s v="Yes"/>
    <x v="0"/>
    <s v="kiran.sharma1529@company.com"/>
    <s v="Valid"/>
    <n v="9569892215"/>
    <s v="Valid"/>
    <x v="2"/>
  </r>
  <r>
    <x v="527"/>
    <s v="John"/>
    <s v="Reddy"/>
    <x v="0"/>
    <n v="49"/>
    <x v="3"/>
    <x v="4"/>
    <x v="1"/>
    <n v="36219"/>
    <s v="27-11-2024"/>
    <x v="1"/>
    <n v="22"/>
    <n v="4"/>
    <s v="Yes"/>
    <x v="0"/>
    <s v="john.reddy1530@company.com"/>
    <s v="Valid"/>
    <n v="9393374023"/>
    <s v="Valid"/>
    <x v="0"/>
  </r>
  <r>
    <x v="528"/>
    <s v="Meena"/>
    <s v="Sharma"/>
    <x v="0"/>
    <n v="58"/>
    <x v="3"/>
    <x v="3"/>
    <x v="0"/>
    <n v="50228"/>
    <s v="26-08-2022"/>
    <x v="0"/>
    <n v="10"/>
    <n v="1"/>
    <s v="No"/>
    <x v="0"/>
    <s v="meena.sharma1531company.com"/>
    <s v="Invalid"/>
    <n v="9257721478"/>
    <s v="Valid"/>
    <x v="2"/>
  </r>
  <r>
    <x v="529"/>
    <s v="Priya"/>
    <s v="Singh"/>
    <x v="0"/>
    <n v="38"/>
    <x v="3"/>
    <x v="2"/>
    <x v="1"/>
    <n v="80863"/>
    <s v="16-11-2019"/>
    <x v="2"/>
    <n v="8"/>
    <n v="4"/>
    <s v="No"/>
    <x v="0"/>
    <s v="priya.singh1532@company.com"/>
    <s v="Valid"/>
    <n v="9284413575"/>
    <s v="Valid"/>
    <x v="4"/>
  </r>
  <r>
    <x v="530"/>
    <s v="Rahul"/>
    <s v="Kumar"/>
    <x v="1"/>
    <n v="40"/>
    <x v="1"/>
    <x v="2"/>
    <x v="1"/>
    <n v="43680"/>
    <s v="04-12-2019"/>
    <x v="3"/>
    <n v="16"/>
    <n v="4"/>
    <s v="Yes"/>
    <x v="0"/>
    <s v="rahul.kumar1533@company.com"/>
    <s v="Valid"/>
    <n v="9570921045"/>
    <s v="Valid"/>
    <x v="0"/>
  </r>
  <r>
    <x v="531"/>
    <s v="Kiran"/>
    <s v="Singh"/>
    <x v="1"/>
    <n v="34"/>
    <x v="0"/>
    <x v="1"/>
    <x v="3"/>
    <n v="87265"/>
    <s v="30-03-2023"/>
    <x v="4"/>
    <n v="12"/>
    <n v="1"/>
    <s v="Yes"/>
    <x v="1"/>
    <s v="kiran.singh1534@company.com"/>
    <s v="Valid"/>
    <n v="9006677390"/>
    <s v="Valid"/>
    <x v="5"/>
  </r>
  <r>
    <x v="532"/>
    <s v="Sneha"/>
    <s v="Kumar"/>
    <x v="1"/>
    <n v="46"/>
    <x v="4"/>
    <x v="0"/>
    <x v="3"/>
    <n v="72637"/>
    <s v="22-05-2020"/>
    <x v="0"/>
    <n v="17"/>
    <n v="2"/>
    <s v="No"/>
    <x v="0"/>
    <s v="sneha.kumar1535@company.com"/>
    <s v="Valid"/>
    <n v="9644662848"/>
    <s v="Valid"/>
    <x v="0"/>
  </r>
  <r>
    <x v="533"/>
    <s v="Ravi"/>
    <s v="Singh"/>
    <x v="1"/>
    <n v="23"/>
    <x v="0"/>
    <x v="2"/>
    <x v="0"/>
    <n v="43212"/>
    <s v="08-06-2019"/>
    <x v="2"/>
    <n v="13"/>
    <n v="3"/>
    <s v="No"/>
    <x v="0"/>
    <s v="ravi.singh1536@company.com"/>
    <s v="Valid"/>
    <n v="9840690731"/>
    <s v="Valid"/>
    <x v="3"/>
  </r>
  <r>
    <x v="534"/>
    <s v="John"/>
    <s v="Kumar"/>
    <x v="0"/>
    <n v="51"/>
    <x v="2"/>
    <x v="1"/>
    <x v="1"/>
    <n v="92330"/>
    <s v="18-09-2020"/>
    <x v="3"/>
    <n v="22"/>
    <n v="3"/>
    <s v="Yes"/>
    <x v="1"/>
    <s v="john.kumar1537@company.com"/>
    <s v="Valid"/>
    <n v="9567221156"/>
    <s v="Valid"/>
    <x v="2"/>
  </r>
  <r>
    <x v="535"/>
    <s v="Anil"/>
    <s v="Patel"/>
    <x v="0"/>
    <n v="51"/>
    <x v="0"/>
    <x v="0"/>
    <x v="1"/>
    <n v="85664"/>
    <s v="11-10-2018"/>
    <x v="4"/>
    <n v="13"/>
    <n v="3"/>
    <s v="No"/>
    <x v="1"/>
    <s v="anil.patel1538@company.com"/>
    <s v="Valid"/>
    <n v="9665592954"/>
    <s v="Valid"/>
    <x v="2"/>
  </r>
  <r>
    <x v="536"/>
    <s v="Kiran"/>
    <s v="Kumar"/>
    <x v="0"/>
    <n v="45"/>
    <x v="4"/>
    <x v="4"/>
    <x v="1"/>
    <n v="114842"/>
    <s v="05-04-2018"/>
    <x v="2"/>
    <n v="22"/>
    <n v="3"/>
    <s v="No"/>
    <x v="1"/>
    <s v="kiran.kumar1539@company.com"/>
    <s v="Valid"/>
    <n v="9135399760"/>
    <s v="Valid"/>
    <x v="0"/>
  </r>
  <r>
    <x v="537"/>
    <s v="Kiran"/>
    <s v="Singh"/>
    <x v="0"/>
    <n v="53"/>
    <x v="0"/>
    <x v="1"/>
    <x v="4"/>
    <n v="110128"/>
    <s v="05-10-2023"/>
    <x v="3"/>
    <n v="16"/>
    <n v="5"/>
    <s v="No"/>
    <x v="0"/>
    <s v="kiran.singh1540@company.com"/>
    <s v="Valid"/>
    <n v="9788106495"/>
    <s v="Valid"/>
    <x v="2"/>
  </r>
  <r>
    <x v="538"/>
    <s v="Divya"/>
    <s v="Patel"/>
    <x v="0"/>
    <n v="66"/>
    <x v="0"/>
    <x v="1"/>
    <x v="4"/>
    <n v="26769"/>
    <s v="01-07-2024"/>
    <x v="4"/>
    <n v="15"/>
    <n v="5"/>
    <s v="Yes"/>
    <x v="0"/>
    <s v="divya.patel1541@company.com"/>
    <s v="Valid"/>
    <n v="9108245575"/>
    <s v="Valid"/>
    <x v="2"/>
  </r>
  <r>
    <x v="539"/>
    <s v="Kiran"/>
    <s v="Kumar"/>
    <x v="1"/>
    <n v="31"/>
    <x v="0"/>
    <x v="3"/>
    <x v="4"/>
    <n v="95258"/>
    <s v="22-06-2024"/>
    <x v="2"/>
    <n v="17"/>
    <n v="5"/>
    <s v="Yes"/>
    <x v="0"/>
    <s v="kiran.kumar1542@company.com"/>
    <s v="Valid"/>
    <n v="9936062544"/>
    <s v="Valid"/>
    <x v="5"/>
  </r>
  <r>
    <x v="540"/>
    <s v="John"/>
    <s v="Kumar"/>
    <x v="0"/>
    <n v="24"/>
    <x v="2"/>
    <x v="2"/>
    <x v="3"/>
    <n v="57547"/>
    <s v="26-08-2021"/>
    <x v="3"/>
    <n v="19"/>
    <n v="1"/>
    <s v="No"/>
    <x v="0"/>
    <s v="john.kumar1543@company.com"/>
    <s v="Valid"/>
    <n v="9278480538"/>
    <s v="Valid"/>
    <x v="3"/>
  </r>
  <r>
    <x v="541"/>
    <s v="Sneha"/>
    <s v="Patel"/>
    <x v="1"/>
    <n v="38"/>
    <x v="3"/>
    <x v="1"/>
    <x v="1"/>
    <n v="98476"/>
    <s v="27-01-2021"/>
    <x v="0"/>
    <n v="19"/>
    <n v="1"/>
    <s v="No"/>
    <x v="0"/>
    <s v="sneha.patel1544@company.com"/>
    <s v="Valid"/>
    <n v="9652590953"/>
    <s v="Valid"/>
    <x v="4"/>
  </r>
  <r>
    <x v="542"/>
    <s v="Arun"/>
    <s v="Sharma"/>
    <x v="0"/>
    <n v="48"/>
    <x v="0"/>
    <x v="2"/>
    <x v="3"/>
    <n v="79735"/>
    <s v="11-08-2018"/>
    <x v="0"/>
    <n v="15"/>
    <n v="4"/>
    <s v="No"/>
    <x v="0"/>
    <s v="arun.sharma1545@company.com"/>
    <s v="Valid"/>
    <n v="9273217167"/>
    <s v="Valid"/>
    <x v="0"/>
  </r>
  <r>
    <x v="543"/>
    <s v="Rahul"/>
    <s v="Singh"/>
    <x v="0"/>
    <n v="44"/>
    <x v="2"/>
    <x v="3"/>
    <x v="2"/>
    <n v="35820"/>
    <s v="31-12-2020"/>
    <x v="0"/>
    <n v="8"/>
    <n v="3"/>
    <s v="No"/>
    <x v="0"/>
    <s v="rahul.singh1546@company.com"/>
    <s v="Valid"/>
    <n v="9375429926"/>
    <s v="Valid"/>
    <x v="0"/>
  </r>
  <r>
    <x v="544"/>
    <s v="Anil"/>
    <s v="Patel"/>
    <x v="1"/>
    <n v="48"/>
    <x v="3"/>
    <x v="2"/>
    <x v="1"/>
    <n v="55932"/>
    <s v="02-04-2023"/>
    <x v="0"/>
    <n v="10"/>
    <n v="3"/>
    <s v="Yes"/>
    <x v="0"/>
    <s v="anil.patel1547@company.com"/>
    <s v="Valid"/>
    <n v="9435794530"/>
    <s v="Valid"/>
    <x v="0"/>
  </r>
  <r>
    <x v="545"/>
    <s v="Kiran"/>
    <s v="Singh"/>
    <x v="1"/>
    <n v="49"/>
    <x v="0"/>
    <x v="3"/>
    <x v="1"/>
    <n v="61603"/>
    <s v="19-03-2019"/>
    <x v="4"/>
    <n v="16"/>
    <n v="4"/>
    <s v="Yes"/>
    <x v="0"/>
    <s v="kiran.singh1548@company.com"/>
    <s v="Valid"/>
    <n v="9623905441"/>
    <s v="Valid"/>
    <x v="0"/>
  </r>
  <r>
    <x v="546"/>
    <s v="Anil"/>
    <s v="Reddy"/>
    <x v="1"/>
    <n v="32"/>
    <x v="2"/>
    <x v="3"/>
    <x v="3"/>
    <n v="50687"/>
    <s v="29-07-2021"/>
    <x v="1"/>
    <n v="20"/>
    <n v="5"/>
    <s v="Yes"/>
    <x v="0"/>
    <s v="anil.reddy1549@company.com"/>
    <s v="Valid"/>
    <n v="9847360382"/>
    <s v="Valid"/>
    <x v="5"/>
  </r>
  <r>
    <x v="547"/>
    <s v="Meena"/>
    <s v="Sharma"/>
    <x v="1"/>
    <n v="58"/>
    <x v="0"/>
    <x v="1"/>
    <x v="3"/>
    <n v="55393"/>
    <s v="30-09-2020"/>
    <x v="3"/>
    <n v="5"/>
    <n v="2"/>
    <s v="Yes"/>
    <x v="1"/>
    <s v="Missing email"/>
    <s v="Invalid"/>
    <n v="9400523475"/>
    <s v="Valid"/>
    <x v="2"/>
  </r>
  <r>
    <x v="548"/>
    <s v="Anil"/>
    <s v="Patel"/>
    <x v="0"/>
    <n v="44"/>
    <x v="4"/>
    <x v="0"/>
    <x v="4"/>
    <n v="50248"/>
    <s v="13-02-2024"/>
    <x v="1"/>
    <n v="18"/>
    <n v="4"/>
    <s v="Yes"/>
    <x v="0"/>
    <s v="anil.patel1551company.com"/>
    <s v="Invalid"/>
    <n v="9870844635"/>
    <s v="Valid"/>
    <x v="0"/>
  </r>
  <r>
    <x v="549"/>
    <s v="John"/>
    <s v="Reddy"/>
    <x v="0"/>
    <n v="42"/>
    <x v="2"/>
    <x v="2"/>
    <x v="4"/>
    <n v="47236"/>
    <s v="14-09-2019"/>
    <x v="4"/>
    <n v="3"/>
    <n v="1"/>
    <s v="No"/>
    <x v="1"/>
    <s v="john.reddy1552@company.com"/>
    <s v="Valid"/>
    <n v="9820971818"/>
    <s v="Valid"/>
    <x v="0"/>
  </r>
  <r>
    <x v="550"/>
    <s v="Sneha"/>
    <s v="Reddy"/>
    <x v="0"/>
    <n v="56"/>
    <x v="2"/>
    <x v="0"/>
    <x v="0"/>
    <n v="81944"/>
    <s v="20-12-2018"/>
    <x v="4"/>
    <n v="6"/>
    <n v="5"/>
    <s v="No"/>
    <x v="1"/>
    <s v="sneha.reddy1553@company.com"/>
    <s v="Valid"/>
    <n v="9649593173"/>
    <s v="Valid"/>
    <x v="2"/>
  </r>
  <r>
    <x v="551"/>
    <s v="Kiran"/>
    <s v="Singh"/>
    <x v="0"/>
    <n v="27"/>
    <x v="3"/>
    <x v="1"/>
    <x v="1"/>
    <n v="76685"/>
    <s v="02-08-2023"/>
    <x v="2"/>
    <n v="19"/>
    <n v="1"/>
    <s v="No"/>
    <x v="1"/>
    <s v="Missing email"/>
    <s v="Invalid"/>
    <n v="9709719358"/>
    <s v="Valid"/>
    <x v="1"/>
  </r>
  <r>
    <x v="552"/>
    <s v="Priya"/>
    <s v="Sharma"/>
    <x v="1"/>
    <n v="50"/>
    <x v="2"/>
    <x v="3"/>
    <x v="0"/>
    <n v="26568"/>
    <s v="14-09-2019"/>
    <x v="1"/>
    <n v="3"/>
    <n v="3"/>
    <s v="No"/>
    <x v="1"/>
    <s v="priya.sharma1555@company.com"/>
    <s v="Valid"/>
    <n v="9756117033"/>
    <s v="Valid"/>
    <x v="2"/>
  </r>
  <r>
    <x v="553"/>
    <s v="Divya"/>
    <s v="Kumar"/>
    <x v="1"/>
    <n v="54"/>
    <x v="4"/>
    <x v="3"/>
    <x v="2"/>
    <n v="48810"/>
    <s v="24-05-2019"/>
    <x v="3"/>
    <n v="19"/>
    <n v="5"/>
    <s v="No"/>
    <x v="1"/>
    <s v="divya.kumar1556@company.com"/>
    <s v="Valid"/>
    <n v="9116024152"/>
    <s v="Valid"/>
    <x v="2"/>
  </r>
  <r>
    <x v="554"/>
    <s v="Rahul"/>
    <s v="Singh"/>
    <x v="0"/>
    <n v="23"/>
    <x v="3"/>
    <x v="2"/>
    <x v="3"/>
    <n v="56247"/>
    <s v="19-05-2021"/>
    <x v="0"/>
    <n v="14"/>
    <n v="1"/>
    <s v="Yes"/>
    <x v="0"/>
    <s v="rahul.singh1557@company.com"/>
    <s v="Valid"/>
    <n v="9794366997"/>
    <s v="Valid"/>
    <x v="3"/>
  </r>
  <r>
    <x v="555"/>
    <s v="Divya"/>
    <s v="Singh"/>
    <x v="1"/>
    <n v="46"/>
    <x v="0"/>
    <x v="2"/>
    <x v="4"/>
    <n v="46504"/>
    <s v="08-03-2022"/>
    <x v="4"/>
    <n v="16"/>
    <n v="3"/>
    <s v="Yes"/>
    <x v="1"/>
    <s v="divya.singh1558@company.com"/>
    <s v="Valid"/>
    <n v="9304323993"/>
    <s v="Valid"/>
    <x v="0"/>
  </r>
  <r>
    <x v="556"/>
    <s v="Ravi"/>
    <s v="Patel"/>
    <x v="1"/>
    <n v="56"/>
    <x v="3"/>
    <x v="1"/>
    <x v="0"/>
    <n v="117874"/>
    <s v="02-05-2018"/>
    <x v="2"/>
    <n v="3"/>
    <n v="1"/>
    <s v="Yes"/>
    <x v="0"/>
    <s v="ravi.patel1559@company.com"/>
    <s v="Valid"/>
    <n v="9956200472"/>
    <s v="Valid"/>
    <x v="2"/>
  </r>
  <r>
    <x v="557"/>
    <s v="Kiran"/>
    <s v="Reddy"/>
    <x v="1"/>
    <n v="36"/>
    <x v="2"/>
    <x v="3"/>
    <x v="2"/>
    <n v="80639"/>
    <s v="03-02-2024"/>
    <x v="3"/>
    <n v="9"/>
    <n v="5"/>
    <s v="No"/>
    <x v="1"/>
    <s v="kiran.reddy1560@company.com"/>
    <s v="Valid"/>
    <n v="9039016403"/>
    <s v="Valid"/>
    <x v="4"/>
  </r>
  <r>
    <x v="558"/>
    <s v="Divya"/>
    <s v="Singh"/>
    <x v="0"/>
    <n v="25"/>
    <x v="2"/>
    <x v="2"/>
    <x v="4"/>
    <n v="112377"/>
    <s v="04-03-2020"/>
    <x v="3"/>
    <n v="13"/>
    <n v="4"/>
    <s v="Yes"/>
    <x v="0"/>
    <s v="divya.singh1561@company.com"/>
    <s v="Valid"/>
    <n v="9148581037"/>
    <s v="Valid"/>
    <x v="1"/>
  </r>
  <r>
    <x v="559"/>
    <s v="Anil"/>
    <s v="Sharma"/>
    <x v="1"/>
    <n v="28"/>
    <x v="2"/>
    <x v="4"/>
    <x v="1"/>
    <n v="105013"/>
    <s v="30-05-2021"/>
    <x v="2"/>
    <n v="3"/>
    <n v="5"/>
    <s v="Yes"/>
    <x v="1"/>
    <s v="anil.sharma1562@company.com"/>
    <s v="Valid"/>
    <n v="9752787023"/>
    <s v="Valid"/>
    <x v="1"/>
  </r>
  <r>
    <x v="560"/>
    <s v="Arun"/>
    <s v="Reddy"/>
    <x v="1"/>
    <n v="44"/>
    <x v="3"/>
    <x v="4"/>
    <x v="1"/>
    <n v="107873"/>
    <s v="22-07-2023"/>
    <x v="3"/>
    <n v="21"/>
    <n v="3"/>
    <s v="Yes"/>
    <x v="1"/>
    <s v="arun.reddy1563@company.com"/>
    <s v="Valid"/>
    <n v="9152006014"/>
    <s v="Valid"/>
    <x v="0"/>
  </r>
  <r>
    <x v="561"/>
    <s v="Meena"/>
    <s v="Kumar"/>
    <x v="0"/>
    <n v="29"/>
    <x v="1"/>
    <x v="2"/>
    <x v="2"/>
    <n v="53495"/>
    <s v="07-11-2019"/>
    <x v="4"/>
    <n v="11"/>
    <n v="4"/>
    <s v="No"/>
    <x v="0"/>
    <s v="meena.kumar1564@company.com"/>
    <s v="Valid"/>
    <n v="9215132188"/>
    <s v="Valid"/>
    <x v="1"/>
  </r>
  <r>
    <x v="562"/>
    <s v="Kiran"/>
    <s v="Singh"/>
    <x v="1"/>
    <n v="45"/>
    <x v="2"/>
    <x v="2"/>
    <x v="0"/>
    <n v="63242"/>
    <s v="01-05-2023"/>
    <x v="1"/>
    <n v="15"/>
    <n v="2"/>
    <s v="No"/>
    <x v="0"/>
    <s v="kiran.singh1565@company.com"/>
    <s v="Valid"/>
    <n v="9310882206"/>
    <s v="Valid"/>
    <x v="0"/>
  </r>
  <r>
    <x v="563"/>
    <s v="Arun"/>
    <s v="Singh"/>
    <x v="1"/>
    <n v="23"/>
    <x v="3"/>
    <x v="1"/>
    <x v="1"/>
    <n v="68800"/>
    <s v="31-01-2022"/>
    <x v="4"/>
    <n v="6"/>
    <n v="4"/>
    <s v="No"/>
    <x v="1"/>
    <s v="arun.singh1566@company.com"/>
    <s v="Valid"/>
    <n v="9570436408"/>
    <s v="Valid"/>
    <x v="3"/>
  </r>
  <r>
    <x v="564"/>
    <s v="Meena"/>
    <s v="Sharma"/>
    <x v="1"/>
    <n v="37"/>
    <x v="4"/>
    <x v="2"/>
    <x v="3"/>
    <n v="81297"/>
    <s v="04-06-2018"/>
    <x v="3"/>
    <n v="1"/>
    <n v="1"/>
    <s v="Yes"/>
    <x v="0"/>
    <s v="meena.sharma1567@company.com"/>
    <s v="Valid"/>
    <n v="9725838577"/>
    <s v="Valid"/>
    <x v="4"/>
  </r>
  <r>
    <x v="565"/>
    <s v="Sneha"/>
    <s v="Reddy"/>
    <x v="1"/>
    <n v="28"/>
    <x v="3"/>
    <x v="3"/>
    <x v="3"/>
    <s v="Missing"/>
    <s v="05-09-2018"/>
    <x v="4"/>
    <n v="3"/>
    <n v="3"/>
    <s v="Yes"/>
    <x v="1"/>
    <s v="sneha.reddy1568@company.com"/>
    <s v="Valid"/>
    <n v="9482440876"/>
    <s v="Valid"/>
    <x v="1"/>
  </r>
  <r>
    <x v="566"/>
    <s v="Sneha"/>
    <s v="Reddy"/>
    <x v="0"/>
    <n v="35"/>
    <x v="0"/>
    <x v="0"/>
    <x v="2"/>
    <n v="49442"/>
    <s v="08-10-2019"/>
    <x v="1"/>
    <n v="9"/>
    <n v="3"/>
    <s v="No"/>
    <x v="0"/>
    <s v="sneha.reddy1569@company.com"/>
    <s v="Valid"/>
    <n v="9056337795"/>
    <s v="Valid"/>
    <x v="4"/>
  </r>
  <r>
    <x v="567"/>
    <s v="John"/>
    <s v="Reddy"/>
    <x v="1"/>
    <n v="47"/>
    <x v="4"/>
    <x v="1"/>
    <x v="3"/>
    <n v="94733"/>
    <s v="24-03-2020"/>
    <x v="0"/>
    <n v="8"/>
    <n v="4"/>
    <s v="Yes"/>
    <x v="0"/>
    <s v="john.reddy1570@company.com"/>
    <s v="Valid"/>
    <n v="9360234857"/>
    <s v="Valid"/>
    <x v="0"/>
  </r>
  <r>
    <x v="568"/>
    <s v="John"/>
    <s v="Sharma"/>
    <x v="0"/>
    <n v="24"/>
    <x v="0"/>
    <x v="0"/>
    <x v="1"/>
    <n v="104122"/>
    <s v="10-12-2024"/>
    <x v="3"/>
    <n v="24"/>
    <n v="1"/>
    <s v="No"/>
    <x v="0"/>
    <s v="john.sharma1571@company.com"/>
    <s v="Valid"/>
    <n v="9117405892"/>
    <s v="Valid"/>
    <x v="3"/>
  </r>
  <r>
    <x v="569"/>
    <s v="Sneha"/>
    <s v="Kumar"/>
    <x v="1"/>
    <n v="40"/>
    <x v="2"/>
    <x v="2"/>
    <x v="3"/>
    <n v="111554"/>
    <s v="29-04-2021"/>
    <x v="0"/>
    <n v="17"/>
    <n v="1"/>
    <s v="Yes"/>
    <x v="1"/>
    <s v="sneha.kumar1572@company.com"/>
    <s v="Valid"/>
    <n v="9484911663"/>
    <s v="Valid"/>
    <x v="0"/>
  </r>
  <r>
    <x v="570"/>
    <s v="Rahul"/>
    <s v="Reddy"/>
    <x v="1"/>
    <n v="34"/>
    <x v="4"/>
    <x v="4"/>
    <x v="4"/>
    <n v="119776"/>
    <s v="29-03-2023"/>
    <x v="4"/>
    <n v="2"/>
    <n v="1"/>
    <s v="Yes"/>
    <x v="1"/>
    <s v="rahul.reddy1573company.com"/>
    <s v="Invalid"/>
    <n v="9847801300"/>
    <s v="Valid"/>
    <x v="5"/>
  </r>
  <r>
    <x v="571"/>
    <s v="Divya"/>
    <s v="Sharma"/>
    <x v="1"/>
    <n v="58"/>
    <x v="1"/>
    <x v="4"/>
    <x v="0"/>
    <n v="97695"/>
    <s v="21-02-2018"/>
    <x v="2"/>
    <n v="13"/>
    <n v="3"/>
    <s v="No"/>
    <x v="1"/>
    <s v="divya.sharma1574@company.com"/>
    <s v="Valid"/>
    <n v="9452678133"/>
    <s v="Valid"/>
    <x v="2"/>
  </r>
  <r>
    <x v="572"/>
    <s v="Sneha"/>
    <s v="Kumar"/>
    <x v="0"/>
    <n v="22"/>
    <x v="2"/>
    <x v="0"/>
    <x v="0"/>
    <n v="25589"/>
    <s v="25-04-2024"/>
    <x v="3"/>
    <n v="1"/>
    <n v="2"/>
    <s v="No"/>
    <x v="1"/>
    <s v="sneha.kumar1575@company.com"/>
    <s v="Valid"/>
    <n v="9897665791"/>
    <s v="Valid"/>
    <x v="3"/>
  </r>
  <r>
    <x v="573"/>
    <s v="Sneha"/>
    <s v="Reddy"/>
    <x v="1"/>
    <n v="39"/>
    <x v="4"/>
    <x v="1"/>
    <x v="1"/>
    <n v="109249"/>
    <s v="18-11-2020"/>
    <x v="2"/>
    <n v="9"/>
    <n v="1"/>
    <s v="No"/>
    <x v="1"/>
    <s v="sneha.reddy1576@company.com"/>
    <s v="Valid"/>
    <n v="9960352260"/>
    <s v="Valid"/>
    <x v="4"/>
  </r>
  <r>
    <x v="574"/>
    <s v="Anil"/>
    <s v="Reddy"/>
    <x v="1"/>
    <n v="42"/>
    <x v="0"/>
    <x v="3"/>
    <x v="3"/>
    <n v="116182"/>
    <s v="05-11-2023"/>
    <x v="0"/>
    <n v="13"/>
    <n v="5"/>
    <s v="No"/>
    <x v="1"/>
    <s v="anil.reddy1577company.com"/>
    <s v="Invalid"/>
    <n v="9587272212"/>
    <s v="Valid"/>
    <x v="0"/>
  </r>
  <r>
    <x v="575"/>
    <s v="John"/>
    <s v="Singh"/>
    <x v="0"/>
    <n v="32"/>
    <x v="2"/>
    <x v="0"/>
    <x v="0"/>
    <n v="38173"/>
    <s v="12-11-2022"/>
    <x v="0"/>
    <n v="20"/>
    <n v="4"/>
    <s v="Yes"/>
    <x v="0"/>
    <s v="john.singh1578@company.com"/>
    <s v="Valid"/>
    <n v="9954729260"/>
    <s v="Valid"/>
    <x v="5"/>
  </r>
  <r>
    <x v="576"/>
    <s v="Rahul"/>
    <s v="Singh"/>
    <x v="1"/>
    <n v="40"/>
    <x v="3"/>
    <x v="4"/>
    <x v="4"/>
    <n v="59960"/>
    <s v="09-03-2018"/>
    <x v="3"/>
    <n v="6"/>
    <n v="1"/>
    <s v="Yes"/>
    <x v="0"/>
    <s v="rahul.singh1579@company.com"/>
    <s v="Valid"/>
    <n v="9690640906"/>
    <s v="Valid"/>
    <x v="0"/>
  </r>
  <r>
    <x v="577"/>
    <s v="Arun"/>
    <s v="Sharma"/>
    <x v="1"/>
    <n v="32"/>
    <x v="4"/>
    <x v="0"/>
    <x v="0"/>
    <n v="103195"/>
    <s v="11-02-2018"/>
    <x v="4"/>
    <n v="19"/>
    <n v="2"/>
    <s v="No"/>
    <x v="1"/>
    <s v="arun.sharma1580@company.com"/>
    <s v="Valid"/>
    <n v="9623435644"/>
    <s v="Valid"/>
    <x v="5"/>
  </r>
  <r>
    <x v="578"/>
    <s v="Priya"/>
    <s v="Reddy"/>
    <x v="1"/>
    <n v="38"/>
    <x v="4"/>
    <x v="4"/>
    <x v="3"/>
    <n v="45044"/>
    <s v="31-08-2018"/>
    <x v="2"/>
    <n v="20"/>
    <n v="3"/>
    <s v="No"/>
    <x v="1"/>
    <s v="priya.reddy1581@company.com"/>
    <s v="Valid"/>
    <n v="9240362053"/>
    <s v="Valid"/>
    <x v="4"/>
  </r>
  <r>
    <x v="579"/>
    <s v="Arun"/>
    <s v="Patel"/>
    <x v="0"/>
    <n v="39"/>
    <x v="0"/>
    <x v="3"/>
    <x v="4"/>
    <n v="119715"/>
    <s v="19-07-2018"/>
    <x v="4"/>
    <n v="2"/>
    <n v="3"/>
    <s v="No"/>
    <x v="0"/>
    <s v="arun.patel1582@company.com"/>
    <s v="Valid"/>
    <n v="9835611667"/>
    <s v="Valid"/>
    <x v="4"/>
  </r>
  <r>
    <x v="580"/>
    <s v="Arun"/>
    <s v="Sharma"/>
    <x v="1"/>
    <n v="40"/>
    <x v="2"/>
    <x v="3"/>
    <x v="1"/>
    <n v="45862"/>
    <s v="17-07-2023"/>
    <x v="3"/>
    <n v="1"/>
    <n v="2"/>
    <s v="Yes"/>
    <x v="0"/>
    <s v="arun.sharma1583@company.com"/>
    <s v="Valid"/>
    <n v="9252034141"/>
    <s v="Valid"/>
    <x v="0"/>
  </r>
  <r>
    <x v="581"/>
    <s v="Divya"/>
    <s v="Reddy"/>
    <x v="0"/>
    <n v="33"/>
    <x v="4"/>
    <x v="1"/>
    <x v="2"/>
    <n v="-119699"/>
    <s v="18-02-2018"/>
    <x v="4"/>
    <n v="8"/>
    <n v="5"/>
    <s v="Yes"/>
    <x v="1"/>
    <s v="divya.reddy1584@company.com"/>
    <s v="Valid"/>
    <n v="9771615926"/>
    <s v="Valid"/>
    <x v="5"/>
  </r>
  <r>
    <x v="582"/>
    <s v="Divya"/>
    <s v="Sharma"/>
    <x v="0"/>
    <n v="26"/>
    <x v="4"/>
    <x v="1"/>
    <x v="3"/>
    <n v="115676"/>
    <s v="25-01-2022"/>
    <x v="2"/>
    <n v="7"/>
    <n v="5"/>
    <s v="No"/>
    <x v="0"/>
    <s v="divya.sharma1585@company.com"/>
    <s v="Valid"/>
    <n v="9075938117"/>
    <s v="Valid"/>
    <x v="1"/>
  </r>
  <r>
    <x v="583"/>
    <s v="Kiran"/>
    <s v="Patel"/>
    <x v="1"/>
    <n v="25"/>
    <x v="1"/>
    <x v="0"/>
    <x v="1"/>
    <n v="44013"/>
    <s v="22-03-2023"/>
    <x v="3"/>
    <n v="4"/>
    <n v="5"/>
    <s v="No"/>
    <x v="0"/>
    <s v="kiran.patel1586@company.com"/>
    <s v="Valid"/>
    <n v="9367158011"/>
    <s v="Valid"/>
    <x v="1"/>
  </r>
  <r>
    <x v="584"/>
    <s v="Arun"/>
    <s v="Patel"/>
    <x v="1"/>
    <n v="33"/>
    <x v="2"/>
    <x v="0"/>
    <x v="0"/>
    <n v="47886"/>
    <s v="23-10-2019"/>
    <x v="4"/>
    <n v="6"/>
    <n v="4"/>
    <s v="Yes"/>
    <x v="0"/>
    <s v="arun.patel1587@company.com"/>
    <s v="Valid"/>
    <n v="9397729186"/>
    <s v="Valid"/>
    <x v="5"/>
  </r>
  <r>
    <x v="585"/>
    <s v="Arun"/>
    <s v="Kumar"/>
    <x v="0"/>
    <n v="34"/>
    <x v="2"/>
    <x v="1"/>
    <x v="1"/>
    <n v="91854"/>
    <s v="06-11-2018"/>
    <x v="3"/>
    <n v="7"/>
    <n v="1"/>
    <s v="No"/>
    <x v="1"/>
    <s v="arun.kumar1588@company.com"/>
    <s v="Valid"/>
    <n v="9127561748"/>
    <s v="Valid"/>
    <x v="5"/>
  </r>
  <r>
    <x v="586"/>
    <s v="Anil"/>
    <s v="Kumar"/>
    <x v="0"/>
    <n v="66"/>
    <x v="0"/>
    <x v="4"/>
    <x v="4"/>
    <n v="116519"/>
    <s v="06-01-2019"/>
    <x v="2"/>
    <n v="17"/>
    <n v="2"/>
    <s v="Yes"/>
    <x v="1"/>
    <s v="anil.kumar1589@company.com"/>
    <s v="Valid"/>
    <n v="9288343888"/>
    <s v="Valid"/>
    <x v="2"/>
  </r>
  <r>
    <x v="587"/>
    <s v="Rahul"/>
    <s v="Singh"/>
    <x v="1"/>
    <n v="26"/>
    <x v="3"/>
    <x v="0"/>
    <x v="0"/>
    <n v="84052"/>
    <s v="17-07-2023"/>
    <x v="0"/>
    <n v="0"/>
    <n v="4"/>
    <s v="No"/>
    <x v="0"/>
    <s v="rahul.singh1590@company.com"/>
    <s v="Valid"/>
    <n v="9426735653"/>
    <s v="Valid"/>
    <x v="1"/>
  </r>
  <r>
    <x v="588"/>
    <s v="John"/>
    <s v="Sharma"/>
    <x v="1"/>
    <n v="46"/>
    <x v="1"/>
    <x v="3"/>
    <x v="1"/>
    <n v="48717"/>
    <s v="07-02-2025"/>
    <x v="0"/>
    <n v="8"/>
    <n v="2"/>
    <s v="No"/>
    <x v="1"/>
    <s v="john.sharma1591@company.com"/>
    <s v="Valid"/>
    <n v="9244275751"/>
    <s v="Valid"/>
    <x v="0"/>
  </r>
  <r>
    <x v="589"/>
    <s v="Meena"/>
    <s v="Singh"/>
    <x v="1"/>
    <n v="30"/>
    <x v="1"/>
    <x v="1"/>
    <x v="2"/>
    <n v="27335"/>
    <s v="24-07-2023"/>
    <x v="1"/>
    <n v="16"/>
    <n v="1"/>
    <s v="Yes"/>
    <x v="1"/>
    <s v="meena.singh1592@company.com"/>
    <s v="Valid"/>
    <n v="9791100688"/>
    <s v="Valid"/>
    <x v="5"/>
  </r>
  <r>
    <x v="590"/>
    <s v="Anil"/>
    <s v="Singh"/>
    <x v="1"/>
    <n v="54"/>
    <x v="3"/>
    <x v="1"/>
    <x v="1"/>
    <n v="83816"/>
    <s v="30-09-2022"/>
    <x v="0"/>
    <n v="10"/>
    <n v="1"/>
    <s v="No"/>
    <x v="0"/>
    <s v="anil.singh1593@company.com"/>
    <s v="Valid"/>
    <n v="9953220246"/>
    <s v="Valid"/>
    <x v="2"/>
  </r>
  <r>
    <x v="591"/>
    <s v="Priya"/>
    <s v="Sharma"/>
    <x v="1"/>
    <n v="55"/>
    <x v="2"/>
    <x v="0"/>
    <x v="1"/>
    <n v="94170"/>
    <s v="25-12-2019"/>
    <x v="3"/>
    <n v="21"/>
    <n v="4"/>
    <s v="No"/>
    <x v="0"/>
    <s v="priya.sharma1594@company.com"/>
    <s v="Valid"/>
    <n v="9248061254"/>
    <s v="Valid"/>
    <x v="2"/>
  </r>
  <r>
    <x v="592"/>
    <s v="Kiran"/>
    <s v="Reddy"/>
    <x v="1"/>
    <n v="23"/>
    <x v="1"/>
    <x v="2"/>
    <x v="1"/>
    <n v="41826"/>
    <s v="08-09-2023"/>
    <x v="4"/>
    <n v="16"/>
    <n v="2"/>
    <s v="Yes"/>
    <x v="0"/>
    <s v="kiran.reddy1595@company.com"/>
    <s v="Valid"/>
    <n v="9609947513"/>
    <s v="Valid"/>
    <x v="3"/>
  </r>
  <r>
    <x v="593"/>
    <s v="Sneha"/>
    <s v="Sharma"/>
    <x v="0"/>
    <n v="29"/>
    <x v="3"/>
    <x v="0"/>
    <x v="3"/>
    <n v="60449"/>
    <s v="05-12-2021"/>
    <x v="0"/>
    <n v="22"/>
    <n v="4"/>
    <s v="Yes"/>
    <x v="1"/>
    <s v="sneha.sharma1596@company.com"/>
    <s v="Valid"/>
    <n v="9367382966"/>
    <s v="Valid"/>
    <x v="1"/>
  </r>
  <r>
    <x v="594"/>
    <s v="John"/>
    <s v="Patel"/>
    <x v="1"/>
    <n v="31"/>
    <x v="0"/>
    <x v="3"/>
    <x v="2"/>
    <n v="30791"/>
    <s v="19-10-2019"/>
    <x v="3"/>
    <n v="22"/>
    <n v="1"/>
    <s v="Yes"/>
    <x v="1"/>
    <s v="john.patel1597@company.com"/>
    <s v="Valid"/>
    <n v="9938724620"/>
    <s v="Valid"/>
    <x v="5"/>
  </r>
  <r>
    <x v="595"/>
    <s v="Rahul"/>
    <s v="Reddy"/>
    <x v="1"/>
    <n v="55"/>
    <x v="2"/>
    <x v="4"/>
    <x v="0"/>
    <n v="48196"/>
    <s v="21-08-2024"/>
    <x v="4"/>
    <n v="10"/>
    <n v="1"/>
    <s v="Yes"/>
    <x v="1"/>
    <s v="rahul.reddy1598company.com"/>
    <s v="Invalid"/>
    <n v="9391775865"/>
    <s v="Valid"/>
    <x v="2"/>
  </r>
  <r>
    <x v="596"/>
    <s v="John"/>
    <s v="Singh"/>
    <x v="0"/>
    <n v="29"/>
    <x v="2"/>
    <x v="3"/>
    <x v="0"/>
    <n v="-27264"/>
    <s v="21-09-2021"/>
    <x v="0"/>
    <n v="13"/>
    <n v="5"/>
    <s v="Yes"/>
    <x v="1"/>
    <s v="john.singh1599@company.com"/>
    <s v="Valid"/>
    <n v="9774492047"/>
    <s v="Valid"/>
    <x v="1"/>
  </r>
  <r>
    <x v="597"/>
    <s v="Meena"/>
    <s v="Reddy"/>
    <x v="0"/>
    <n v="55"/>
    <x v="1"/>
    <x v="1"/>
    <x v="1"/>
    <n v="111466"/>
    <s v="16-08-2021"/>
    <x v="0"/>
    <n v="10"/>
    <n v="2"/>
    <s v="Yes"/>
    <x v="1"/>
    <s v="meena.reddy1600company.com"/>
    <s v="Invalid"/>
    <n v="9487551853"/>
    <s v="Valid"/>
    <x v="2"/>
  </r>
  <r>
    <x v="598"/>
    <s v="Sneha"/>
    <s v="Singh"/>
    <x v="1"/>
    <n v="66"/>
    <x v="2"/>
    <x v="2"/>
    <x v="1"/>
    <s v="Missing"/>
    <s v="14-10-2021"/>
    <x v="3"/>
    <n v="19"/>
    <n v="5"/>
    <s v="No"/>
    <x v="0"/>
    <s v="sneha.singh1601@company.com"/>
    <s v="Valid"/>
    <n v="9642122065"/>
    <s v="Valid"/>
    <x v="2"/>
  </r>
  <r>
    <x v="599"/>
    <s v="John"/>
    <s v="Kumar"/>
    <x v="0"/>
    <n v="42"/>
    <x v="3"/>
    <x v="4"/>
    <x v="3"/>
    <n v="76518"/>
    <s v="31-05-2019"/>
    <x v="4"/>
    <n v="2"/>
    <n v="2"/>
    <s v="No"/>
    <x v="0"/>
    <s v="john.kumar1602@company.com"/>
    <s v="Valid"/>
    <n v="9998781783"/>
    <s v="Valid"/>
    <x v="0"/>
  </r>
  <r>
    <x v="600"/>
    <s v="Sneha"/>
    <s v="Sharma"/>
    <x v="0"/>
    <n v="35"/>
    <x v="2"/>
    <x v="4"/>
    <x v="1"/>
    <n v="110642"/>
    <s v="30-01-2022"/>
    <x v="0"/>
    <n v="3"/>
    <n v="5"/>
    <s v="Yes"/>
    <x v="1"/>
    <s v="sneha.sharma1603@company.com"/>
    <s v="Valid"/>
    <n v="9108294243"/>
    <s v="Valid"/>
    <x v="4"/>
  </r>
  <r>
    <x v="601"/>
    <s v="Kiran"/>
    <s v="Sharma"/>
    <x v="0"/>
    <n v="47"/>
    <x v="4"/>
    <x v="1"/>
    <x v="3"/>
    <n v="75765"/>
    <s v="08-03-2024"/>
    <x v="1"/>
    <n v="4"/>
    <n v="3"/>
    <s v="Yes"/>
    <x v="0"/>
    <s v="kiran.sharma1604@company.com"/>
    <s v="Valid"/>
    <n v="9130492153"/>
    <s v="Valid"/>
    <x v="0"/>
  </r>
  <r>
    <x v="602"/>
    <s v="Arun"/>
    <s v="Kumar"/>
    <x v="1"/>
    <n v="28"/>
    <x v="1"/>
    <x v="0"/>
    <x v="2"/>
    <n v="68876"/>
    <s v="14-04-2022"/>
    <x v="4"/>
    <n v="7"/>
    <n v="5"/>
    <s v="Yes"/>
    <x v="1"/>
    <s v="arun.kumar1605@company.com"/>
    <s v="Valid"/>
    <n v="9367034904"/>
    <s v="Valid"/>
    <x v="1"/>
  </r>
  <r>
    <x v="603"/>
    <s v="Sneha"/>
    <s v="Singh"/>
    <x v="1"/>
    <n v="30"/>
    <x v="1"/>
    <x v="3"/>
    <x v="4"/>
    <n v="117744"/>
    <s v="14-07-2024"/>
    <x v="0"/>
    <n v="24"/>
    <n v="4"/>
    <s v="Yes"/>
    <x v="1"/>
    <s v="sneha.singh1606@company.com"/>
    <s v="Valid"/>
    <n v="9818400345"/>
    <s v="Valid"/>
    <x v="5"/>
  </r>
  <r>
    <x v="604"/>
    <s v="Rahul"/>
    <s v="Kumar"/>
    <x v="0"/>
    <n v="49"/>
    <x v="0"/>
    <x v="3"/>
    <x v="0"/>
    <n v="66009"/>
    <s v="03-01-2018"/>
    <x v="3"/>
    <n v="14"/>
    <n v="3"/>
    <s v="Yes"/>
    <x v="0"/>
    <s v="rahul.kumar1607@company.com"/>
    <s v="Valid"/>
    <n v="9270603645"/>
    <s v="Valid"/>
    <x v="0"/>
  </r>
  <r>
    <x v="605"/>
    <s v="Priya"/>
    <s v="Singh"/>
    <x v="0"/>
    <n v="45"/>
    <x v="3"/>
    <x v="4"/>
    <x v="3"/>
    <n v="87507"/>
    <s v="04-04-2023"/>
    <x v="4"/>
    <n v="18"/>
    <n v="3"/>
    <s v="Yes"/>
    <x v="1"/>
    <s v="priya.singh1608@company.com"/>
    <s v="Valid"/>
    <n v="9057706728"/>
    <s v="Valid"/>
    <x v="0"/>
  </r>
  <r>
    <x v="606"/>
    <s v="Ravi"/>
    <s v="Kumar"/>
    <x v="0"/>
    <n v="34"/>
    <x v="4"/>
    <x v="0"/>
    <x v="4"/>
    <n v="38183"/>
    <s v="05-12-2023"/>
    <x v="4"/>
    <n v="22"/>
    <n v="4"/>
    <s v="Yes"/>
    <x v="1"/>
    <s v="ravi.kumar1609@company.com"/>
    <s v="Valid"/>
    <n v="9894247859"/>
    <s v="Valid"/>
    <x v="5"/>
  </r>
  <r>
    <x v="607"/>
    <s v="John"/>
    <s v="Sharma"/>
    <x v="0"/>
    <n v="56"/>
    <x v="2"/>
    <x v="2"/>
    <x v="4"/>
    <n v="112624"/>
    <s v="06-01-2020"/>
    <x v="1"/>
    <n v="13"/>
    <n v="3"/>
    <s v="Yes"/>
    <x v="0"/>
    <s v="john.sharma1610@company.com"/>
    <s v="Valid"/>
    <n v="9374785275"/>
    <s v="Valid"/>
    <x v="2"/>
  </r>
  <r>
    <x v="608"/>
    <s v="Sneha"/>
    <s v="Singh"/>
    <x v="0"/>
    <n v="26"/>
    <x v="1"/>
    <x v="2"/>
    <x v="4"/>
    <n v="84956"/>
    <s v="08-03-2021"/>
    <x v="3"/>
    <n v="3"/>
    <n v="1"/>
    <s v="Yes"/>
    <x v="0"/>
    <s v="sneha.singh1611@company.com"/>
    <s v="Valid"/>
    <n v="9689207168"/>
    <s v="Valid"/>
    <x v="1"/>
  </r>
  <r>
    <x v="609"/>
    <s v="Divya"/>
    <s v="Kumar"/>
    <x v="0"/>
    <n v="35"/>
    <x v="4"/>
    <x v="4"/>
    <x v="3"/>
    <n v="76847"/>
    <s v="09-02-2023"/>
    <x v="4"/>
    <n v="12"/>
    <n v="2"/>
    <s v="No"/>
    <x v="0"/>
    <s v="divya.kumar1612company.com"/>
    <s v="Invalid"/>
    <n v="9900611190"/>
    <s v="Valid"/>
    <x v="4"/>
  </r>
  <r>
    <x v="610"/>
    <s v="John"/>
    <s v="Singh"/>
    <x v="0"/>
    <n v="43"/>
    <x v="0"/>
    <x v="2"/>
    <x v="2"/>
    <n v="68378"/>
    <s v="14-12-2022"/>
    <x v="3"/>
    <n v="3"/>
    <n v="1"/>
    <s v="Yes"/>
    <x v="0"/>
    <s v="john.singh1613@company.com"/>
    <s v="Valid"/>
    <n v="9241796162"/>
    <s v="Valid"/>
    <x v="0"/>
  </r>
  <r>
    <x v="611"/>
    <s v="Arun"/>
    <s v="Sharma"/>
    <x v="1"/>
    <n v="47"/>
    <x v="2"/>
    <x v="0"/>
    <x v="0"/>
    <n v="53090"/>
    <s v="22-07-2020"/>
    <x v="1"/>
    <n v="14"/>
    <n v="2"/>
    <s v="No"/>
    <x v="0"/>
    <s v="arun.sharma1614@company.com"/>
    <s v="Valid"/>
    <n v="9734475999"/>
    <s v="Valid"/>
    <x v="0"/>
  </r>
  <r>
    <x v="612"/>
    <s v="Arun"/>
    <s v="Sharma"/>
    <x v="0"/>
    <n v="32"/>
    <x v="1"/>
    <x v="0"/>
    <x v="0"/>
    <n v="110824"/>
    <s v="09-04-2020"/>
    <x v="1"/>
    <n v="13"/>
    <n v="4"/>
    <s v="Yes"/>
    <x v="1"/>
    <s v="arun.sharma1615@company.com"/>
    <s v="Valid"/>
    <n v="9788339354"/>
    <s v="Valid"/>
    <x v="5"/>
  </r>
  <r>
    <x v="613"/>
    <s v="Priya"/>
    <s v="Sharma"/>
    <x v="0"/>
    <n v="53"/>
    <x v="0"/>
    <x v="1"/>
    <x v="3"/>
    <n v="97818"/>
    <s v="05-09-2020"/>
    <x v="1"/>
    <n v="10"/>
    <n v="2"/>
    <s v="Yes"/>
    <x v="1"/>
    <s v="priya.sharma1616@company.com"/>
    <s v="Valid"/>
    <n v="9264271790"/>
    <s v="Valid"/>
    <x v="2"/>
  </r>
  <r>
    <x v="614"/>
    <s v="Kiran"/>
    <s v="Reddy"/>
    <x v="0"/>
    <n v="49"/>
    <x v="2"/>
    <x v="0"/>
    <x v="3"/>
    <n v="118158"/>
    <s v="12-01-2020"/>
    <x v="2"/>
    <n v="2"/>
    <n v="2"/>
    <s v="Yes"/>
    <x v="0"/>
    <s v="kiran.reddy1617@company.com"/>
    <s v="Valid"/>
    <n v="90688792"/>
    <s v="Invalid"/>
    <x v="0"/>
  </r>
  <r>
    <x v="615"/>
    <s v="Kiran"/>
    <s v="Reddy"/>
    <x v="0"/>
    <n v="58"/>
    <x v="2"/>
    <x v="1"/>
    <x v="1"/>
    <n v="64116"/>
    <s v="19-03-2020"/>
    <x v="2"/>
    <n v="15"/>
    <n v="4"/>
    <s v="Yes"/>
    <x v="1"/>
    <s v="kiran.reddy1618@company.com"/>
    <s v="Valid"/>
    <n v="9003591674"/>
    <s v="Valid"/>
    <x v="2"/>
  </r>
  <r>
    <x v="616"/>
    <s v="Kiran"/>
    <s v="Reddy"/>
    <x v="1"/>
    <n v="40"/>
    <x v="0"/>
    <x v="1"/>
    <x v="1"/>
    <n v="104528"/>
    <s v="10-07-2023"/>
    <x v="0"/>
    <n v="5"/>
    <n v="3"/>
    <s v="No"/>
    <x v="0"/>
    <s v="kiran.reddy1619@company.com"/>
    <s v="Valid"/>
    <n v="9910128941"/>
    <s v="Valid"/>
    <x v="0"/>
  </r>
  <r>
    <x v="617"/>
    <s v="Anil"/>
    <s v="Reddy"/>
    <x v="1"/>
    <n v="32"/>
    <x v="1"/>
    <x v="0"/>
    <x v="4"/>
    <n v="74276"/>
    <s v="22-12-2019"/>
    <x v="2"/>
    <n v="3"/>
    <n v="4"/>
    <s v="No"/>
    <x v="1"/>
    <s v="anil.reddy1620@company.com"/>
    <s v="Valid"/>
    <n v="9067690026"/>
    <s v="Valid"/>
    <x v="5"/>
  </r>
  <r>
    <x v="618"/>
    <s v="Meena"/>
    <s v="Kumar"/>
    <x v="0"/>
    <n v="51"/>
    <x v="0"/>
    <x v="2"/>
    <x v="2"/>
    <n v="64840"/>
    <s v="15-05-2022"/>
    <x v="3"/>
    <n v="8"/>
    <n v="1"/>
    <s v="No"/>
    <x v="1"/>
    <s v="meena.kumar1621@company.com"/>
    <s v="Valid"/>
    <n v="9554423453"/>
    <s v="Valid"/>
    <x v="2"/>
  </r>
  <r>
    <x v="619"/>
    <s v="Sneha"/>
    <s v="Kumar"/>
    <x v="0"/>
    <n v="37"/>
    <x v="3"/>
    <x v="0"/>
    <x v="3"/>
    <n v="39430"/>
    <s v="19-10-2019"/>
    <x v="4"/>
    <n v="16"/>
    <n v="4"/>
    <s v="Yes"/>
    <x v="0"/>
    <s v="sneha.kumar1622@company.com"/>
    <s v="Valid"/>
    <n v="9182529837"/>
    <s v="Valid"/>
    <x v="4"/>
  </r>
  <r>
    <x v="620"/>
    <s v="Meena"/>
    <s v="Sharma"/>
    <x v="1"/>
    <n v="40"/>
    <x v="4"/>
    <x v="4"/>
    <x v="0"/>
    <n v="105724"/>
    <s v="18-08-2023"/>
    <x v="3"/>
    <n v="21"/>
    <n v="5"/>
    <s v="Yes"/>
    <x v="0"/>
    <s v="meena.sharma1623@company.com"/>
    <s v="Valid"/>
    <n v="9403790683"/>
    <s v="Valid"/>
    <x v="0"/>
  </r>
  <r>
    <x v="621"/>
    <s v="Meena"/>
    <s v="Sharma"/>
    <x v="1"/>
    <n v="33"/>
    <x v="0"/>
    <x v="3"/>
    <x v="2"/>
    <n v="44879"/>
    <s v="11-11-2024"/>
    <x v="0"/>
    <n v="18"/>
    <n v="3"/>
    <s v="No"/>
    <x v="1"/>
    <s v="meena.sharma1624@company.com"/>
    <s v="Valid"/>
    <n v="9505969760"/>
    <s v="Valid"/>
    <x v="5"/>
  </r>
  <r>
    <x v="622"/>
    <s v="Ravi"/>
    <s v="Patel"/>
    <x v="1"/>
    <n v="34"/>
    <x v="4"/>
    <x v="4"/>
    <x v="3"/>
    <n v="43354"/>
    <s v="11-12-2019"/>
    <x v="3"/>
    <n v="14"/>
    <n v="2"/>
    <s v="Yes"/>
    <x v="0"/>
    <s v="ravi.patel1625@company.com"/>
    <s v="Valid"/>
    <n v="9591610755"/>
    <s v="Valid"/>
    <x v="5"/>
  </r>
  <r>
    <x v="623"/>
    <s v="Arun"/>
    <s v="Sharma"/>
    <x v="0"/>
    <n v="48"/>
    <x v="3"/>
    <x v="2"/>
    <x v="3"/>
    <n v="77790"/>
    <s v="06-09-2020"/>
    <x v="0"/>
    <n v="14"/>
    <n v="1"/>
    <s v="Yes"/>
    <x v="0"/>
    <s v="arun.sharma1626@company.com"/>
    <s v="Valid"/>
    <n v="9566206873"/>
    <s v="Valid"/>
    <x v="0"/>
  </r>
  <r>
    <x v="624"/>
    <s v="Rahul"/>
    <s v="Reddy"/>
    <x v="1"/>
    <n v="43"/>
    <x v="0"/>
    <x v="2"/>
    <x v="2"/>
    <n v="106716"/>
    <s v="03-02-2025"/>
    <x v="0"/>
    <n v="6"/>
    <n v="3"/>
    <s v="Yes"/>
    <x v="0"/>
    <s v="rahul.reddy1627@company.com"/>
    <s v="Valid"/>
    <n v="9808327147"/>
    <s v="Valid"/>
    <x v="0"/>
  </r>
  <r>
    <x v="625"/>
    <s v="Priya"/>
    <s v="Sharma"/>
    <x v="1"/>
    <n v="50"/>
    <x v="3"/>
    <x v="1"/>
    <x v="3"/>
    <n v="82994"/>
    <s v="20-04-2019"/>
    <x v="1"/>
    <n v="22"/>
    <n v="3"/>
    <s v="Yes"/>
    <x v="0"/>
    <s v="priya.sharma1628@company.com"/>
    <s v="Valid"/>
    <n v="9861241289"/>
    <s v="Valid"/>
    <x v="2"/>
  </r>
  <r>
    <x v="626"/>
    <s v="Rahul"/>
    <s v="Sharma"/>
    <x v="0"/>
    <n v="23"/>
    <x v="2"/>
    <x v="3"/>
    <x v="0"/>
    <n v="70471"/>
    <s v="06-03-2023"/>
    <x v="1"/>
    <n v="10"/>
    <n v="1"/>
    <s v="No"/>
    <x v="0"/>
    <s v="rahul.sharma1629@company.com"/>
    <s v="Valid"/>
    <n v="9457921739"/>
    <s v="Valid"/>
    <x v="3"/>
  </r>
  <r>
    <x v="627"/>
    <s v="Anil"/>
    <s v="Sharma"/>
    <x v="0"/>
    <n v="30"/>
    <x v="2"/>
    <x v="1"/>
    <x v="3"/>
    <n v="82607"/>
    <s v="28-04-2024"/>
    <x v="3"/>
    <n v="8"/>
    <n v="5"/>
    <s v="Yes"/>
    <x v="0"/>
    <s v="anil.sharma1630@company.com"/>
    <s v="Valid"/>
    <n v="9506833372"/>
    <s v="Valid"/>
    <x v="5"/>
  </r>
  <r>
    <x v="628"/>
    <s v="Kiran"/>
    <s v="Reddy"/>
    <x v="1"/>
    <n v="22"/>
    <x v="4"/>
    <x v="3"/>
    <x v="2"/>
    <n v="81197"/>
    <s v="29-04-2023"/>
    <x v="3"/>
    <n v="8"/>
    <n v="1"/>
    <s v="Yes"/>
    <x v="0"/>
    <s v="kiran.reddy1631@company.com"/>
    <s v="Valid"/>
    <n v="9733444452"/>
    <s v="Valid"/>
    <x v="3"/>
  </r>
  <r>
    <x v="629"/>
    <s v="Anil"/>
    <s v="Kumar"/>
    <x v="0"/>
    <n v="53"/>
    <x v="2"/>
    <x v="2"/>
    <x v="1"/>
    <n v="45183"/>
    <s v="12-04-2021"/>
    <x v="3"/>
    <n v="19"/>
    <n v="2"/>
    <s v="No"/>
    <x v="1"/>
    <s v="anil.kumar1632@company.com"/>
    <s v="Valid"/>
    <n v="9069652355"/>
    <s v="Valid"/>
    <x v="2"/>
  </r>
  <r>
    <x v="630"/>
    <s v="Anil"/>
    <s v="Reddy"/>
    <x v="0"/>
    <n v="39"/>
    <x v="4"/>
    <x v="2"/>
    <x v="3"/>
    <n v="49959"/>
    <s v="08-05-2020"/>
    <x v="2"/>
    <n v="24"/>
    <n v="4"/>
    <s v="Yes"/>
    <x v="1"/>
    <s v="anil.reddy1633@company.com"/>
    <s v="Valid"/>
    <n v="9786666335"/>
    <s v="Valid"/>
    <x v="4"/>
  </r>
  <r>
    <x v="631"/>
    <s v="Divya"/>
    <s v="Singh"/>
    <x v="0"/>
    <n v="47"/>
    <x v="2"/>
    <x v="0"/>
    <x v="0"/>
    <n v="40634"/>
    <s v="28-04-2024"/>
    <x v="4"/>
    <n v="14"/>
    <n v="4"/>
    <s v="No"/>
    <x v="1"/>
    <s v="divya.singh1634@company.com"/>
    <s v="Valid"/>
    <n v="9590541492"/>
    <s v="Valid"/>
    <x v="0"/>
  </r>
  <r>
    <x v="632"/>
    <s v="Ravi"/>
    <s v="Sharma"/>
    <x v="1"/>
    <n v="37"/>
    <x v="3"/>
    <x v="4"/>
    <x v="0"/>
    <n v="61026"/>
    <s v="16-10-2022"/>
    <x v="2"/>
    <n v="12"/>
    <n v="1"/>
    <s v="Yes"/>
    <x v="1"/>
    <s v="ravi.sharma1635@company.com"/>
    <s v="Valid"/>
    <n v="9492628418"/>
    <s v="Valid"/>
    <x v="4"/>
  </r>
  <r>
    <x v="633"/>
    <s v="Kiran"/>
    <s v="Sharma"/>
    <x v="0"/>
    <n v="35"/>
    <x v="2"/>
    <x v="3"/>
    <x v="0"/>
    <n v="31387"/>
    <s v="11-01-2024"/>
    <x v="1"/>
    <n v="0"/>
    <n v="5"/>
    <s v="No"/>
    <x v="0"/>
    <s v="kiran.sharma1636@company.com"/>
    <s v="Valid"/>
    <n v="91129179"/>
    <s v="Invalid"/>
    <x v="4"/>
  </r>
  <r>
    <x v="634"/>
    <s v="Kiran"/>
    <s v="Singh"/>
    <x v="0"/>
    <n v="45"/>
    <x v="1"/>
    <x v="3"/>
    <x v="3"/>
    <n v="57218"/>
    <s v="15-03-2022"/>
    <x v="2"/>
    <n v="24"/>
    <n v="1"/>
    <s v="Yes"/>
    <x v="0"/>
    <s v="kiran.singh1637@company.com"/>
    <s v="Valid"/>
    <n v="9361846980"/>
    <s v="Valid"/>
    <x v="0"/>
  </r>
  <r>
    <x v="635"/>
    <s v="Kiran"/>
    <s v="Patel"/>
    <x v="0"/>
    <n v="44"/>
    <x v="3"/>
    <x v="1"/>
    <x v="0"/>
    <n v="90891"/>
    <s v="06-07-2019"/>
    <x v="2"/>
    <n v="15"/>
    <n v="2"/>
    <s v="No"/>
    <x v="1"/>
    <s v="kiran.patel1638@company.com"/>
    <s v="Valid"/>
    <n v="9809438825"/>
    <s v="Valid"/>
    <x v="0"/>
  </r>
  <r>
    <x v="636"/>
    <s v="Divya"/>
    <s v="Singh"/>
    <x v="1"/>
    <n v="22"/>
    <x v="3"/>
    <x v="3"/>
    <x v="0"/>
    <n v="35635"/>
    <s v="04-05-2018"/>
    <x v="4"/>
    <n v="8"/>
    <n v="5"/>
    <s v="No"/>
    <x v="1"/>
    <s v="divya.singh1639@company.com"/>
    <s v="Valid"/>
    <n v="9215722284"/>
    <s v="Valid"/>
    <x v="3"/>
  </r>
  <r>
    <x v="637"/>
    <s v="Meena"/>
    <s v="Kumar"/>
    <x v="0"/>
    <n v="32"/>
    <x v="1"/>
    <x v="2"/>
    <x v="1"/>
    <n v="26375"/>
    <s v="11-05-2020"/>
    <x v="3"/>
    <n v="0"/>
    <n v="1"/>
    <s v="Yes"/>
    <x v="0"/>
    <s v="meena.kumar1640@company.com"/>
    <s v="Valid"/>
    <n v="9070182589"/>
    <s v="Valid"/>
    <x v="5"/>
  </r>
  <r>
    <x v="638"/>
    <s v="Rahul"/>
    <s v="Reddy"/>
    <x v="0"/>
    <n v="42"/>
    <x v="2"/>
    <x v="3"/>
    <x v="0"/>
    <n v="91754"/>
    <s v="01-07-2022"/>
    <x v="3"/>
    <n v="23"/>
    <n v="1"/>
    <s v="No"/>
    <x v="1"/>
    <s v="rahul.reddy1641@company.com"/>
    <s v="Valid"/>
    <n v="9646233164"/>
    <s v="Valid"/>
    <x v="0"/>
  </r>
  <r>
    <x v="639"/>
    <s v="Ravi"/>
    <s v="Sharma"/>
    <x v="1"/>
    <n v="66"/>
    <x v="4"/>
    <x v="3"/>
    <x v="2"/>
    <n v="114592"/>
    <s v="05-02-2022"/>
    <x v="3"/>
    <n v="16"/>
    <n v="5"/>
    <s v="Yes"/>
    <x v="0"/>
    <s v="ravi.sharma1642@company.com"/>
    <s v="Valid"/>
    <n v="9159253318"/>
    <s v="Valid"/>
    <x v="2"/>
  </r>
  <r>
    <x v="640"/>
    <s v="Divya"/>
    <s v="Kumar"/>
    <x v="1"/>
    <n v="54"/>
    <x v="1"/>
    <x v="1"/>
    <x v="1"/>
    <n v="91496"/>
    <s v="01-01-2023"/>
    <x v="4"/>
    <n v="10"/>
    <n v="4"/>
    <s v="No"/>
    <x v="1"/>
    <s v="divya.kumar1643@company.com"/>
    <s v="Valid"/>
    <n v="9544966257"/>
    <s v="Valid"/>
    <x v="2"/>
  </r>
  <r>
    <x v="641"/>
    <s v="Anil"/>
    <s v="Reddy"/>
    <x v="0"/>
    <n v="38"/>
    <x v="3"/>
    <x v="2"/>
    <x v="2"/>
    <n v="117888"/>
    <s v="12-01-2018"/>
    <x v="4"/>
    <n v="0"/>
    <n v="3"/>
    <s v="Yes"/>
    <x v="1"/>
    <s v="anil.reddy1644@company.com"/>
    <s v="Valid"/>
    <n v="9749091118"/>
    <s v="Valid"/>
    <x v="4"/>
  </r>
  <r>
    <x v="642"/>
    <s v="Divya"/>
    <s v="Reddy"/>
    <x v="0"/>
    <n v="56"/>
    <x v="1"/>
    <x v="0"/>
    <x v="0"/>
    <n v="47298"/>
    <s v="16-09-2023"/>
    <x v="3"/>
    <n v="15"/>
    <n v="5"/>
    <s v="No"/>
    <x v="0"/>
    <s v="divya.reddy1645@company.com"/>
    <s v="Valid"/>
    <n v="9579840995"/>
    <s v="Valid"/>
    <x v="2"/>
  </r>
  <r>
    <x v="643"/>
    <s v="Divya"/>
    <s v="Sharma"/>
    <x v="1"/>
    <n v="32"/>
    <x v="0"/>
    <x v="0"/>
    <x v="1"/>
    <n v="66308"/>
    <s v="07-09-2023"/>
    <x v="1"/>
    <n v="23"/>
    <n v="1"/>
    <s v="No"/>
    <x v="1"/>
    <s v="divya.sharma1646@company.com"/>
    <s v="Valid"/>
    <n v="9025696586"/>
    <s v="Valid"/>
    <x v="5"/>
  </r>
  <r>
    <x v="644"/>
    <s v="Sneha"/>
    <s v="Sharma"/>
    <x v="0"/>
    <n v="30"/>
    <x v="4"/>
    <x v="3"/>
    <x v="0"/>
    <n v="43518"/>
    <s v="05-03-2021"/>
    <x v="4"/>
    <n v="11"/>
    <n v="5"/>
    <s v="Yes"/>
    <x v="1"/>
    <s v="sneha.sharma1647@company.com"/>
    <s v="Valid"/>
    <n v="9897045012"/>
    <s v="Valid"/>
    <x v="5"/>
  </r>
  <r>
    <x v="645"/>
    <s v="Divya"/>
    <s v="Sharma"/>
    <x v="0"/>
    <n v="25"/>
    <x v="4"/>
    <x v="2"/>
    <x v="2"/>
    <n v="59232"/>
    <s v="12-02-2024"/>
    <x v="2"/>
    <n v="12"/>
    <n v="3"/>
    <s v="No"/>
    <x v="1"/>
    <s v="divya.sharma1648@company.com"/>
    <s v="Valid"/>
    <n v="9068843595"/>
    <s v="Valid"/>
    <x v="1"/>
  </r>
  <r>
    <x v="646"/>
    <s v="Sneha"/>
    <s v="Reddy"/>
    <x v="0"/>
    <n v="25"/>
    <x v="2"/>
    <x v="4"/>
    <x v="2"/>
    <n v="88595"/>
    <s v="24-10-2018"/>
    <x v="2"/>
    <n v="11"/>
    <n v="5"/>
    <s v="No"/>
    <x v="0"/>
    <s v="sneha.reddy1649@company.com"/>
    <s v="Valid"/>
    <n v="9076405059"/>
    <s v="Valid"/>
    <x v="1"/>
  </r>
  <r>
    <x v="647"/>
    <s v="Sneha"/>
    <s v="Singh"/>
    <x v="1"/>
    <n v="33"/>
    <x v="1"/>
    <x v="4"/>
    <x v="0"/>
    <n v="78293"/>
    <s v="25-12-2021"/>
    <x v="0"/>
    <n v="12"/>
    <n v="5"/>
    <s v="No"/>
    <x v="0"/>
    <s v="sneha.singh1650@company.com"/>
    <s v="Valid"/>
    <n v="9138784766"/>
    <s v="Valid"/>
    <x v="5"/>
  </r>
  <r>
    <x v="648"/>
    <s v="Kiran"/>
    <s v="Sharma"/>
    <x v="0"/>
    <n v="22"/>
    <x v="1"/>
    <x v="0"/>
    <x v="2"/>
    <n v="96609"/>
    <s v="10-12-2019"/>
    <x v="3"/>
    <n v="7"/>
    <n v="3"/>
    <s v="Yes"/>
    <x v="0"/>
    <s v="kiran.sharma1651@company.com"/>
    <s v="Valid"/>
    <n v="9714415775"/>
    <s v="Valid"/>
    <x v="3"/>
  </r>
  <r>
    <x v="649"/>
    <s v="Arun"/>
    <s v="Patel"/>
    <x v="0"/>
    <n v="56"/>
    <x v="2"/>
    <x v="0"/>
    <x v="3"/>
    <n v="102463"/>
    <s v="18-11-2019"/>
    <x v="3"/>
    <n v="0"/>
    <n v="4"/>
    <s v="No"/>
    <x v="1"/>
    <s v="arun.patel1652@company.com"/>
    <s v="Valid"/>
    <n v="9533890412"/>
    <s v="Valid"/>
    <x v="2"/>
  </r>
  <r>
    <x v="650"/>
    <s v="Divya"/>
    <s v="Singh"/>
    <x v="1"/>
    <n v="49"/>
    <x v="4"/>
    <x v="3"/>
    <x v="4"/>
    <n v="99768"/>
    <s v="04-01-2020"/>
    <x v="3"/>
    <n v="2"/>
    <n v="1"/>
    <s v="No"/>
    <x v="1"/>
    <s v="divya.singh1653@company.com"/>
    <s v="Valid"/>
    <n v="9570170315"/>
    <s v="Valid"/>
    <x v="0"/>
  </r>
  <r>
    <x v="651"/>
    <s v="Arun"/>
    <s v="Reddy"/>
    <x v="1"/>
    <n v="58"/>
    <x v="0"/>
    <x v="4"/>
    <x v="4"/>
    <n v="98505"/>
    <s v="02-10-2018"/>
    <x v="0"/>
    <n v="11"/>
    <n v="1"/>
    <s v="Yes"/>
    <x v="1"/>
    <s v="arun.reddy1654@company.com"/>
    <s v="Valid"/>
    <n v="9493221028"/>
    <s v="Valid"/>
    <x v="2"/>
  </r>
  <r>
    <x v="652"/>
    <s v="Divya"/>
    <s v="Reddy"/>
    <x v="0"/>
    <n v="35"/>
    <x v="4"/>
    <x v="1"/>
    <x v="4"/>
    <n v="86373"/>
    <s v="04-07-2024"/>
    <x v="4"/>
    <n v="12"/>
    <n v="2"/>
    <s v="No"/>
    <x v="0"/>
    <s v="Missing email"/>
    <s v="Invalid"/>
    <n v="9807111906"/>
    <s v="Valid"/>
    <x v="4"/>
  </r>
  <r>
    <x v="653"/>
    <s v="Kiran"/>
    <s v="Patel"/>
    <x v="0"/>
    <n v="31"/>
    <x v="2"/>
    <x v="4"/>
    <x v="0"/>
    <n v="69367"/>
    <s v="06-02-2019"/>
    <x v="3"/>
    <n v="23"/>
    <n v="1"/>
    <s v="Yes"/>
    <x v="1"/>
    <s v="kiran.patel1656@company.com"/>
    <s v="Valid"/>
    <n v="9127930636"/>
    <s v="Valid"/>
    <x v="5"/>
  </r>
  <r>
    <x v="654"/>
    <s v="Arun"/>
    <s v="Sharma"/>
    <x v="0"/>
    <n v="24"/>
    <x v="0"/>
    <x v="4"/>
    <x v="0"/>
    <n v="39378"/>
    <s v="22-02-2018"/>
    <x v="2"/>
    <n v="22"/>
    <n v="2"/>
    <s v="No"/>
    <x v="0"/>
    <s v="arun.sharma1657@company.com"/>
    <s v="Valid"/>
    <n v="9714407298"/>
    <s v="Valid"/>
    <x v="3"/>
  </r>
  <r>
    <x v="655"/>
    <s v="Anil"/>
    <s v="Sharma"/>
    <x v="1"/>
    <n v="24"/>
    <x v="2"/>
    <x v="4"/>
    <x v="0"/>
    <n v="51201"/>
    <s v="24-08-2024"/>
    <x v="4"/>
    <n v="24"/>
    <n v="4"/>
    <s v="Yes"/>
    <x v="1"/>
    <s v="anil.sharma1658@company.com"/>
    <s v="Valid"/>
    <n v="9407495824"/>
    <s v="Valid"/>
    <x v="3"/>
  </r>
  <r>
    <x v="656"/>
    <s v="Anil"/>
    <s v="Patel"/>
    <x v="1"/>
    <n v="51"/>
    <x v="2"/>
    <x v="2"/>
    <x v="3"/>
    <n v="32197"/>
    <s v="08-08-2019"/>
    <x v="1"/>
    <n v="22"/>
    <n v="4"/>
    <s v="No"/>
    <x v="1"/>
    <s v="anil.patel1659@company.com"/>
    <s v="Valid"/>
    <n v="9514337940"/>
    <s v="Valid"/>
    <x v="2"/>
  </r>
  <r>
    <x v="657"/>
    <s v="Meena"/>
    <s v="Patel"/>
    <x v="1"/>
    <n v="44"/>
    <x v="4"/>
    <x v="4"/>
    <x v="4"/>
    <n v="40050"/>
    <s v="30-05-2023"/>
    <x v="4"/>
    <n v="3"/>
    <n v="1"/>
    <s v="No"/>
    <x v="0"/>
    <s v="meena.patel1660@company.com"/>
    <s v="Valid"/>
    <n v="9907972190"/>
    <s v="Valid"/>
    <x v="0"/>
  </r>
  <r>
    <x v="658"/>
    <s v="Ravi"/>
    <s v="Reddy"/>
    <x v="1"/>
    <n v="38"/>
    <x v="2"/>
    <x v="3"/>
    <x v="3"/>
    <n v="49771"/>
    <s v="17-02-2019"/>
    <x v="0"/>
    <n v="16"/>
    <n v="4"/>
    <s v="Yes"/>
    <x v="1"/>
    <s v="ravi.reddy1661@company.com"/>
    <s v="Valid"/>
    <n v="9490783435"/>
    <s v="Valid"/>
    <x v="4"/>
  </r>
  <r>
    <x v="659"/>
    <s v="Rahul"/>
    <s v="Singh"/>
    <x v="0"/>
    <n v="54"/>
    <x v="4"/>
    <x v="4"/>
    <x v="1"/>
    <n v="76056"/>
    <s v="27-06-2024"/>
    <x v="1"/>
    <n v="18"/>
    <n v="4"/>
    <s v="No"/>
    <x v="1"/>
    <s v="rahul.singh1662@company.com"/>
    <s v="Valid"/>
    <n v="9003295436"/>
    <s v="Valid"/>
    <x v="2"/>
  </r>
  <r>
    <x v="660"/>
    <s v="Anil"/>
    <s v="Kumar"/>
    <x v="1"/>
    <n v="25"/>
    <x v="2"/>
    <x v="1"/>
    <x v="3"/>
    <n v="42497"/>
    <s v="19-02-2021"/>
    <x v="2"/>
    <n v="22"/>
    <n v="5"/>
    <s v="Yes"/>
    <x v="1"/>
    <s v="anil.kumar1663@company.com"/>
    <s v="Valid"/>
    <n v="9584539685"/>
    <s v="Valid"/>
    <x v="1"/>
  </r>
  <r>
    <x v="661"/>
    <s v="Rahul"/>
    <s v="Patel"/>
    <x v="1"/>
    <n v="38"/>
    <x v="2"/>
    <x v="2"/>
    <x v="2"/>
    <n v="75181"/>
    <s v="24-12-2020"/>
    <x v="0"/>
    <n v="7"/>
    <n v="4"/>
    <s v="Yes"/>
    <x v="1"/>
    <s v="rahul.patel1664@company.com"/>
    <s v="Valid"/>
    <n v="9206655033"/>
    <s v="Valid"/>
    <x v="4"/>
  </r>
  <r>
    <x v="662"/>
    <s v="Priya"/>
    <s v="Kumar"/>
    <x v="0"/>
    <n v="40"/>
    <x v="1"/>
    <x v="0"/>
    <x v="3"/>
    <n v="87728"/>
    <s v="10-03-2022"/>
    <x v="2"/>
    <n v="25"/>
    <n v="1"/>
    <s v="Yes"/>
    <x v="1"/>
    <s v="priya.kumar1665@company.com"/>
    <s v="Valid"/>
    <n v="9476435312"/>
    <s v="Valid"/>
    <x v="0"/>
  </r>
  <r>
    <x v="663"/>
    <s v="Rahul"/>
    <s v="Patel"/>
    <x v="1"/>
    <n v="44"/>
    <x v="2"/>
    <x v="0"/>
    <x v="2"/>
    <n v="62850"/>
    <s v="15-02-2018"/>
    <x v="0"/>
    <n v="13"/>
    <n v="2"/>
    <s v="Yes"/>
    <x v="1"/>
    <s v="rahul.patel1666@company.com"/>
    <s v="Valid"/>
    <n v="9712240473"/>
    <s v="Valid"/>
    <x v="0"/>
  </r>
  <r>
    <x v="664"/>
    <s v="Sneha"/>
    <s v="Kumar"/>
    <x v="1"/>
    <n v="26"/>
    <x v="3"/>
    <x v="1"/>
    <x v="1"/>
    <n v="67813"/>
    <s v="27-06-2020"/>
    <x v="3"/>
    <n v="23"/>
    <n v="2"/>
    <s v="Yes"/>
    <x v="1"/>
    <s v="sneha.kumar1667@company.com"/>
    <s v="Valid"/>
    <n v="9020963109"/>
    <s v="Valid"/>
    <x v="1"/>
  </r>
  <r>
    <x v="665"/>
    <s v="Ravi"/>
    <s v="Kumar"/>
    <x v="1"/>
    <n v="22"/>
    <x v="0"/>
    <x v="2"/>
    <x v="1"/>
    <n v="38409"/>
    <s v="26-07-2022"/>
    <x v="2"/>
    <n v="14"/>
    <n v="3"/>
    <s v="Yes"/>
    <x v="1"/>
    <s v="ravi.kumar1668@company.com"/>
    <s v="Valid"/>
    <n v="9459152752"/>
    <s v="Valid"/>
    <x v="3"/>
  </r>
  <r>
    <x v="666"/>
    <s v="Meena"/>
    <s v="Reddy"/>
    <x v="0"/>
    <n v="48"/>
    <x v="0"/>
    <x v="1"/>
    <x v="2"/>
    <n v="91875"/>
    <s v="15-12-2018"/>
    <x v="0"/>
    <n v="7"/>
    <n v="1"/>
    <s v="Yes"/>
    <x v="1"/>
    <s v="meena.reddy1669@company.com"/>
    <s v="Valid"/>
    <n v="9524057948"/>
    <s v="Valid"/>
    <x v="0"/>
  </r>
  <r>
    <x v="667"/>
    <s v="Rahul"/>
    <s v="Singh"/>
    <x v="0"/>
    <n v="24"/>
    <x v="2"/>
    <x v="0"/>
    <x v="1"/>
    <n v="59870"/>
    <s v="18-08-2018"/>
    <x v="2"/>
    <n v="2"/>
    <n v="3"/>
    <s v="No"/>
    <x v="1"/>
    <s v="rahul.singh1670@company.com"/>
    <s v="Valid"/>
    <n v="9162902460"/>
    <s v="Valid"/>
    <x v="3"/>
  </r>
  <r>
    <x v="668"/>
    <s v="Meena"/>
    <s v="Sharma"/>
    <x v="0"/>
    <n v="28"/>
    <x v="4"/>
    <x v="3"/>
    <x v="3"/>
    <s v="Missing"/>
    <s v="01-11-2020"/>
    <x v="1"/>
    <n v="20"/>
    <n v="3"/>
    <s v="No"/>
    <x v="0"/>
    <s v="meena.sharma1671@company.com"/>
    <s v="Valid"/>
    <n v="9186060635"/>
    <s v="Valid"/>
    <x v="1"/>
  </r>
  <r>
    <x v="669"/>
    <s v="Anil"/>
    <s v="Sharma"/>
    <x v="0"/>
    <n v="26"/>
    <x v="2"/>
    <x v="4"/>
    <x v="4"/>
    <n v="84138"/>
    <s v="30-08-2023"/>
    <x v="4"/>
    <n v="23"/>
    <n v="5"/>
    <s v="Yes"/>
    <x v="1"/>
    <s v="anil.sharma1672@company.com"/>
    <s v="Valid"/>
    <n v="9533771109"/>
    <s v="Valid"/>
    <x v="1"/>
  </r>
  <r>
    <x v="670"/>
    <s v="Priya"/>
    <s v="Singh"/>
    <x v="1"/>
    <n v="55"/>
    <x v="0"/>
    <x v="4"/>
    <x v="3"/>
    <n v="37762"/>
    <s v="12-01-2021"/>
    <x v="4"/>
    <n v="10"/>
    <n v="5"/>
    <s v="Yes"/>
    <x v="0"/>
    <s v="priya.singh1673@company.com"/>
    <s v="Valid"/>
    <n v="9573180271"/>
    <s v="Valid"/>
    <x v="2"/>
  </r>
  <r>
    <x v="671"/>
    <s v="John"/>
    <s v="Reddy"/>
    <x v="1"/>
    <n v="38"/>
    <x v="0"/>
    <x v="2"/>
    <x v="2"/>
    <n v="109198"/>
    <s v="06-02-2019"/>
    <x v="2"/>
    <n v="25"/>
    <n v="1"/>
    <s v="No"/>
    <x v="0"/>
    <s v="Missing email"/>
    <s v="Invalid"/>
    <n v="9218665325"/>
    <s v="Valid"/>
    <x v="4"/>
  </r>
  <r>
    <x v="672"/>
    <s v="Ravi"/>
    <s v="Patel"/>
    <x v="1"/>
    <n v="27"/>
    <x v="0"/>
    <x v="2"/>
    <x v="0"/>
    <n v="73107"/>
    <s v="08-08-2018"/>
    <x v="4"/>
    <n v="10"/>
    <n v="5"/>
    <s v="No"/>
    <x v="1"/>
    <s v="ravi.patel1675@company.com"/>
    <s v="Valid"/>
    <n v="9159991303"/>
    <s v="Valid"/>
    <x v="1"/>
  </r>
  <r>
    <x v="673"/>
    <s v="Arun"/>
    <s v="Reddy"/>
    <x v="0"/>
    <n v="48"/>
    <x v="2"/>
    <x v="4"/>
    <x v="3"/>
    <n v="45136"/>
    <s v="21-07-2019"/>
    <x v="0"/>
    <n v="17"/>
    <n v="1"/>
    <s v="No"/>
    <x v="1"/>
    <s v="Missing email"/>
    <s v="Invalid"/>
    <n v="9480592030"/>
    <s v="Valid"/>
    <x v="0"/>
  </r>
  <r>
    <x v="674"/>
    <s v="Arun"/>
    <s v="Kumar"/>
    <x v="1"/>
    <n v="49"/>
    <x v="0"/>
    <x v="2"/>
    <x v="3"/>
    <n v="49713"/>
    <s v="15-03-2023"/>
    <x v="3"/>
    <n v="21"/>
    <n v="5"/>
    <s v="No"/>
    <x v="1"/>
    <s v="arun.kumar1677@company.com"/>
    <s v="Valid"/>
    <n v="9598868473"/>
    <s v="Valid"/>
    <x v="0"/>
  </r>
  <r>
    <x v="675"/>
    <s v="Priya"/>
    <s v="Patel"/>
    <x v="0"/>
    <n v="24"/>
    <x v="4"/>
    <x v="1"/>
    <x v="0"/>
    <n v="94597"/>
    <s v="21-03-2019"/>
    <x v="2"/>
    <n v="14"/>
    <n v="3"/>
    <s v="No"/>
    <x v="1"/>
    <s v="priya.patel1678@company.com"/>
    <s v="Valid"/>
    <n v="9523575508"/>
    <s v="Valid"/>
    <x v="3"/>
  </r>
  <r>
    <x v="676"/>
    <s v="Ravi"/>
    <s v="Singh"/>
    <x v="1"/>
    <n v="31"/>
    <x v="1"/>
    <x v="4"/>
    <x v="1"/>
    <n v="93055"/>
    <s v="06-06-2022"/>
    <x v="0"/>
    <n v="6"/>
    <n v="2"/>
    <s v="No"/>
    <x v="1"/>
    <s v="ravi.singh1679@company.com"/>
    <s v="Valid"/>
    <n v="9320906540"/>
    <s v="Valid"/>
    <x v="5"/>
  </r>
  <r>
    <x v="677"/>
    <s v="Ravi"/>
    <s v="Kumar"/>
    <x v="0"/>
    <n v="32"/>
    <x v="3"/>
    <x v="1"/>
    <x v="2"/>
    <s v="Missing"/>
    <s v="21-10-2019"/>
    <x v="0"/>
    <n v="5"/>
    <n v="5"/>
    <s v="No"/>
    <x v="0"/>
    <s v="ravi.kumar1680@company.com"/>
    <s v="Valid"/>
    <n v="9683445477"/>
    <s v="Valid"/>
    <x v="5"/>
  </r>
  <r>
    <x v="678"/>
    <s v="Ravi"/>
    <s v="Singh"/>
    <x v="0"/>
    <n v="58"/>
    <x v="2"/>
    <x v="1"/>
    <x v="0"/>
    <n v="91710"/>
    <s v="26-10-2024"/>
    <x v="1"/>
    <n v="21"/>
    <n v="4"/>
    <s v="No"/>
    <x v="0"/>
    <s v="ravi.singh1681@company.com"/>
    <s v="Valid"/>
    <n v="9347246944"/>
    <s v="Valid"/>
    <x v="2"/>
  </r>
  <r>
    <x v="679"/>
    <s v="Ravi"/>
    <s v="Reddy"/>
    <x v="1"/>
    <n v="29"/>
    <x v="1"/>
    <x v="2"/>
    <x v="3"/>
    <n v="61301"/>
    <s v="25-02-2019"/>
    <x v="0"/>
    <n v="17"/>
    <n v="4"/>
    <s v="Yes"/>
    <x v="0"/>
    <s v="ravi.reddy1682@company.com"/>
    <s v="Valid"/>
    <n v="9825406422"/>
    <s v="Valid"/>
    <x v="1"/>
  </r>
  <r>
    <x v="680"/>
    <s v="Sneha"/>
    <s v="Sharma"/>
    <x v="1"/>
    <n v="34"/>
    <x v="0"/>
    <x v="0"/>
    <x v="2"/>
    <n v="-45031"/>
    <s v="05-07-2019"/>
    <x v="3"/>
    <n v="7"/>
    <n v="2"/>
    <s v="Yes"/>
    <x v="0"/>
    <s v="sneha.sharma1683@company.com"/>
    <s v="Valid"/>
    <n v="9530528948"/>
    <s v="Valid"/>
    <x v="5"/>
  </r>
  <r>
    <x v="681"/>
    <s v="Arun"/>
    <s v="Reddy"/>
    <x v="0"/>
    <n v="26"/>
    <x v="1"/>
    <x v="2"/>
    <x v="4"/>
    <n v="38459"/>
    <s v="07-05-2018"/>
    <x v="0"/>
    <n v="22"/>
    <n v="1"/>
    <s v="No"/>
    <x v="1"/>
    <s v="arun.reddy1684@company.com"/>
    <s v="Valid"/>
    <n v="9376278484"/>
    <s v="Valid"/>
    <x v="1"/>
  </r>
  <r>
    <x v="682"/>
    <s v="Kiran"/>
    <s v="Singh"/>
    <x v="0"/>
    <n v="56"/>
    <x v="4"/>
    <x v="4"/>
    <x v="4"/>
    <n v="79227"/>
    <s v="14-12-2020"/>
    <x v="3"/>
    <n v="23"/>
    <n v="2"/>
    <s v="Yes"/>
    <x v="1"/>
    <s v="kiran.singh1685@company.com"/>
    <s v="Valid"/>
    <n v="9800292276"/>
    <s v="Valid"/>
    <x v="2"/>
  </r>
  <r>
    <x v="683"/>
    <s v="Kiran"/>
    <s v="Singh"/>
    <x v="1"/>
    <n v="47"/>
    <x v="0"/>
    <x v="2"/>
    <x v="0"/>
    <n v="33447"/>
    <s v="14-11-2020"/>
    <x v="0"/>
    <n v="20"/>
    <n v="5"/>
    <s v="Yes"/>
    <x v="0"/>
    <s v="kiran.singh1686@company.com"/>
    <s v="Valid"/>
    <n v="9146830505"/>
    <s v="Valid"/>
    <x v="0"/>
  </r>
  <r>
    <x v="684"/>
    <s v="Divya"/>
    <s v="Kumar"/>
    <x v="1"/>
    <n v="36"/>
    <x v="1"/>
    <x v="0"/>
    <x v="4"/>
    <n v="57130"/>
    <s v="07-04-2020"/>
    <x v="2"/>
    <n v="0"/>
    <n v="3"/>
    <s v="Yes"/>
    <x v="0"/>
    <s v="divya.kumar1687@company.com"/>
    <s v="Valid"/>
    <n v="9025511492"/>
    <s v="Valid"/>
    <x v="4"/>
  </r>
  <r>
    <x v="685"/>
    <s v="Ravi"/>
    <s v="Kumar"/>
    <x v="1"/>
    <n v="34"/>
    <x v="2"/>
    <x v="2"/>
    <x v="4"/>
    <n v="46324"/>
    <s v="31-07-2021"/>
    <x v="4"/>
    <n v="11"/>
    <n v="5"/>
    <s v="Yes"/>
    <x v="1"/>
    <s v="ravi.kumar1688@company.com"/>
    <s v="Valid"/>
    <n v="9273761224"/>
    <s v="Valid"/>
    <x v="5"/>
  </r>
  <r>
    <x v="686"/>
    <s v="Divya"/>
    <s v="Singh"/>
    <x v="1"/>
    <n v="53"/>
    <x v="0"/>
    <x v="4"/>
    <x v="0"/>
    <n v="107647"/>
    <s v="27-11-2023"/>
    <x v="4"/>
    <n v="8"/>
    <n v="4"/>
    <s v="Yes"/>
    <x v="1"/>
    <s v="divya.singh1689@company.com"/>
    <s v="Valid"/>
    <n v="9840127402"/>
    <s v="Valid"/>
    <x v="2"/>
  </r>
  <r>
    <x v="687"/>
    <s v="Divya"/>
    <s v="Singh"/>
    <x v="1"/>
    <n v="45"/>
    <x v="3"/>
    <x v="4"/>
    <x v="2"/>
    <n v="85981"/>
    <s v="16-01-2018"/>
    <x v="1"/>
    <n v="6"/>
    <n v="1"/>
    <s v="Yes"/>
    <x v="1"/>
    <s v="divya.singh1690@company.com"/>
    <s v="Valid"/>
    <n v="9179113766"/>
    <s v="Valid"/>
    <x v="0"/>
  </r>
  <r>
    <x v="688"/>
    <s v="John"/>
    <s v="Sharma"/>
    <x v="0"/>
    <n v="58"/>
    <x v="0"/>
    <x v="4"/>
    <x v="3"/>
    <n v="91865"/>
    <s v="26-12-2022"/>
    <x v="0"/>
    <n v="13"/>
    <n v="2"/>
    <s v="Yes"/>
    <x v="0"/>
    <s v="john.sharma1691@company.com"/>
    <s v="Valid"/>
    <n v="9125440373"/>
    <s v="Valid"/>
    <x v="2"/>
  </r>
  <r>
    <x v="689"/>
    <s v="Arun"/>
    <s v="Patel"/>
    <x v="0"/>
    <n v="57"/>
    <x v="0"/>
    <x v="2"/>
    <x v="3"/>
    <n v="-119379"/>
    <s v="15-02-2019"/>
    <x v="4"/>
    <n v="20"/>
    <n v="4"/>
    <s v="No"/>
    <x v="1"/>
    <s v="arun.patel1692@company.com"/>
    <s v="Valid"/>
    <n v="9677101543"/>
    <s v="Valid"/>
    <x v="2"/>
  </r>
  <r>
    <x v="690"/>
    <s v="Rahul"/>
    <s v="Reddy"/>
    <x v="1"/>
    <n v="47"/>
    <x v="1"/>
    <x v="0"/>
    <x v="1"/>
    <n v="79100"/>
    <s v="17-12-2018"/>
    <x v="2"/>
    <n v="9"/>
    <n v="2"/>
    <s v="No"/>
    <x v="0"/>
    <s v="rahul.reddy1693@company.com"/>
    <s v="Valid"/>
    <n v="9276205920"/>
    <s v="Valid"/>
    <x v="0"/>
  </r>
  <r>
    <x v="691"/>
    <s v="John"/>
    <s v="Patel"/>
    <x v="0"/>
    <n v="38"/>
    <x v="4"/>
    <x v="2"/>
    <x v="0"/>
    <n v="84162"/>
    <s v="14-01-2024"/>
    <x v="0"/>
    <n v="6"/>
    <n v="1"/>
    <s v="Yes"/>
    <x v="0"/>
    <s v="john.patel1694@company.com"/>
    <s v="Valid"/>
    <n v="9822400972"/>
    <s v="Valid"/>
    <x v="4"/>
  </r>
  <r>
    <x v="692"/>
    <s v="Rahul"/>
    <s v="Kumar"/>
    <x v="1"/>
    <n v="22"/>
    <x v="2"/>
    <x v="1"/>
    <x v="3"/>
    <n v="79012"/>
    <s v="26-08-2021"/>
    <x v="0"/>
    <n v="3"/>
    <n v="4"/>
    <s v="No"/>
    <x v="1"/>
    <s v="rahul.kumar1695@company.com"/>
    <s v="Valid"/>
    <n v="9425882806"/>
    <s v="Valid"/>
    <x v="3"/>
  </r>
  <r>
    <x v="693"/>
    <s v="Meena"/>
    <s v="Sharma"/>
    <x v="1"/>
    <n v="23"/>
    <x v="4"/>
    <x v="2"/>
    <x v="4"/>
    <s v="Missing"/>
    <s v="26-10-2020"/>
    <x v="2"/>
    <n v="0"/>
    <n v="2"/>
    <s v="No"/>
    <x v="1"/>
    <s v="meena.sharma1696@company.com"/>
    <s v="Valid"/>
    <n v="9241166196"/>
    <s v="Valid"/>
    <x v="3"/>
  </r>
  <r>
    <x v="694"/>
    <s v="Arun"/>
    <s v="Reddy"/>
    <x v="1"/>
    <n v="29"/>
    <x v="3"/>
    <x v="4"/>
    <x v="1"/>
    <n v="75432"/>
    <s v="22-06-2023"/>
    <x v="1"/>
    <n v="8"/>
    <n v="3"/>
    <s v="Yes"/>
    <x v="1"/>
    <s v="arun.reddy1697@company.com"/>
    <s v="Valid"/>
    <n v="9618002489"/>
    <s v="Valid"/>
    <x v="1"/>
  </r>
  <r>
    <x v="695"/>
    <s v="Kiran"/>
    <s v="Sharma"/>
    <x v="1"/>
    <n v="32"/>
    <x v="1"/>
    <x v="4"/>
    <x v="4"/>
    <n v="96073"/>
    <s v="04-10-2018"/>
    <x v="0"/>
    <n v="16"/>
    <n v="4"/>
    <s v="Yes"/>
    <x v="0"/>
    <s v="kiran.sharma1698@company.com"/>
    <s v="Valid"/>
    <n v="9879251552"/>
    <s v="Valid"/>
    <x v="5"/>
  </r>
  <r>
    <x v="696"/>
    <s v="Sneha"/>
    <s v="Kumar"/>
    <x v="1"/>
    <n v="31"/>
    <x v="2"/>
    <x v="1"/>
    <x v="3"/>
    <n v="117538"/>
    <s v="09-09-2023"/>
    <x v="2"/>
    <n v="25"/>
    <n v="4"/>
    <s v="No"/>
    <x v="0"/>
    <s v="sneha.kumar1699@company.com"/>
    <s v="Valid"/>
    <n v="9024647458"/>
    <s v="Valid"/>
    <x v="5"/>
  </r>
  <r>
    <x v="697"/>
    <s v="Meena"/>
    <s v="Sharma"/>
    <x v="0"/>
    <n v="54"/>
    <x v="0"/>
    <x v="1"/>
    <x v="2"/>
    <n v="32978"/>
    <s v="07-02-2024"/>
    <x v="2"/>
    <n v="5"/>
    <n v="3"/>
    <s v="No"/>
    <x v="0"/>
    <s v="meena.sharma1700@company.com"/>
    <s v="Valid"/>
    <n v="9453025094"/>
    <s v="Valid"/>
    <x v="2"/>
  </r>
  <r>
    <x v="698"/>
    <s v="Arun"/>
    <s v="Singh"/>
    <x v="0"/>
    <n v="31"/>
    <x v="0"/>
    <x v="3"/>
    <x v="3"/>
    <n v="104993"/>
    <s v="11-07-2019"/>
    <x v="0"/>
    <n v="8"/>
    <n v="5"/>
    <s v="Yes"/>
    <x v="0"/>
    <s v="Missing email"/>
    <s v="Invalid"/>
    <n v="9434330717"/>
    <s v="Valid"/>
    <x v="5"/>
  </r>
  <r>
    <x v="699"/>
    <s v="Anil"/>
    <s v="Sharma"/>
    <x v="0"/>
    <n v="43"/>
    <x v="3"/>
    <x v="3"/>
    <x v="4"/>
    <n v="64876"/>
    <s v="25-03-2021"/>
    <x v="2"/>
    <n v="8"/>
    <n v="5"/>
    <s v="Yes"/>
    <x v="1"/>
    <s v="anil.sharma1702@company.com"/>
    <s v="Valid"/>
    <n v="9777486488"/>
    <s v="Valid"/>
    <x v="0"/>
  </r>
  <r>
    <x v="700"/>
    <s v="Ravi"/>
    <s v="Patel"/>
    <x v="0"/>
    <n v="25"/>
    <x v="3"/>
    <x v="2"/>
    <x v="4"/>
    <n v="94768"/>
    <s v="31-07-2020"/>
    <x v="2"/>
    <n v="17"/>
    <n v="2"/>
    <s v="No"/>
    <x v="0"/>
    <s v="ravi.patel1703@company.com"/>
    <s v="Valid"/>
    <n v="9523805767"/>
    <s v="Valid"/>
    <x v="1"/>
  </r>
  <r>
    <x v="701"/>
    <s v="Meena"/>
    <s v="Sharma"/>
    <x v="1"/>
    <n v="34"/>
    <x v="4"/>
    <x v="1"/>
    <x v="1"/>
    <n v="114544"/>
    <s v="17-09-2021"/>
    <x v="0"/>
    <n v="7"/>
    <n v="4"/>
    <s v="Yes"/>
    <x v="1"/>
    <s v="meena.sharma1704@company.com"/>
    <s v="Valid"/>
    <n v="9380444917"/>
    <s v="Valid"/>
    <x v="5"/>
  </r>
  <r>
    <x v="702"/>
    <s v="John"/>
    <s v="Singh"/>
    <x v="1"/>
    <n v="37"/>
    <x v="0"/>
    <x v="3"/>
    <x v="3"/>
    <n v="50896"/>
    <s v="25-07-2023"/>
    <x v="3"/>
    <n v="19"/>
    <n v="5"/>
    <s v="No"/>
    <x v="1"/>
    <s v="john.singh1705@company.com"/>
    <s v="Valid"/>
    <n v="9936756932"/>
    <s v="Valid"/>
    <x v="4"/>
  </r>
  <r>
    <x v="703"/>
    <s v="Divya"/>
    <s v="Patel"/>
    <x v="0"/>
    <n v="44"/>
    <x v="1"/>
    <x v="3"/>
    <x v="0"/>
    <n v="41464"/>
    <s v="08-02-2024"/>
    <x v="1"/>
    <n v="1"/>
    <n v="2"/>
    <s v="No"/>
    <x v="0"/>
    <s v="divya.patel1706@company.com"/>
    <s v="Valid"/>
    <n v="9794560630"/>
    <s v="Valid"/>
    <x v="0"/>
  </r>
  <r>
    <x v="704"/>
    <s v="Kiran"/>
    <s v="Sharma"/>
    <x v="1"/>
    <n v="32"/>
    <x v="1"/>
    <x v="0"/>
    <x v="2"/>
    <n v="67652"/>
    <s v="11-01-2021"/>
    <x v="0"/>
    <n v="0"/>
    <n v="2"/>
    <s v="No"/>
    <x v="0"/>
    <s v="kiran.sharma1707@company.com"/>
    <s v="Valid"/>
    <n v="9161773625"/>
    <s v="Valid"/>
    <x v="5"/>
  </r>
  <r>
    <x v="705"/>
    <s v="Divya"/>
    <s v="Kumar"/>
    <x v="0"/>
    <n v="22"/>
    <x v="2"/>
    <x v="2"/>
    <x v="3"/>
    <n v="49089"/>
    <s v="19-10-2019"/>
    <x v="3"/>
    <n v="23"/>
    <n v="3"/>
    <s v="Yes"/>
    <x v="0"/>
    <s v="divya.kumar1708@company.com"/>
    <s v="Valid"/>
    <n v="9274053711"/>
    <s v="Valid"/>
    <x v="3"/>
  </r>
  <r>
    <x v="706"/>
    <s v="Sneha"/>
    <s v="Singh"/>
    <x v="0"/>
    <n v="56"/>
    <x v="2"/>
    <x v="3"/>
    <x v="0"/>
    <n v="106836"/>
    <s v="04-08-2019"/>
    <x v="0"/>
    <n v="12"/>
    <n v="5"/>
    <s v="No"/>
    <x v="0"/>
    <s v="sneha.singh1709@company.com"/>
    <s v="Valid"/>
    <n v="9680424235"/>
    <s v="Valid"/>
    <x v="2"/>
  </r>
  <r>
    <x v="707"/>
    <s v="Priya"/>
    <s v="Reddy"/>
    <x v="1"/>
    <n v="42"/>
    <x v="0"/>
    <x v="4"/>
    <x v="0"/>
    <n v="28416"/>
    <s v="15-01-2019"/>
    <x v="0"/>
    <n v="6"/>
    <n v="4"/>
    <s v="Yes"/>
    <x v="1"/>
    <s v="priya.reddy1710@company.com"/>
    <s v="Valid"/>
    <n v="9393119639"/>
    <s v="Valid"/>
    <x v="0"/>
  </r>
  <r>
    <x v="708"/>
    <s v="Sneha"/>
    <s v="Patel"/>
    <x v="1"/>
    <n v="22"/>
    <x v="3"/>
    <x v="2"/>
    <x v="3"/>
    <n v="116396"/>
    <s v="05-04-2018"/>
    <x v="4"/>
    <n v="19"/>
    <n v="2"/>
    <s v="Yes"/>
    <x v="0"/>
    <s v="sneha.patel1711@company.com"/>
    <s v="Valid"/>
    <n v="9909437611"/>
    <s v="Valid"/>
    <x v="3"/>
  </r>
  <r>
    <x v="709"/>
    <s v="Priya"/>
    <s v="Reddy"/>
    <x v="1"/>
    <n v="30"/>
    <x v="3"/>
    <x v="3"/>
    <x v="0"/>
    <n v="30755"/>
    <s v="08-09-2023"/>
    <x v="1"/>
    <n v="1"/>
    <n v="1"/>
    <s v="Yes"/>
    <x v="0"/>
    <s v="priya.reddy1712@company.com"/>
    <s v="Valid"/>
    <n v="9842527085"/>
    <s v="Valid"/>
    <x v="5"/>
  </r>
  <r>
    <x v="710"/>
    <s v="Priya"/>
    <s v="Reddy"/>
    <x v="0"/>
    <n v="31"/>
    <x v="3"/>
    <x v="2"/>
    <x v="2"/>
    <n v="118698"/>
    <s v="17-08-2019"/>
    <x v="2"/>
    <n v="22"/>
    <n v="5"/>
    <s v="Yes"/>
    <x v="0"/>
    <s v="priya.reddy1713@company.com"/>
    <s v="Valid"/>
    <n v="9614060891"/>
    <s v="Valid"/>
    <x v="5"/>
  </r>
  <r>
    <x v="711"/>
    <s v="Meena"/>
    <s v="Patel"/>
    <x v="0"/>
    <n v="58"/>
    <x v="0"/>
    <x v="3"/>
    <x v="2"/>
    <n v="44510"/>
    <s v="08-08-2018"/>
    <x v="4"/>
    <n v="0"/>
    <n v="2"/>
    <s v="Yes"/>
    <x v="0"/>
    <s v="meena.patel1714@company.com"/>
    <s v="Valid"/>
    <n v="99157160"/>
    <s v="Invalid"/>
    <x v="2"/>
  </r>
  <r>
    <x v="712"/>
    <s v="Meena"/>
    <s v="Sharma"/>
    <x v="1"/>
    <n v="26"/>
    <x v="3"/>
    <x v="3"/>
    <x v="4"/>
    <n v="77722"/>
    <s v="26-11-2023"/>
    <x v="0"/>
    <n v="20"/>
    <n v="5"/>
    <s v="Yes"/>
    <x v="1"/>
    <s v="meena.sharma1715@company.com"/>
    <s v="Valid"/>
    <n v="9046040579"/>
    <s v="Valid"/>
    <x v="1"/>
  </r>
  <r>
    <x v="713"/>
    <s v="Sneha"/>
    <s v="Reddy"/>
    <x v="0"/>
    <n v="29"/>
    <x v="4"/>
    <x v="4"/>
    <x v="1"/>
    <n v="75297"/>
    <s v="14-09-2022"/>
    <x v="3"/>
    <n v="6"/>
    <n v="5"/>
    <s v="No"/>
    <x v="1"/>
    <s v="sneha.reddy1716@company.com"/>
    <s v="Valid"/>
    <n v="9409148189"/>
    <s v="Valid"/>
    <x v="1"/>
  </r>
  <r>
    <x v="714"/>
    <s v="Meena"/>
    <s v="Kumar"/>
    <x v="0"/>
    <n v="32"/>
    <x v="0"/>
    <x v="0"/>
    <x v="0"/>
    <n v="73849"/>
    <s v="27-08-2021"/>
    <x v="2"/>
    <n v="16"/>
    <n v="4"/>
    <s v="No"/>
    <x v="0"/>
    <s v="meena.kumar1717@company.com"/>
    <s v="Valid"/>
    <n v="9954557888"/>
    <s v="Valid"/>
    <x v="5"/>
  </r>
  <r>
    <x v="715"/>
    <s v="Sneha"/>
    <s v="Reddy"/>
    <x v="1"/>
    <n v="47"/>
    <x v="3"/>
    <x v="2"/>
    <x v="0"/>
    <n v="72570"/>
    <s v="13-04-2023"/>
    <x v="0"/>
    <n v="3"/>
    <n v="5"/>
    <s v="Yes"/>
    <x v="0"/>
    <s v="sneha.reddy1718@company.com"/>
    <s v="Valid"/>
    <n v="9069590731"/>
    <s v="Valid"/>
    <x v="0"/>
  </r>
  <r>
    <x v="716"/>
    <s v="Sneha"/>
    <s v="Patel"/>
    <x v="1"/>
    <n v="53"/>
    <x v="4"/>
    <x v="2"/>
    <x v="1"/>
    <n v="38387"/>
    <s v="10-05-2023"/>
    <x v="0"/>
    <n v="12"/>
    <n v="4"/>
    <s v="Yes"/>
    <x v="1"/>
    <s v="sneha.patel1719@company.com"/>
    <s v="Valid"/>
    <n v="9700093501"/>
    <s v="Valid"/>
    <x v="2"/>
  </r>
  <r>
    <x v="717"/>
    <s v="John"/>
    <s v="Singh"/>
    <x v="1"/>
    <n v="37"/>
    <x v="1"/>
    <x v="4"/>
    <x v="4"/>
    <n v="113209"/>
    <s v="19-11-2018"/>
    <x v="1"/>
    <n v="18"/>
    <n v="4"/>
    <s v="No"/>
    <x v="0"/>
    <s v="john.singh1720@company.com"/>
    <s v="Valid"/>
    <n v="9120555610"/>
    <s v="Valid"/>
    <x v="4"/>
  </r>
  <r>
    <x v="718"/>
    <s v="Ravi"/>
    <s v="Singh"/>
    <x v="0"/>
    <n v="27"/>
    <x v="4"/>
    <x v="0"/>
    <x v="4"/>
    <n v="68677"/>
    <s v="20-10-2021"/>
    <x v="1"/>
    <n v="21"/>
    <n v="4"/>
    <s v="No"/>
    <x v="0"/>
    <s v="ravi.singh1721@company.com"/>
    <s v="Valid"/>
    <n v="9732007505"/>
    <s v="Valid"/>
    <x v="1"/>
  </r>
  <r>
    <x v="719"/>
    <s v="Meena"/>
    <s v="Sharma"/>
    <x v="1"/>
    <n v="52"/>
    <x v="2"/>
    <x v="4"/>
    <x v="4"/>
    <n v="36696"/>
    <s v="02-03-2019"/>
    <x v="3"/>
    <n v="12"/>
    <n v="1"/>
    <s v="No"/>
    <x v="0"/>
    <s v="meena.sharma1722@company.com"/>
    <s v="Valid"/>
    <n v="9140762041"/>
    <s v="Valid"/>
    <x v="2"/>
  </r>
  <r>
    <x v="720"/>
    <s v="Divya"/>
    <s v="Patel"/>
    <x v="1"/>
    <n v="40"/>
    <x v="3"/>
    <x v="3"/>
    <x v="4"/>
    <n v="58109"/>
    <s v="10-02-2018"/>
    <x v="4"/>
    <n v="19"/>
    <n v="5"/>
    <s v="Yes"/>
    <x v="0"/>
    <s v="divya.patel1723@company.com"/>
    <s v="Valid"/>
    <n v="9879194903"/>
    <s v="Valid"/>
    <x v="0"/>
  </r>
  <r>
    <x v="721"/>
    <s v="Meena"/>
    <s v="Sharma"/>
    <x v="0"/>
    <n v="55"/>
    <x v="3"/>
    <x v="2"/>
    <x v="4"/>
    <n v="117344"/>
    <s v="02-02-2020"/>
    <x v="4"/>
    <n v="6"/>
    <n v="4"/>
    <s v="Yes"/>
    <x v="0"/>
    <s v="meena.sharma1724@company.com"/>
    <s v="Valid"/>
    <n v="9179636671"/>
    <s v="Valid"/>
    <x v="2"/>
  </r>
  <r>
    <x v="722"/>
    <s v="Ravi"/>
    <s v="Sharma"/>
    <x v="1"/>
    <n v="41"/>
    <x v="4"/>
    <x v="4"/>
    <x v="4"/>
    <n v="86183"/>
    <s v="28-12-2019"/>
    <x v="2"/>
    <n v="21"/>
    <n v="4"/>
    <s v="Yes"/>
    <x v="0"/>
    <s v="ravi.sharma1725@company.com"/>
    <s v="Valid"/>
    <n v="9166800431"/>
    <s v="Valid"/>
    <x v="0"/>
  </r>
  <r>
    <x v="723"/>
    <s v="John"/>
    <s v="Patel"/>
    <x v="0"/>
    <n v="37"/>
    <x v="0"/>
    <x v="2"/>
    <x v="4"/>
    <n v="32858"/>
    <s v="08-11-2024"/>
    <x v="0"/>
    <n v="7"/>
    <n v="1"/>
    <s v="No"/>
    <x v="0"/>
    <s v="john.patel1726@company.com"/>
    <s v="Valid"/>
    <n v="9972586069"/>
    <s v="Valid"/>
    <x v="4"/>
  </r>
  <r>
    <x v="724"/>
    <s v="Arun"/>
    <s v="Kumar"/>
    <x v="0"/>
    <n v="29"/>
    <x v="0"/>
    <x v="2"/>
    <x v="1"/>
    <n v="62465"/>
    <s v="08-06-2020"/>
    <x v="0"/>
    <n v="4"/>
    <n v="3"/>
    <s v="Yes"/>
    <x v="1"/>
    <s v="arun.kumar1727@company.com"/>
    <s v="Valid"/>
    <n v="9128882764"/>
    <s v="Valid"/>
    <x v="1"/>
  </r>
  <r>
    <x v="725"/>
    <s v="Divya"/>
    <s v="Reddy"/>
    <x v="0"/>
    <n v="36"/>
    <x v="2"/>
    <x v="0"/>
    <x v="3"/>
    <n v="81677"/>
    <s v="21-11-2018"/>
    <x v="2"/>
    <n v="15"/>
    <n v="3"/>
    <s v="No"/>
    <x v="1"/>
    <s v="divya.reddy1728@company.com"/>
    <s v="Valid"/>
    <n v="9574485932"/>
    <s v="Valid"/>
    <x v="4"/>
  </r>
  <r>
    <x v="726"/>
    <s v="Rahul"/>
    <s v="Kumar"/>
    <x v="1"/>
    <n v="39"/>
    <x v="2"/>
    <x v="3"/>
    <x v="1"/>
    <n v="38076"/>
    <s v="31-07-2019"/>
    <x v="4"/>
    <n v="17"/>
    <n v="1"/>
    <s v="No"/>
    <x v="0"/>
    <s v="rahul.kumar1729@company.com"/>
    <s v="Valid"/>
    <n v="9975969814"/>
    <s v="Valid"/>
    <x v="4"/>
  </r>
  <r>
    <x v="727"/>
    <s v="Divya"/>
    <s v="Singh"/>
    <x v="1"/>
    <n v="57"/>
    <x v="3"/>
    <x v="1"/>
    <x v="1"/>
    <n v="71422"/>
    <s v="28-03-2019"/>
    <x v="3"/>
    <n v="6"/>
    <n v="3"/>
    <s v="Yes"/>
    <x v="1"/>
    <s v="divya.singh1730@company.com"/>
    <s v="Valid"/>
    <n v="9188117462"/>
    <s v="Valid"/>
    <x v="2"/>
  </r>
  <r>
    <x v="728"/>
    <s v="Ravi"/>
    <s v="Reddy"/>
    <x v="0"/>
    <n v="56"/>
    <x v="4"/>
    <x v="0"/>
    <x v="4"/>
    <n v="118417"/>
    <s v="31-03-2020"/>
    <x v="0"/>
    <n v="22"/>
    <n v="5"/>
    <s v="No"/>
    <x v="1"/>
    <s v="ravi.reddy1731@company.com"/>
    <s v="Valid"/>
    <n v="9572435352"/>
    <s v="Valid"/>
    <x v="2"/>
  </r>
  <r>
    <x v="729"/>
    <s v="Divya"/>
    <s v="Sharma"/>
    <x v="0"/>
    <n v="38"/>
    <x v="0"/>
    <x v="2"/>
    <x v="3"/>
    <n v="95953"/>
    <s v="30-01-2025"/>
    <x v="0"/>
    <n v="8"/>
    <n v="2"/>
    <s v="No"/>
    <x v="1"/>
    <s v="divya.sharma1732@company.com"/>
    <s v="Valid"/>
    <n v="9940541425"/>
    <s v="Valid"/>
    <x v="4"/>
  </r>
  <r>
    <x v="730"/>
    <s v="Anil"/>
    <s v="Patel"/>
    <x v="0"/>
    <n v="58"/>
    <x v="1"/>
    <x v="3"/>
    <x v="3"/>
    <n v="68389"/>
    <s v="04-02-2024"/>
    <x v="1"/>
    <n v="10"/>
    <n v="3"/>
    <s v="No"/>
    <x v="0"/>
    <s v="anil.patel1733@company.com"/>
    <s v="Valid"/>
    <n v="9479087301"/>
    <s v="Valid"/>
    <x v="2"/>
  </r>
  <r>
    <x v="731"/>
    <s v="Ravi"/>
    <s v="Singh"/>
    <x v="0"/>
    <n v="35"/>
    <x v="3"/>
    <x v="2"/>
    <x v="0"/>
    <n v="78652"/>
    <s v="01-12-2019"/>
    <x v="2"/>
    <n v="1"/>
    <n v="5"/>
    <s v="No"/>
    <x v="1"/>
    <s v="ravi.singh1734@company.com"/>
    <s v="Valid"/>
    <n v="9999234809"/>
    <s v="Valid"/>
    <x v="4"/>
  </r>
  <r>
    <x v="732"/>
    <s v="John"/>
    <s v="Singh"/>
    <x v="1"/>
    <n v="35"/>
    <x v="0"/>
    <x v="0"/>
    <x v="1"/>
    <n v="110625"/>
    <s v="09-10-2024"/>
    <x v="2"/>
    <n v="12"/>
    <n v="2"/>
    <s v="No"/>
    <x v="0"/>
    <s v="john.singh1735@company.com"/>
    <s v="Valid"/>
    <n v="9463542650"/>
    <s v="Valid"/>
    <x v="4"/>
  </r>
  <r>
    <x v="733"/>
    <s v="John"/>
    <s v="Singh"/>
    <x v="0"/>
    <n v="43"/>
    <x v="1"/>
    <x v="0"/>
    <x v="0"/>
    <n v="62471"/>
    <s v="16-04-2018"/>
    <x v="3"/>
    <n v="11"/>
    <n v="3"/>
    <s v="Yes"/>
    <x v="0"/>
    <s v="john.singh1736@company.com"/>
    <s v="Valid"/>
    <n v="9755228187"/>
    <s v="Valid"/>
    <x v="0"/>
  </r>
  <r>
    <x v="734"/>
    <s v="John"/>
    <s v="Reddy"/>
    <x v="0"/>
    <n v="54"/>
    <x v="1"/>
    <x v="2"/>
    <x v="2"/>
    <n v="80656"/>
    <s v="18-08-2021"/>
    <x v="0"/>
    <n v="18"/>
    <n v="3"/>
    <s v="Yes"/>
    <x v="1"/>
    <s v="john.reddy1737@company.com"/>
    <s v="Valid"/>
    <n v="9888655499"/>
    <s v="Valid"/>
    <x v="2"/>
  </r>
  <r>
    <x v="735"/>
    <s v="Arun"/>
    <s v="Patel"/>
    <x v="0"/>
    <n v="56"/>
    <x v="1"/>
    <x v="0"/>
    <x v="4"/>
    <n v="88837"/>
    <s v="12-06-2019"/>
    <x v="0"/>
    <n v="4"/>
    <n v="3"/>
    <s v="No"/>
    <x v="0"/>
    <s v="arun.patel1738@company.com"/>
    <s v="Valid"/>
    <n v="9342171171"/>
    <s v="Valid"/>
    <x v="2"/>
  </r>
  <r>
    <x v="736"/>
    <s v="Sneha"/>
    <s v="Singh"/>
    <x v="1"/>
    <n v="58"/>
    <x v="1"/>
    <x v="4"/>
    <x v="0"/>
    <n v="94519"/>
    <s v="12-05-2022"/>
    <x v="4"/>
    <n v="15"/>
    <n v="3"/>
    <s v="No"/>
    <x v="0"/>
    <s v="sneha.singh1739@company.com"/>
    <s v="Valid"/>
    <n v="9908557748"/>
    <s v="Valid"/>
    <x v="2"/>
  </r>
  <r>
    <x v="737"/>
    <s v="Rahul"/>
    <s v="Kumar"/>
    <x v="1"/>
    <n v="23"/>
    <x v="0"/>
    <x v="3"/>
    <x v="4"/>
    <n v="69844"/>
    <s v="19-03-2023"/>
    <x v="0"/>
    <n v="18"/>
    <n v="1"/>
    <s v="Yes"/>
    <x v="0"/>
    <s v="rahul.kumar1740company.com"/>
    <s v="Invalid"/>
    <n v="9255657994"/>
    <s v="Valid"/>
    <x v="3"/>
  </r>
  <r>
    <x v="738"/>
    <s v="Arun"/>
    <s v="Reddy"/>
    <x v="0"/>
    <n v="49"/>
    <x v="2"/>
    <x v="3"/>
    <x v="4"/>
    <n v="100154"/>
    <s v="09-11-2019"/>
    <x v="1"/>
    <n v="10"/>
    <n v="2"/>
    <s v="No"/>
    <x v="0"/>
    <s v="arun.reddy1741@company.com"/>
    <s v="Valid"/>
    <n v="9492776027"/>
    <s v="Valid"/>
    <x v="0"/>
  </r>
  <r>
    <x v="739"/>
    <s v="Divya"/>
    <s v="Sharma"/>
    <x v="1"/>
    <n v="50"/>
    <x v="1"/>
    <x v="2"/>
    <x v="2"/>
    <n v="89537"/>
    <s v="21-10-2020"/>
    <x v="0"/>
    <n v="6"/>
    <n v="5"/>
    <s v="No"/>
    <x v="0"/>
    <s v="Missing email"/>
    <s v="Invalid"/>
    <n v="9664736671"/>
    <s v="Valid"/>
    <x v="2"/>
  </r>
  <r>
    <x v="740"/>
    <s v="Ravi"/>
    <s v="Reddy"/>
    <x v="0"/>
    <n v="54"/>
    <x v="1"/>
    <x v="3"/>
    <x v="3"/>
    <n v="39204"/>
    <s v="12-10-2024"/>
    <x v="4"/>
    <n v="13"/>
    <n v="3"/>
    <s v="Yes"/>
    <x v="0"/>
    <s v="ravi.reddy1743@company.com"/>
    <s v="Valid"/>
    <n v="9666717797"/>
    <s v="Valid"/>
    <x v="2"/>
  </r>
  <r>
    <x v="741"/>
    <s v="Arun"/>
    <s v="Sharma"/>
    <x v="1"/>
    <n v="44"/>
    <x v="1"/>
    <x v="2"/>
    <x v="2"/>
    <s v="Missing"/>
    <s v="30-03-2022"/>
    <x v="4"/>
    <n v="19"/>
    <n v="5"/>
    <s v="No"/>
    <x v="1"/>
    <s v="arun.sharma1744@company.com"/>
    <s v="Valid"/>
    <n v="9847614442"/>
    <s v="Valid"/>
    <x v="0"/>
  </r>
  <r>
    <x v="742"/>
    <s v="Meena"/>
    <s v="Reddy"/>
    <x v="1"/>
    <n v="41"/>
    <x v="4"/>
    <x v="3"/>
    <x v="2"/>
    <n v="31641"/>
    <s v="26-08-2024"/>
    <x v="3"/>
    <n v="11"/>
    <n v="2"/>
    <s v="Yes"/>
    <x v="1"/>
    <s v="meena.reddy1745@company.com"/>
    <s v="Valid"/>
    <n v="9035617686"/>
    <s v="Valid"/>
    <x v="0"/>
  </r>
  <r>
    <x v="743"/>
    <s v="Rahul"/>
    <s v="Reddy"/>
    <x v="1"/>
    <n v="55"/>
    <x v="3"/>
    <x v="4"/>
    <x v="3"/>
    <n v="28054"/>
    <s v="24-04-2021"/>
    <x v="1"/>
    <n v="7"/>
    <n v="3"/>
    <s v="Yes"/>
    <x v="0"/>
    <s v="rahul.reddy1746@company.com"/>
    <s v="Valid"/>
    <n v="9397305760"/>
    <s v="Valid"/>
    <x v="2"/>
  </r>
  <r>
    <x v="744"/>
    <s v="Arun"/>
    <s v="Reddy"/>
    <x v="1"/>
    <n v="40"/>
    <x v="0"/>
    <x v="4"/>
    <x v="0"/>
    <n v="91377"/>
    <s v="09-08-2022"/>
    <x v="0"/>
    <n v="14"/>
    <n v="4"/>
    <s v="Yes"/>
    <x v="1"/>
    <s v="arun.reddy1747@company.com"/>
    <s v="Valid"/>
    <n v="9121929643"/>
    <s v="Valid"/>
    <x v="0"/>
  </r>
  <r>
    <x v="745"/>
    <s v="Meena"/>
    <s v="Sharma"/>
    <x v="0"/>
    <n v="26"/>
    <x v="3"/>
    <x v="3"/>
    <x v="1"/>
    <n v="25564"/>
    <s v="03-06-2022"/>
    <x v="3"/>
    <n v="21"/>
    <n v="5"/>
    <s v="No"/>
    <x v="1"/>
    <s v="meena.sharma1748@company.com"/>
    <s v="Valid"/>
    <n v="9092185430"/>
    <s v="Valid"/>
    <x v="1"/>
  </r>
  <r>
    <x v="746"/>
    <s v="Priya"/>
    <s v="Kumar"/>
    <x v="1"/>
    <n v="31"/>
    <x v="1"/>
    <x v="0"/>
    <x v="3"/>
    <n v="104979"/>
    <s v="30-10-2023"/>
    <x v="0"/>
    <n v="16"/>
    <n v="5"/>
    <s v="No"/>
    <x v="0"/>
    <s v="priya.kumar1749company.com"/>
    <s v="Invalid"/>
    <n v="9416094229"/>
    <s v="Valid"/>
    <x v="5"/>
  </r>
  <r>
    <x v="747"/>
    <s v="Priya"/>
    <s v="Reddy"/>
    <x v="0"/>
    <n v="40"/>
    <x v="0"/>
    <x v="1"/>
    <x v="4"/>
    <n v="77835"/>
    <s v="02-04-2022"/>
    <x v="1"/>
    <n v="4"/>
    <n v="1"/>
    <s v="No"/>
    <x v="1"/>
    <s v="priya.reddy1750@company.com"/>
    <s v="Valid"/>
    <n v="9795048940"/>
    <s v="Valid"/>
    <x v="0"/>
  </r>
  <r>
    <x v="748"/>
    <s v="John"/>
    <s v="Kumar"/>
    <x v="1"/>
    <n v="29"/>
    <x v="2"/>
    <x v="4"/>
    <x v="3"/>
    <n v="68482"/>
    <s v="25-04-2024"/>
    <x v="1"/>
    <n v="2"/>
    <n v="2"/>
    <s v="Yes"/>
    <x v="1"/>
    <s v="john.kumar1751company.com"/>
    <s v="Invalid"/>
    <n v="9784687935"/>
    <s v="Valid"/>
    <x v="1"/>
  </r>
  <r>
    <x v="749"/>
    <s v="Sneha"/>
    <s v="Sharma"/>
    <x v="0"/>
    <n v="32"/>
    <x v="2"/>
    <x v="3"/>
    <x v="2"/>
    <n v="101174"/>
    <s v="22-06-2021"/>
    <x v="4"/>
    <n v="9"/>
    <n v="5"/>
    <s v="Yes"/>
    <x v="0"/>
    <s v="sneha.sharma1752@company.com"/>
    <s v="Valid"/>
    <n v="9778297830"/>
    <s v="Valid"/>
    <x v="5"/>
  </r>
  <r>
    <x v="750"/>
    <s v="Priya"/>
    <s v="Reddy"/>
    <x v="0"/>
    <n v="25"/>
    <x v="2"/>
    <x v="4"/>
    <x v="1"/>
    <n v="115275"/>
    <s v="26-05-2019"/>
    <x v="1"/>
    <n v="9"/>
    <n v="3"/>
    <s v="Yes"/>
    <x v="0"/>
    <s v="priya.reddy1753@company.com"/>
    <s v="Valid"/>
    <n v="9806311666"/>
    <s v="Valid"/>
    <x v="1"/>
  </r>
  <r>
    <x v="751"/>
    <s v="Arun"/>
    <s v="Singh"/>
    <x v="1"/>
    <n v="29"/>
    <x v="4"/>
    <x v="3"/>
    <x v="1"/>
    <n v="82510"/>
    <s v="01-09-2018"/>
    <x v="2"/>
    <n v="21"/>
    <n v="2"/>
    <s v="Yes"/>
    <x v="0"/>
    <s v="arun.singh1754@company.com"/>
    <s v="Valid"/>
    <n v="9280797328"/>
    <s v="Valid"/>
    <x v="1"/>
  </r>
  <r>
    <x v="752"/>
    <s v="Meena"/>
    <s v="Kumar"/>
    <x v="1"/>
    <n v="38"/>
    <x v="3"/>
    <x v="0"/>
    <x v="0"/>
    <n v="46354"/>
    <s v="25-04-2021"/>
    <x v="4"/>
    <n v="24"/>
    <n v="3"/>
    <s v="Yes"/>
    <x v="1"/>
    <s v="meena.kumar1755@company.com"/>
    <s v="Valid"/>
    <n v="9139879142"/>
    <s v="Valid"/>
    <x v="4"/>
  </r>
  <r>
    <x v="753"/>
    <s v="John"/>
    <s v="Kumar"/>
    <x v="1"/>
    <n v="51"/>
    <x v="3"/>
    <x v="2"/>
    <x v="1"/>
    <n v="45595"/>
    <s v="23-11-2019"/>
    <x v="4"/>
    <n v="11"/>
    <n v="4"/>
    <s v="No"/>
    <x v="0"/>
    <s v="john.kumar1756company.com"/>
    <s v="Invalid"/>
    <n v="9111369599"/>
    <s v="Valid"/>
    <x v="2"/>
  </r>
  <r>
    <x v="754"/>
    <s v="Anil"/>
    <s v="Kumar"/>
    <x v="0"/>
    <n v="27"/>
    <x v="2"/>
    <x v="3"/>
    <x v="4"/>
    <n v="-82594"/>
    <s v="20-06-2021"/>
    <x v="2"/>
    <n v="12"/>
    <n v="2"/>
    <s v="No"/>
    <x v="0"/>
    <s v="anil.kumar1757@company.com"/>
    <s v="Valid"/>
    <n v="9822211936"/>
    <s v="Valid"/>
    <x v="1"/>
  </r>
  <r>
    <x v="755"/>
    <s v="Anil"/>
    <s v="Sharma"/>
    <x v="1"/>
    <n v="49"/>
    <x v="2"/>
    <x v="3"/>
    <x v="4"/>
    <n v="75582"/>
    <s v="02-08-2019"/>
    <x v="4"/>
    <n v="11"/>
    <n v="3"/>
    <s v="No"/>
    <x v="1"/>
    <s v="anil.sharma1758@company.com"/>
    <s v="Valid"/>
    <n v="9573438039"/>
    <s v="Valid"/>
    <x v="0"/>
  </r>
  <r>
    <x v="756"/>
    <s v="Anil"/>
    <s v="Sharma"/>
    <x v="0"/>
    <n v="53"/>
    <x v="0"/>
    <x v="2"/>
    <x v="3"/>
    <n v="55496"/>
    <s v="13-02-2022"/>
    <x v="2"/>
    <n v="12"/>
    <n v="2"/>
    <s v="No"/>
    <x v="0"/>
    <s v="anil.sharma1759company.com"/>
    <s v="Invalid"/>
    <n v="9346491214"/>
    <s v="Valid"/>
    <x v="2"/>
  </r>
  <r>
    <x v="757"/>
    <s v="Sneha"/>
    <s v="Kumar"/>
    <x v="0"/>
    <n v="31"/>
    <x v="3"/>
    <x v="4"/>
    <x v="3"/>
    <n v="49852"/>
    <s v="25-05-2021"/>
    <x v="3"/>
    <n v="9"/>
    <n v="1"/>
    <s v="No"/>
    <x v="1"/>
    <s v="sneha.kumar1760@company.com"/>
    <s v="Valid"/>
    <n v="9511496882"/>
    <s v="Valid"/>
    <x v="5"/>
  </r>
  <r>
    <x v="758"/>
    <s v="Priya"/>
    <s v="Singh"/>
    <x v="0"/>
    <n v="22"/>
    <x v="3"/>
    <x v="3"/>
    <x v="2"/>
    <n v="78985"/>
    <s v="26-02-2020"/>
    <x v="3"/>
    <n v="22"/>
    <n v="4"/>
    <s v="Yes"/>
    <x v="1"/>
    <s v="priya.singh1761@company.com"/>
    <s v="Valid"/>
    <n v="9616789431"/>
    <s v="Valid"/>
    <x v="3"/>
  </r>
  <r>
    <x v="759"/>
    <s v="Arun"/>
    <s v="Sharma"/>
    <x v="0"/>
    <n v="41"/>
    <x v="1"/>
    <x v="4"/>
    <x v="3"/>
    <n v="76209"/>
    <s v="17-07-2023"/>
    <x v="0"/>
    <n v="11"/>
    <n v="4"/>
    <s v="No"/>
    <x v="0"/>
    <s v="arun.sharma1762@company.com"/>
    <s v="Valid"/>
    <n v="98130824"/>
    <s v="Invalid"/>
    <x v="0"/>
  </r>
  <r>
    <x v="760"/>
    <s v="Rahul"/>
    <s v="Reddy"/>
    <x v="1"/>
    <n v="23"/>
    <x v="1"/>
    <x v="3"/>
    <x v="0"/>
    <n v="111817"/>
    <s v="19-06-2019"/>
    <x v="0"/>
    <n v="3"/>
    <n v="1"/>
    <s v="No"/>
    <x v="0"/>
    <s v="rahul.reddy1763@company.com"/>
    <s v="Valid"/>
    <n v="9398921692"/>
    <s v="Valid"/>
    <x v="3"/>
  </r>
  <r>
    <x v="761"/>
    <s v="Ravi"/>
    <s v="Patel"/>
    <x v="1"/>
    <n v="43"/>
    <x v="4"/>
    <x v="1"/>
    <x v="2"/>
    <n v="48553"/>
    <s v="30-08-2018"/>
    <x v="2"/>
    <n v="23"/>
    <n v="4"/>
    <s v="No"/>
    <x v="0"/>
    <s v="ravi.patel1764@company.com"/>
    <s v="Valid"/>
    <n v="9920778426"/>
    <s v="Valid"/>
    <x v="0"/>
  </r>
  <r>
    <x v="762"/>
    <s v="Priya"/>
    <s v="Kumar"/>
    <x v="0"/>
    <n v="57"/>
    <x v="3"/>
    <x v="0"/>
    <x v="0"/>
    <n v="115860"/>
    <s v="13-05-2023"/>
    <x v="2"/>
    <n v="4"/>
    <n v="2"/>
    <s v="Yes"/>
    <x v="1"/>
    <s v="priya.kumar1765@company.com"/>
    <s v="Valid"/>
    <n v="9867041321"/>
    <s v="Valid"/>
    <x v="2"/>
  </r>
  <r>
    <x v="763"/>
    <s v="Sneha"/>
    <s v="Sharma"/>
    <x v="1"/>
    <n v="28"/>
    <x v="2"/>
    <x v="1"/>
    <x v="2"/>
    <n v="98783"/>
    <s v="05-02-2024"/>
    <x v="4"/>
    <n v="10"/>
    <n v="4"/>
    <s v="Yes"/>
    <x v="1"/>
    <s v="sneha.sharma1766@company.com"/>
    <s v="Valid"/>
    <n v="9785390860"/>
    <s v="Valid"/>
    <x v="1"/>
  </r>
  <r>
    <x v="764"/>
    <s v="Meena"/>
    <s v="Reddy"/>
    <x v="0"/>
    <n v="52"/>
    <x v="1"/>
    <x v="1"/>
    <x v="0"/>
    <n v="46004"/>
    <s v="24-05-2022"/>
    <x v="4"/>
    <n v="9"/>
    <n v="1"/>
    <s v="No"/>
    <x v="0"/>
    <s v="meena.reddy1767@company.com"/>
    <s v="Valid"/>
    <n v="9932242068"/>
    <s v="Valid"/>
    <x v="2"/>
  </r>
  <r>
    <x v="765"/>
    <s v="John"/>
    <s v="Singh"/>
    <x v="0"/>
    <n v="31"/>
    <x v="0"/>
    <x v="1"/>
    <x v="1"/>
    <n v="93604"/>
    <s v="30-08-2024"/>
    <x v="4"/>
    <n v="15"/>
    <n v="4"/>
    <s v="No"/>
    <x v="1"/>
    <s v="john.singh1768@company.com"/>
    <s v="Valid"/>
    <n v="9769133052"/>
    <s v="Valid"/>
    <x v="5"/>
  </r>
  <r>
    <x v="766"/>
    <s v="Ravi"/>
    <s v="Reddy"/>
    <x v="0"/>
    <n v="34"/>
    <x v="3"/>
    <x v="4"/>
    <x v="4"/>
    <n v="106927"/>
    <s v="03-07-2019"/>
    <x v="1"/>
    <n v="15"/>
    <n v="3"/>
    <s v="No"/>
    <x v="0"/>
    <s v="ravi.reddy1769@company.com"/>
    <s v="Valid"/>
    <n v="9203039404"/>
    <s v="Valid"/>
    <x v="5"/>
  </r>
  <r>
    <x v="767"/>
    <s v="John"/>
    <s v="Patel"/>
    <x v="0"/>
    <n v="41"/>
    <x v="2"/>
    <x v="2"/>
    <x v="1"/>
    <n v="56717"/>
    <s v="06-04-2019"/>
    <x v="4"/>
    <n v="6"/>
    <n v="3"/>
    <s v="Yes"/>
    <x v="1"/>
    <s v="john.patel1770@company.com"/>
    <s v="Valid"/>
    <n v="9893207822"/>
    <s v="Valid"/>
    <x v="0"/>
  </r>
  <r>
    <x v="768"/>
    <s v="Sneha"/>
    <s v="Kumar"/>
    <x v="1"/>
    <n v="66"/>
    <x v="3"/>
    <x v="2"/>
    <x v="1"/>
    <n v="48472"/>
    <s v="29-01-2023"/>
    <x v="3"/>
    <n v="11"/>
    <n v="3"/>
    <s v="Yes"/>
    <x v="1"/>
    <s v="Missing email"/>
    <s v="Invalid"/>
    <n v="9081039122"/>
    <s v="Valid"/>
    <x v="2"/>
  </r>
  <r>
    <x v="769"/>
    <s v="Ravi"/>
    <s v="Singh"/>
    <x v="1"/>
    <n v="26"/>
    <x v="3"/>
    <x v="4"/>
    <x v="2"/>
    <n v="118280"/>
    <s v="17-03-2020"/>
    <x v="1"/>
    <n v="11"/>
    <n v="1"/>
    <s v="Yes"/>
    <x v="1"/>
    <s v="ravi.singh1772@company.com"/>
    <s v="Valid"/>
    <n v="9017478412"/>
    <s v="Valid"/>
    <x v="1"/>
  </r>
  <r>
    <x v="770"/>
    <s v="Rahul"/>
    <s v="Singh"/>
    <x v="0"/>
    <n v="53"/>
    <x v="4"/>
    <x v="2"/>
    <x v="2"/>
    <n v="57988"/>
    <s v="03-06-2024"/>
    <x v="2"/>
    <n v="13"/>
    <n v="4"/>
    <s v="Yes"/>
    <x v="1"/>
    <s v="rahul.singh1773@company.com"/>
    <s v="Valid"/>
    <n v="9090473164"/>
    <s v="Valid"/>
    <x v="2"/>
  </r>
  <r>
    <x v="771"/>
    <s v="Kiran"/>
    <s v="Patel"/>
    <x v="0"/>
    <n v="51"/>
    <x v="3"/>
    <x v="2"/>
    <x v="2"/>
    <n v="96842"/>
    <s v="19-04-2019"/>
    <x v="3"/>
    <n v="4"/>
    <n v="3"/>
    <s v="Yes"/>
    <x v="1"/>
    <s v="kiran.patel1774@company.com"/>
    <s v="Valid"/>
    <n v="9537081448"/>
    <s v="Valid"/>
    <x v="2"/>
  </r>
  <r>
    <x v="772"/>
    <s v="Kiran"/>
    <s v="Patel"/>
    <x v="1"/>
    <n v="55"/>
    <x v="2"/>
    <x v="1"/>
    <x v="4"/>
    <n v="41943"/>
    <s v="29-02-2024"/>
    <x v="2"/>
    <n v="13"/>
    <n v="5"/>
    <s v="Yes"/>
    <x v="1"/>
    <s v="kiran.patel1775@company.com"/>
    <s v="Valid"/>
    <n v="9010923911"/>
    <s v="Valid"/>
    <x v="2"/>
  </r>
  <r>
    <x v="773"/>
    <s v="Ravi"/>
    <s v="Patel"/>
    <x v="1"/>
    <n v="23"/>
    <x v="4"/>
    <x v="0"/>
    <x v="0"/>
    <n v="33066"/>
    <s v="29-06-2021"/>
    <x v="1"/>
    <n v="23"/>
    <n v="3"/>
    <s v="Yes"/>
    <x v="0"/>
    <s v="ravi.patel1776@company.com"/>
    <s v="Valid"/>
    <n v="9832907725"/>
    <s v="Valid"/>
    <x v="3"/>
  </r>
  <r>
    <x v="774"/>
    <s v="Divya"/>
    <s v="Kumar"/>
    <x v="1"/>
    <n v="49"/>
    <x v="4"/>
    <x v="0"/>
    <x v="2"/>
    <n v="56535"/>
    <s v="25-11-2020"/>
    <x v="1"/>
    <n v="13"/>
    <n v="1"/>
    <s v="No"/>
    <x v="0"/>
    <s v="divya.kumar1777@company.com"/>
    <s v="Valid"/>
    <n v="9111613666"/>
    <s v="Valid"/>
    <x v="0"/>
  </r>
  <r>
    <x v="775"/>
    <s v="Ravi"/>
    <s v="Kumar"/>
    <x v="1"/>
    <n v="28"/>
    <x v="4"/>
    <x v="2"/>
    <x v="2"/>
    <n v="104930"/>
    <s v="06-10-2024"/>
    <x v="4"/>
    <n v="23"/>
    <n v="4"/>
    <s v="No"/>
    <x v="0"/>
    <s v="ravi.kumar1778@company.com"/>
    <s v="Valid"/>
    <n v="9818697104"/>
    <s v="Valid"/>
    <x v="1"/>
  </r>
  <r>
    <x v="776"/>
    <s v="Sneha"/>
    <s v="Singh"/>
    <x v="1"/>
    <n v="35"/>
    <x v="4"/>
    <x v="3"/>
    <x v="0"/>
    <n v="26588"/>
    <s v="09-01-2025"/>
    <x v="2"/>
    <n v="17"/>
    <n v="5"/>
    <s v="No"/>
    <x v="0"/>
    <s v="sneha.singh1779@company.com"/>
    <s v="Valid"/>
    <n v="9903897429"/>
    <s v="Valid"/>
    <x v="4"/>
  </r>
  <r>
    <x v="777"/>
    <s v="Meena"/>
    <s v="Singh"/>
    <x v="1"/>
    <n v="34"/>
    <x v="3"/>
    <x v="0"/>
    <x v="4"/>
    <n v="32626"/>
    <s v="01-03-2022"/>
    <x v="0"/>
    <n v="20"/>
    <n v="2"/>
    <s v="No"/>
    <x v="1"/>
    <s v="Missing email"/>
    <s v="Invalid"/>
    <n v="94188120"/>
    <s v="Invalid"/>
    <x v="5"/>
  </r>
  <r>
    <x v="778"/>
    <s v="Rahul"/>
    <s v="Reddy"/>
    <x v="1"/>
    <n v="33"/>
    <x v="4"/>
    <x v="1"/>
    <x v="4"/>
    <n v="25323"/>
    <s v="15-08-2020"/>
    <x v="4"/>
    <n v="24"/>
    <n v="5"/>
    <s v="Yes"/>
    <x v="1"/>
    <s v="rahul.reddy1781@company.com"/>
    <s v="Valid"/>
    <n v="9510055045"/>
    <s v="Valid"/>
    <x v="5"/>
  </r>
  <r>
    <x v="779"/>
    <s v="Rahul"/>
    <s v="Singh"/>
    <x v="0"/>
    <n v="55"/>
    <x v="1"/>
    <x v="4"/>
    <x v="2"/>
    <n v="64846"/>
    <s v="26-06-2018"/>
    <x v="2"/>
    <n v="19"/>
    <n v="5"/>
    <s v="Yes"/>
    <x v="1"/>
    <s v="rahul.singh1782@company.com"/>
    <s v="Valid"/>
    <n v="9258403515"/>
    <s v="Valid"/>
    <x v="2"/>
  </r>
  <r>
    <x v="780"/>
    <s v="John"/>
    <s v="Patel"/>
    <x v="1"/>
    <n v="32"/>
    <x v="2"/>
    <x v="1"/>
    <x v="2"/>
    <n v="76937"/>
    <s v="04-02-2019"/>
    <x v="2"/>
    <n v="12"/>
    <n v="5"/>
    <s v="Yes"/>
    <x v="1"/>
    <s v="john.patel1783@company.com"/>
    <s v="Valid"/>
    <n v="9188501111"/>
    <s v="Valid"/>
    <x v="5"/>
  </r>
  <r>
    <x v="781"/>
    <s v="Sneha"/>
    <s v="Kumar"/>
    <x v="0"/>
    <n v="43"/>
    <x v="3"/>
    <x v="2"/>
    <x v="3"/>
    <s v="Missing"/>
    <s v="19-12-2022"/>
    <x v="2"/>
    <n v="15"/>
    <n v="1"/>
    <s v="No"/>
    <x v="1"/>
    <s v="sneha.kumar1784@company.com"/>
    <s v="Valid"/>
    <n v="9537601507"/>
    <s v="Valid"/>
    <x v="0"/>
  </r>
  <r>
    <x v="782"/>
    <s v="Priya"/>
    <s v="Singh"/>
    <x v="0"/>
    <n v="49"/>
    <x v="4"/>
    <x v="0"/>
    <x v="2"/>
    <n v="92939"/>
    <s v="07-05-2022"/>
    <x v="3"/>
    <n v="10"/>
    <n v="2"/>
    <s v="Yes"/>
    <x v="1"/>
    <s v="priya.singh1785@company.com"/>
    <s v="Valid"/>
    <n v="9066128754"/>
    <s v="Valid"/>
    <x v="0"/>
  </r>
  <r>
    <x v="783"/>
    <s v="Kiran"/>
    <s v="Patel"/>
    <x v="1"/>
    <n v="44"/>
    <x v="0"/>
    <x v="1"/>
    <x v="3"/>
    <n v="52144"/>
    <s v="09-09-2023"/>
    <x v="0"/>
    <n v="16"/>
    <n v="1"/>
    <s v="No"/>
    <x v="1"/>
    <s v="kiran.patel1786@company.com"/>
    <s v="Valid"/>
    <n v="9825168921"/>
    <s v="Valid"/>
    <x v="0"/>
  </r>
  <r>
    <x v="784"/>
    <s v="Priya"/>
    <s v="Reddy"/>
    <x v="1"/>
    <n v="36"/>
    <x v="4"/>
    <x v="0"/>
    <x v="4"/>
    <n v="101598"/>
    <s v="06-03-2021"/>
    <x v="3"/>
    <n v="21"/>
    <n v="2"/>
    <s v="Yes"/>
    <x v="1"/>
    <s v="Missing email"/>
    <s v="Invalid"/>
    <n v="9710003867"/>
    <s v="Valid"/>
    <x v="4"/>
  </r>
  <r>
    <x v="785"/>
    <s v="Rahul"/>
    <s v="Patel"/>
    <x v="0"/>
    <n v="36"/>
    <x v="3"/>
    <x v="2"/>
    <x v="0"/>
    <n v="31997"/>
    <s v="20-09-2021"/>
    <x v="4"/>
    <n v="24"/>
    <n v="5"/>
    <s v="Yes"/>
    <x v="0"/>
    <s v="rahul.patel1788@company.com"/>
    <s v="Valid"/>
    <n v="9633712405"/>
    <s v="Valid"/>
    <x v="4"/>
  </r>
  <r>
    <x v="786"/>
    <s v="Arun"/>
    <s v="Kumar"/>
    <x v="0"/>
    <n v="38"/>
    <x v="3"/>
    <x v="1"/>
    <x v="1"/>
    <n v="52398"/>
    <s v="24-01-2022"/>
    <x v="3"/>
    <n v="20"/>
    <n v="3"/>
    <s v="Yes"/>
    <x v="1"/>
    <s v="arun.kumar1789@company.com"/>
    <s v="Valid"/>
    <n v="9252016592"/>
    <s v="Valid"/>
    <x v="4"/>
  </r>
  <r>
    <x v="787"/>
    <s v="Priya"/>
    <s v="Sharma"/>
    <x v="1"/>
    <n v="40"/>
    <x v="0"/>
    <x v="3"/>
    <x v="1"/>
    <n v="107965"/>
    <s v="18-01-2022"/>
    <x v="3"/>
    <n v="16"/>
    <n v="4"/>
    <s v="Yes"/>
    <x v="0"/>
    <s v="priya.sharma1790@company.com"/>
    <s v="Valid"/>
    <n v="9445377139"/>
    <s v="Valid"/>
    <x v="0"/>
  </r>
  <r>
    <x v="788"/>
    <s v="Kiran"/>
    <s v="Reddy"/>
    <x v="0"/>
    <n v="55"/>
    <x v="2"/>
    <x v="3"/>
    <x v="1"/>
    <n v="95049"/>
    <s v="01-03-2018"/>
    <x v="3"/>
    <n v="9"/>
    <n v="4"/>
    <s v="No"/>
    <x v="0"/>
    <s v="kiran.reddy1791@company.com"/>
    <s v="Valid"/>
    <n v="9130561277"/>
    <s v="Valid"/>
    <x v="2"/>
  </r>
  <r>
    <x v="789"/>
    <s v="Anil"/>
    <s v="Sharma"/>
    <x v="0"/>
    <n v="46"/>
    <x v="4"/>
    <x v="2"/>
    <x v="2"/>
    <n v="78255"/>
    <s v="24-06-2019"/>
    <x v="2"/>
    <n v="19"/>
    <n v="5"/>
    <s v="Yes"/>
    <x v="0"/>
    <s v="anil.sharma1792@company.com"/>
    <s v="Valid"/>
    <n v="9046737752"/>
    <s v="Valid"/>
    <x v="0"/>
  </r>
  <r>
    <x v="790"/>
    <s v="Meena"/>
    <s v="Reddy"/>
    <x v="0"/>
    <n v="43"/>
    <x v="1"/>
    <x v="3"/>
    <x v="3"/>
    <n v="87077"/>
    <s v="09-01-2018"/>
    <x v="4"/>
    <n v="5"/>
    <n v="3"/>
    <s v="Yes"/>
    <x v="0"/>
    <s v="meena.reddy1793company.com"/>
    <s v="Invalid"/>
    <n v="9093003898"/>
    <s v="Valid"/>
    <x v="0"/>
  </r>
  <r>
    <x v="791"/>
    <s v="Arun"/>
    <s v="Sharma"/>
    <x v="0"/>
    <n v="47"/>
    <x v="2"/>
    <x v="3"/>
    <x v="2"/>
    <n v="32197"/>
    <s v="17-07-2024"/>
    <x v="0"/>
    <n v="1"/>
    <n v="1"/>
    <s v="No"/>
    <x v="0"/>
    <s v="arun.sharma1794@company.com"/>
    <s v="Valid"/>
    <n v="91100429"/>
    <s v="Invalid"/>
    <x v="0"/>
  </r>
  <r>
    <x v="792"/>
    <s v="Kiran"/>
    <s v="Sharma"/>
    <x v="0"/>
    <n v="29"/>
    <x v="0"/>
    <x v="1"/>
    <x v="3"/>
    <n v="66068"/>
    <s v="24-08-2020"/>
    <x v="1"/>
    <n v="13"/>
    <n v="2"/>
    <s v="Yes"/>
    <x v="0"/>
    <s v="Missing email"/>
    <s v="Invalid"/>
    <n v="9809215533"/>
    <s v="Valid"/>
    <x v="1"/>
  </r>
  <r>
    <x v="793"/>
    <s v="Anil"/>
    <s v="Singh"/>
    <x v="1"/>
    <n v="36"/>
    <x v="3"/>
    <x v="3"/>
    <x v="0"/>
    <n v="92449"/>
    <s v="22-03-2022"/>
    <x v="2"/>
    <n v="19"/>
    <n v="5"/>
    <s v="Yes"/>
    <x v="0"/>
    <s v="anil.singh1796@company.com"/>
    <s v="Valid"/>
    <n v="9081462606"/>
    <s v="Valid"/>
    <x v="4"/>
  </r>
  <r>
    <x v="794"/>
    <s v="Divya"/>
    <s v="Patel"/>
    <x v="1"/>
    <n v="40"/>
    <x v="1"/>
    <x v="2"/>
    <x v="3"/>
    <n v="98298"/>
    <s v="30-03-2018"/>
    <x v="3"/>
    <n v="18"/>
    <n v="5"/>
    <s v="Yes"/>
    <x v="0"/>
    <s v="divya.patel1797@company.com"/>
    <s v="Valid"/>
    <n v="94567708"/>
    <s v="Invalid"/>
    <x v="0"/>
  </r>
  <r>
    <x v="795"/>
    <s v="Meena"/>
    <s v="Sharma"/>
    <x v="0"/>
    <n v="50"/>
    <x v="4"/>
    <x v="0"/>
    <x v="4"/>
    <n v="97291"/>
    <s v="11-02-2025"/>
    <x v="0"/>
    <n v="23"/>
    <n v="2"/>
    <s v="No"/>
    <x v="1"/>
    <s v="meena.sharma1798@company.com"/>
    <s v="Valid"/>
    <n v="9101373646"/>
    <s v="Valid"/>
    <x v="2"/>
  </r>
  <r>
    <x v="796"/>
    <s v="Anil"/>
    <s v="Kumar"/>
    <x v="1"/>
    <n v="43"/>
    <x v="1"/>
    <x v="3"/>
    <x v="2"/>
    <n v="70136"/>
    <s v="09-11-2020"/>
    <x v="4"/>
    <n v="23"/>
    <n v="5"/>
    <s v="Yes"/>
    <x v="1"/>
    <s v="anil.kumar1799@company.com"/>
    <s v="Valid"/>
    <n v="9886592504"/>
    <s v="Valid"/>
    <x v="0"/>
  </r>
  <r>
    <x v="797"/>
    <s v="Rahul"/>
    <s v="Singh"/>
    <x v="0"/>
    <n v="32"/>
    <x v="3"/>
    <x v="3"/>
    <x v="2"/>
    <n v="42341"/>
    <s v="06-02-2018"/>
    <x v="3"/>
    <n v="17"/>
    <n v="4"/>
    <s v="No"/>
    <x v="0"/>
    <s v="rahul.singh1800@company.com"/>
    <s v="Valid"/>
    <n v="9408002353"/>
    <s v="Valid"/>
    <x v="5"/>
  </r>
  <r>
    <x v="798"/>
    <s v="Sneha"/>
    <s v="Singh"/>
    <x v="1"/>
    <n v="50"/>
    <x v="4"/>
    <x v="2"/>
    <x v="1"/>
    <n v="114680"/>
    <s v="16-10-2021"/>
    <x v="4"/>
    <n v="11"/>
    <n v="5"/>
    <s v="No"/>
    <x v="1"/>
    <s v="sneha.singh1801@company.com"/>
    <s v="Valid"/>
    <n v="9427046534"/>
    <s v="Valid"/>
    <x v="2"/>
  </r>
  <r>
    <x v="799"/>
    <s v="Priya"/>
    <s v="Sharma"/>
    <x v="1"/>
    <n v="28"/>
    <x v="1"/>
    <x v="0"/>
    <x v="3"/>
    <n v="98172"/>
    <s v="18-01-2020"/>
    <x v="1"/>
    <n v="25"/>
    <n v="4"/>
    <s v="Yes"/>
    <x v="1"/>
    <s v="priya.sharma1802@company.com"/>
    <s v="Valid"/>
    <n v="9277113065"/>
    <s v="Valid"/>
    <x v="1"/>
  </r>
  <r>
    <x v="800"/>
    <s v="John"/>
    <s v="Sharma"/>
    <x v="1"/>
    <n v="32"/>
    <x v="3"/>
    <x v="4"/>
    <x v="0"/>
    <n v="107795"/>
    <s v="09-01-2018"/>
    <x v="0"/>
    <n v="17"/>
    <n v="4"/>
    <s v="Yes"/>
    <x v="0"/>
    <s v="john.sharma1803@company.com"/>
    <s v="Valid"/>
    <n v="9073418262"/>
    <s v="Valid"/>
    <x v="5"/>
  </r>
  <r>
    <x v="801"/>
    <s v="Divya"/>
    <s v="Kumar"/>
    <x v="0"/>
    <n v="45"/>
    <x v="2"/>
    <x v="2"/>
    <x v="2"/>
    <s v="Missing"/>
    <s v="03-02-2023"/>
    <x v="0"/>
    <n v="0"/>
    <n v="2"/>
    <s v="No"/>
    <x v="0"/>
    <s v="divya.kumar1804@company.com"/>
    <s v="Valid"/>
    <n v="9416484757"/>
    <s v="Valid"/>
    <x v="0"/>
  </r>
  <r>
    <x v="802"/>
    <s v="Priya"/>
    <s v="Patel"/>
    <x v="1"/>
    <n v="23"/>
    <x v="3"/>
    <x v="4"/>
    <x v="0"/>
    <n v="118993"/>
    <s v="30-09-2020"/>
    <x v="2"/>
    <n v="6"/>
    <n v="2"/>
    <s v="Yes"/>
    <x v="0"/>
    <s v="priya.patel1805@company.com"/>
    <s v="Valid"/>
    <n v="9461516335"/>
    <s v="Valid"/>
    <x v="3"/>
  </r>
  <r>
    <x v="803"/>
    <s v="Anil"/>
    <s v="Singh"/>
    <x v="1"/>
    <n v="58"/>
    <x v="1"/>
    <x v="4"/>
    <x v="0"/>
    <n v="51229"/>
    <s v="30-01-2025"/>
    <x v="4"/>
    <n v="15"/>
    <n v="1"/>
    <s v="Yes"/>
    <x v="0"/>
    <s v="anil.singh1806@company.com"/>
    <s v="Valid"/>
    <n v="9868624370"/>
    <s v="Valid"/>
    <x v="2"/>
  </r>
  <r>
    <x v="804"/>
    <s v="Sneha"/>
    <s v="Reddy"/>
    <x v="1"/>
    <n v="57"/>
    <x v="3"/>
    <x v="3"/>
    <x v="0"/>
    <n v="60506"/>
    <s v="24-02-2019"/>
    <x v="0"/>
    <n v="17"/>
    <n v="4"/>
    <s v="No"/>
    <x v="1"/>
    <s v="sneha.reddy1807@company.com"/>
    <s v="Valid"/>
    <n v="9899068205"/>
    <s v="Valid"/>
    <x v="2"/>
  </r>
  <r>
    <x v="805"/>
    <s v="Ravi"/>
    <s v="Reddy"/>
    <x v="0"/>
    <n v="25"/>
    <x v="4"/>
    <x v="3"/>
    <x v="3"/>
    <n v="116685"/>
    <s v="29-01-2018"/>
    <x v="4"/>
    <n v="2"/>
    <n v="5"/>
    <s v="Yes"/>
    <x v="0"/>
    <s v="ravi.reddy1808@company.com"/>
    <s v="Valid"/>
    <n v="9645334428"/>
    <s v="Valid"/>
    <x v="1"/>
  </r>
  <r>
    <x v="806"/>
    <s v="Ravi"/>
    <s v="Patel"/>
    <x v="0"/>
    <n v="25"/>
    <x v="2"/>
    <x v="2"/>
    <x v="4"/>
    <n v="57650"/>
    <s v="30-05-2022"/>
    <x v="1"/>
    <n v="18"/>
    <n v="2"/>
    <s v="Yes"/>
    <x v="1"/>
    <s v="ravi.patel1809@company.com"/>
    <s v="Valid"/>
    <n v="9261345159"/>
    <s v="Valid"/>
    <x v="1"/>
  </r>
  <r>
    <x v="807"/>
    <s v="Divya"/>
    <s v="Kumar"/>
    <x v="1"/>
    <n v="38"/>
    <x v="3"/>
    <x v="3"/>
    <x v="4"/>
    <n v="77882"/>
    <s v="07-03-2019"/>
    <x v="0"/>
    <n v="17"/>
    <n v="3"/>
    <s v="No"/>
    <x v="1"/>
    <s v="divya.kumar1810@company.com"/>
    <s v="Valid"/>
    <n v="9396412842"/>
    <s v="Valid"/>
    <x v="4"/>
  </r>
  <r>
    <x v="808"/>
    <s v="Arun"/>
    <s v="Reddy"/>
    <x v="1"/>
    <n v="34"/>
    <x v="4"/>
    <x v="3"/>
    <x v="1"/>
    <n v="41433"/>
    <s v="20-06-2024"/>
    <x v="4"/>
    <n v="24"/>
    <n v="2"/>
    <s v="Yes"/>
    <x v="0"/>
    <s v="arun.reddy1811@company.com"/>
    <s v="Valid"/>
    <n v="9446208923"/>
    <s v="Valid"/>
    <x v="5"/>
  </r>
  <r>
    <x v="809"/>
    <s v="Meena"/>
    <s v="Kumar"/>
    <x v="1"/>
    <n v="55"/>
    <x v="1"/>
    <x v="4"/>
    <x v="0"/>
    <n v="48891"/>
    <s v="10-03-2018"/>
    <x v="3"/>
    <n v="17"/>
    <n v="1"/>
    <s v="No"/>
    <x v="1"/>
    <s v="Missing email"/>
    <s v="Invalid"/>
    <n v="9186207820"/>
    <s v="Valid"/>
    <x v="2"/>
  </r>
  <r>
    <x v="810"/>
    <s v="Priya"/>
    <s v="Reddy"/>
    <x v="0"/>
    <n v="54"/>
    <x v="2"/>
    <x v="0"/>
    <x v="4"/>
    <n v="104014"/>
    <s v="09-04-2018"/>
    <x v="0"/>
    <n v="16"/>
    <n v="5"/>
    <s v="No"/>
    <x v="0"/>
    <s v="priya.reddy1813@company.com"/>
    <s v="Valid"/>
    <n v="9785289870"/>
    <s v="Valid"/>
    <x v="2"/>
  </r>
  <r>
    <x v="811"/>
    <s v="Kiran"/>
    <s v="Patel"/>
    <x v="0"/>
    <n v="45"/>
    <x v="3"/>
    <x v="4"/>
    <x v="0"/>
    <n v="66876"/>
    <s v="16-02-2022"/>
    <x v="0"/>
    <n v="23"/>
    <n v="4"/>
    <s v="Yes"/>
    <x v="1"/>
    <s v="kiran.patel1814company.com"/>
    <s v="Invalid"/>
    <n v="9261020959"/>
    <s v="Valid"/>
    <x v="0"/>
  </r>
  <r>
    <x v="812"/>
    <s v="John"/>
    <s v="Reddy"/>
    <x v="0"/>
    <n v="30"/>
    <x v="2"/>
    <x v="1"/>
    <x v="0"/>
    <n v="112584"/>
    <s v="19-01-2021"/>
    <x v="3"/>
    <n v="7"/>
    <n v="2"/>
    <s v="No"/>
    <x v="1"/>
    <s v="john.reddy1815@company.com"/>
    <s v="Valid"/>
    <n v="9973119299"/>
    <s v="Valid"/>
    <x v="5"/>
  </r>
  <r>
    <x v="813"/>
    <s v="Anil"/>
    <s v="Patel"/>
    <x v="0"/>
    <n v="34"/>
    <x v="4"/>
    <x v="0"/>
    <x v="3"/>
    <n v="104574"/>
    <s v="01-08-2018"/>
    <x v="0"/>
    <n v="6"/>
    <n v="3"/>
    <s v="Yes"/>
    <x v="1"/>
    <s v="anil.patel1816@company.com"/>
    <s v="Valid"/>
    <n v="9586104557"/>
    <s v="Valid"/>
    <x v="5"/>
  </r>
  <r>
    <x v="814"/>
    <s v="Anil"/>
    <s v="Sharma"/>
    <x v="0"/>
    <n v="32"/>
    <x v="0"/>
    <x v="0"/>
    <x v="1"/>
    <n v="34808"/>
    <s v="28-10-2022"/>
    <x v="3"/>
    <n v="7"/>
    <n v="3"/>
    <s v="Yes"/>
    <x v="1"/>
    <s v="anil.sharma1817@company.com"/>
    <s v="Valid"/>
    <n v="9751962682"/>
    <s v="Valid"/>
    <x v="5"/>
  </r>
  <r>
    <x v="815"/>
    <s v="Meena"/>
    <s v="Reddy"/>
    <x v="1"/>
    <n v="24"/>
    <x v="1"/>
    <x v="3"/>
    <x v="3"/>
    <n v="-111091"/>
    <s v="01-12-2022"/>
    <x v="1"/>
    <n v="11"/>
    <n v="5"/>
    <s v="Yes"/>
    <x v="1"/>
    <s v="meena.reddy1818@company.com"/>
    <s v="Valid"/>
    <n v="9918238475"/>
    <s v="Valid"/>
    <x v="3"/>
  </r>
  <r>
    <x v="816"/>
    <s v="Kiran"/>
    <s v="Patel"/>
    <x v="0"/>
    <n v="41"/>
    <x v="0"/>
    <x v="2"/>
    <x v="4"/>
    <n v="60582"/>
    <s v="10-07-2018"/>
    <x v="0"/>
    <n v="11"/>
    <n v="3"/>
    <s v="Yes"/>
    <x v="1"/>
    <s v="kiran.patel1819@company.com"/>
    <s v="Valid"/>
    <n v="9233071427"/>
    <s v="Valid"/>
    <x v="0"/>
  </r>
  <r>
    <x v="817"/>
    <s v="Priya"/>
    <s v="Reddy"/>
    <x v="1"/>
    <n v="52"/>
    <x v="1"/>
    <x v="2"/>
    <x v="3"/>
    <n v="69509"/>
    <s v="16-09-2020"/>
    <x v="3"/>
    <n v="2"/>
    <n v="5"/>
    <s v="No"/>
    <x v="0"/>
    <s v="priya.reddy1820@company.com"/>
    <s v="Valid"/>
    <n v="9564219088"/>
    <s v="Valid"/>
    <x v="2"/>
  </r>
  <r>
    <x v="818"/>
    <s v="Kiran"/>
    <s v="Kumar"/>
    <x v="0"/>
    <n v="42"/>
    <x v="0"/>
    <x v="4"/>
    <x v="3"/>
    <n v="76495"/>
    <s v="13-10-2022"/>
    <x v="3"/>
    <n v="15"/>
    <n v="3"/>
    <s v="No"/>
    <x v="0"/>
    <s v="kiran.kumar1821@company.com"/>
    <s v="Valid"/>
    <n v="9653605621"/>
    <s v="Valid"/>
    <x v="0"/>
  </r>
  <r>
    <x v="819"/>
    <s v="Priya"/>
    <s v="Kumar"/>
    <x v="1"/>
    <n v="55"/>
    <x v="3"/>
    <x v="3"/>
    <x v="0"/>
    <n v="58087"/>
    <s v="08-03-2020"/>
    <x v="3"/>
    <n v="12"/>
    <n v="2"/>
    <s v="Yes"/>
    <x v="1"/>
    <s v="priya.kumar1822@company.com"/>
    <s v="Valid"/>
    <n v="9893523516"/>
    <s v="Valid"/>
    <x v="2"/>
  </r>
  <r>
    <x v="820"/>
    <s v="Anil"/>
    <s v="Reddy"/>
    <x v="0"/>
    <n v="54"/>
    <x v="4"/>
    <x v="4"/>
    <x v="2"/>
    <n v="37782"/>
    <s v="04-01-2020"/>
    <x v="2"/>
    <n v="13"/>
    <n v="5"/>
    <s v="Yes"/>
    <x v="1"/>
    <s v="anil.reddy1823@company.com"/>
    <s v="Valid"/>
    <n v="9358780447"/>
    <s v="Valid"/>
    <x v="2"/>
  </r>
  <r>
    <x v="821"/>
    <s v="Anil"/>
    <s v="Kumar"/>
    <x v="0"/>
    <n v="28"/>
    <x v="0"/>
    <x v="1"/>
    <x v="3"/>
    <n v="81197"/>
    <s v="07-06-2024"/>
    <x v="3"/>
    <n v="7"/>
    <n v="1"/>
    <s v="Yes"/>
    <x v="1"/>
    <s v="anil.kumar1824@company.com"/>
    <s v="Valid"/>
    <n v="9545008855"/>
    <s v="Valid"/>
    <x v="1"/>
  </r>
  <r>
    <x v="822"/>
    <s v="John"/>
    <s v="Sharma"/>
    <x v="0"/>
    <n v="30"/>
    <x v="2"/>
    <x v="3"/>
    <x v="2"/>
    <n v="89498"/>
    <s v="26-12-2018"/>
    <x v="3"/>
    <n v="8"/>
    <n v="5"/>
    <s v="No"/>
    <x v="1"/>
    <s v="john.sharma1825@company.com"/>
    <s v="Valid"/>
    <n v="9735249961"/>
    <s v="Valid"/>
    <x v="5"/>
  </r>
  <r>
    <x v="823"/>
    <s v="Rahul"/>
    <s v="Patel"/>
    <x v="0"/>
    <n v="25"/>
    <x v="2"/>
    <x v="1"/>
    <x v="1"/>
    <n v="78635"/>
    <s v="17-06-2022"/>
    <x v="1"/>
    <n v="17"/>
    <n v="5"/>
    <s v="Yes"/>
    <x v="0"/>
    <s v="rahul.patel1826@company.com"/>
    <s v="Valid"/>
    <n v="9136621977"/>
    <s v="Valid"/>
    <x v="1"/>
  </r>
  <r>
    <x v="824"/>
    <s v="Meena"/>
    <s v="Kumar"/>
    <x v="1"/>
    <n v="57"/>
    <x v="3"/>
    <x v="2"/>
    <x v="1"/>
    <n v="34114"/>
    <s v="23-07-2020"/>
    <x v="2"/>
    <n v="10"/>
    <n v="5"/>
    <s v="Yes"/>
    <x v="0"/>
    <s v="meena.kumar1827@company.com"/>
    <s v="Valid"/>
    <n v="9911157554"/>
    <s v="Valid"/>
    <x v="2"/>
  </r>
  <r>
    <x v="825"/>
    <s v="Ravi"/>
    <s v="Singh"/>
    <x v="1"/>
    <n v="26"/>
    <x v="1"/>
    <x v="2"/>
    <x v="3"/>
    <n v="71811"/>
    <s v="07-10-2022"/>
    <x v="0"/>
    <n v="23"/>
    <n v="4"/>
    <s v="Yes"/>
    <x v="0"/>
    <s v="ravi.singh1828@company.com"/>
    <s v="Valid"/>
    <n v="9786668528"/>
    <s v="Valid"/>
    <x v="1"/>
  </r>
  <r>
    <x v="826"/>
    <s v="Rahul"/>
    <s v="Patel"/>
    <x v="0"/>
    <n v="55"/>
    <x v="4"/>
    <x v="0"/>
    <x v="0"/>
    <n v="109611"/>
    <s v="06-04-2024"/>
    <x v="1"/>
    <n v="17"/>
    <n v="5"/>
    <s v="No"/>
    <x v="0"/>
    <s v="rahul.patel1829@company.com"/>
    <s v="Valid"/>
    <n v="9126443424"/>
    <s v="Valid"/>
    <x v="2"/>
  </r>
  <r>
    <x v="827"/>
    <s v="John"/>
    <s v="Reddy"/>
    <x v="1"/>
    <n v="50"/>
    <x v="2"/>
    <x v="0"/>
    <x v="4"/>
    <n v="85480"/>
    <s v="05-08-2024"/>
    <x v="2"/>
    <n v="9"/>
    <n v="4"/>
    <s v="Yes"/>
    <x v="1"/>
    <s v="john.reddy1830@company.com"/>
    <s v="Valid"/>
    <n v="9387071892"/>
    <s v="Valid"/>
    <x v="2"/>
  </r>
  <r>
    <x v="828"/>
    <s v="Priya"/>
    <s v="Kumar"/>
    <x v="1"/>
    <n v="37"/>
    <x v="1"/>
    <x v="1"/>
    <x v="0"/>
    <n v="90443"/>
    <s v="23-02-2018"/>
    <x v="0"/>
    <n v="25"/>
    <n v="1"/>
    <s v="Yes"/>
    <x v="1"/>
    <s v="priya.kumar1831@company.com"/>
    <s v="Valid"/>
    <n v="9541768951"/>
    <s v="Valid"/>
    <x v="4"/>
  </r>
  <r>
    <x v="829"/>
    <s v="Sneha"/>
    <s v="Kumar"/>
    <x v="0"/>
    <n v="38"/>
    <x v="4"/>
    <x v="3"/>
    <x v="3"/>
    <s v="Missing"/>
    <s v="19-09-2018"/>
    <x v="2"/>
    <n v="3"/>
    <n v="4"/>
    <s v="No"/>
    <x v="1"/>
    <s v="sneha.kumar1832@company.com"/>
    <s v="Valid"/>
    <n v="9390652417"/>
    <s v="Valid"/>
    <x v="4"/>
  </r>
  <r>
    <x v="830"/>
    <s v="Divya"/>
    <s v="Singh"/>
    <x v="0"/>
    <n v="56"/>
    <x v="4"/>
    <x v="1"/>
    <x v="0"/>
    <n v="47252"/>
    <s v="06-07-2020"/>
    <x v="3"/>
    <n v="3"/>
    <n v="4"/>
    <s v="No"/>
    <x v="1"/>
    <s v="divya.singh1833@company.com"/>
    <s v="Valid"/>
    <n v="9988157310"/>
    <s v="Valid"/>
    <x v="2"/>
  </r>
  <r>
    <x v="831"/>
    <s v="Meena"/>
    <s v="Sharma"/>
    <x v="0"/>
    <n v="36"/>
    <x v="3"/>
    <x v="0"/>
    <x v="0"/>
    <n v="51044"/>
    <s v="24-06-2022"/>
    <x v="1"/>
    <n v="6"/>
    <n v="1"/>
    <s v="Yes"/>
    <x v="0"/>
    <s v="meena.sharma1834@company.com"/>
    <s v="Valid"/>
    <n v="9782510013"/>
    <s v="Valid"/>
    <x v="4"/>
  </r>
  <r>
    <x v="832"/>
    <s v="Rahul"/>
    <s v="Reddy"/>
    <x v="0"/>
    <n v="32"/>
    <x v="3"/>
    <x v="1"/>
    <x v="1"/>
    <n v="48026"/>
    <s v="30-07-2020"/>
    <x v="2"/>
    <n v="19"/>
    <n v="1"/>
    <s v="No"/>
    <x v="0"/>
    <s v="rahul.reddy1835@company.com"/>
    <s v="Valid"/>
    <n v="9241122064"/>
    <s v="Valid"/>
    <x v="5"/>
  </r>
  <r>
    <x v="833"/>
    <s v="Kiran"/>
    <s v="Sharma"/>
    <x v="1"/>
    <n v="44"/>
    <x v="3"/>
    <x v="3"/>
    <x v="4"/>
    <n v="90883"/>
    <s v="05-05-2022"/>
    <x v="1"/>
    <n v="14"/>
    <n v="3"/>
    <s v="Yes"/>
    <x v="0"/>
    <s v="kiran.sharma1836@company.com"/>
    <s v="Valid"/>
    <n v="9859713269"/>
    <s v="Valid"/>
    <x v="0"/>
  </r>
  <r>
    <x v="834"/>
    <s v="Divya"/>
    <s v="Patel"/>
    <x v="0"/>
    <n v="51"/>
    <x v="4"/>
    <x v="4"/>
    <x v="1"/>
    <n v="93591"/>
    <s v="24-11-2022"/>
    <x v="2"/>
    <n v="1"/>
    <n v="1"/>
    <s v="No"/>
    <x v="1"/>
    <s v="divya.patel1837@company.com"/>
    <s v="Valid"/>
    <n v="9676333161"/>
    <s v="Valid"/>
    <x v="2"/>
  </r>
  <r>
    <x v="835"/>
    <s v="Arun"/>
    <s v="Kumar"/>
    <x v="1"/>
    <n v="46"/>
    <x v="0"/>
    <x v="1"/>
    <x v="1"/>
    <n v="82155"/>
    <s v="02-09-2021"/>
    <x v="0"/>
    <n v="20"/>
    <n v="4"/>
    <s v="No"/>
    <x v="1"/>
    <s v="arun.kumar1838@company.com"/>
    <s v="Valid"/>
    <n v="9948351731"/>
    <s v="Valid"/>
    <x v="0"/>
  </r>
  <r>
    <x v="836"/>
    <s v="Kiran"/>
    <s v="Sharma"/>
    <x v="0"/>
    <n v="34"/>
    <x v="4"/>
    <x v="0"/>
    <x v="3"/>
    <n v="37191"/>
    <s v="12-03-2022"/>
    <x v="2"/>
    <n v="23"/>
    <n v="2"/>
    <s v="No"/>
    <x v="1"/>
    <s v="kiran.sharma1839@company.com"/>
    <s v="Valid"/>
    <n v="9205043720"/>
    <s v="Valid"/>
    <x v="5"/>
  </r>
  <r>
    <x v="837"/>
    <s v="Divya"/>
    <s v="Patel"/>
    <x v="0"/>
    <n v="31"/>
    <x v="3"/>
    <x v="3"/>
    <x v="1"/>
    <n v="41549"/>
    <s v="17-01-2019"/>
    <x v="2"/>
    <n v="0"/>
    <n v="3"/>
    <s v="No"/>
    <x v="0"/>
    <s v="divya.patel1840@company.com"/>
    <s v="Valid"/>
    <n v="9907418777"/>
    <s v="Valid"/>
    <x v="5"/>
  </r>
  <r>
    <x v="838"/>
    <s v="Rahul"/>
    <s v="Sharma"/>
    <x v="1"/>
    <n v="45"/>
    <x v="4"/>
    <x v="0"/>
    <x v="0"/>
    <n v="74075"/>
    <s v="08-07-2023"/>
    <x v="2"/>
    <n v="7"/>
    <n v="5"/>
    <s v="No"/>
    <x v="1"/>
    <s v="rahul.sharma1841@company.com"/>
    <s v="Valid"/>
    <n v="9481606428"/>
    <s v="Valid"/>
    <x v="0"/>
  </r>
  <r>
    <x v="839"/>
    <s v="Rahul"/>
    <s v="Patel"/>
    <x v="1"/>
    <n v="66"/>
    <x v="0"/>
    <x v="3"/>
    <x v="1"/>
    <n v="44025"/>
    <s v="08-12-2022"/>
    <x v="3"/>
    <n v="4"/>
    <n v="2"/>
    <s v="Yes"/>
    <x v="1"/>
    <s v="rahul.patel1842@company.com"/>
    <s v="Valid"/>
    <n v="9344370249"/>
    <s v="Valid"/>
    <x v="2"/>
  </r>
  <r>
    <x v="840"/>
    <s v="Arun"/>
    <s v="Kumar"/>
    <x v="0"/>
    <n v="28"/>
    <x v="3"/>
    <x v="0"/>
    <x v="4"/>
    <n v="91987"/>
    <s v="14-08-2021"/>
    <x v="2"/>
    <n v="10"/>
    <n v="4"/>
    <s v="Yes"/>
    <x v="0"/>
    <s v="arun.kumar1843@company.com"/>
    <s v="Valid"/>
    <n v="9197857296"/>
    <s v="Valid"/>
    <x v="1"/>
  </r>
  <r>
    <x v="841"/>
    <s v="Meena"/>
    <s v="Kumar"/>
    <x v="0"/>
    <n v="48"/>
    <x v="3"/>
    <x v="4"/>
    <x v="2"/>
    <n v="106972"/>
    <s v="11-10-2023"/>
    <x v="4"/>
    <n v="22"/>
    <n v="1"/>
    <s v="Yes"/>
    <x v="1"/>
    <s v="meena.kumar1844@company.com"/>
    <s v="Valid"/>
    <n v="9208057461"/>
    <s v="Valid"/>
    <x v="0"/>
  </r>
  <r>
    <x v="842"/>
    <s v="Meena"/>
    <s v="Patel"/>
    <x v="0"/>
    <n v="54"/>
    <x v="0"/>
    <x v="3"/>
    <x v="0"/>
    <n v="66419"/>
    <s v="09-04-2021"/>
    <x v="4"/>
    <n v="6"/>
    <n v="4"/>
    <s v="No"/>
    <x v="1"/>
    <s v="meena.patel1845@company.com"/>
    <s v="Valid"/>
    <n v="9983645448"/>
    <s v="Valid"/>
    <x v="2"/>
  </r>
  <r>
    <x v="843"/>
    <s v="Priya"/>
    <s v="Sharma"/>
    <x v="0"/>
    <n v="28"/>
    <x v="4"/>
    <x v="4"/>
    <x v="3"/>
    <n v="104753"/>
    <s v="31-03-2020"/>
    <x v="2"/>
    <n v="25"/>
    <n v="5"/>
    <s v="No"/>
    <x v="0"/>
    <s v="priya.sharma1846@company.com"/>
    <s v="Valid"/>
    <n v="9592345110"/>
    <s v="Valid"/>
    <x v="1"/>
  </r>
  <r>
    <x v="844"/>
    <s v="Sneha"/>
    <s v="Sharma"/>
    <x v="1"/>
    <n v="39"/>
    <x v="3"/>
    <x v="0"/>
    <x v="1"/>
    <n v="83313"/>
    <s v="21-03-2021"/>
    <x v="4"/>
    <n v="11"/>
    <n v="3"/>
    <s v="No"/>
    <x v="1"/>
    <s v="sneha.sharma1847@company.com"/>
    <s v="Valid"/>
    <n v="9005424169"/>
    <s v="Valid"/>
    <x v="4"/>
  </r>
  <r>
    <x v="845"/>
    <s v="Sneha"/>
    <s v="Singh"/>
    <x v="1"/>
    <n v="44"/>
    <x v="1"/>
    <x v="2"/>
    <x v="2"/>
    <n v="50222"/>
    <s v="12-03-2018"/>
    <x v="4"/>
    <n v="24"/>
    <n v="2"/>
    <s v="No"/>
    <x v="1"/>
    <s v="sneha.singh1848@company.com"/>
    <s v="Valid"/>
    <n v="9128093145"/>
    <s v="Valid"/>
    <x v="0"/>
  </r>
  <r>
    <x v="846"/>
    <s v="Kiran"/>
    <s v="Sharma"/>
    <x v="0"/>
    <n v="28"/>
    <x v="1"/>
    <x v="4"/>
    <x v="1"/>
    <n v="27981"/>
    <s v="11-06-2024"/>
    <x v="3"/>
    <n v="12"/>
    <n v="5"/>
    <s v="No"/>
    <x v="0"/>
    <s v="kiran.sharma1849@company.com"/>
    <s v="Valid"/>
    <n v="90924808"/>
    <s v="Invalid"/>
    <x v="1"/>
  </r>
  <r>
    <x v="847"/>
    <s v="Priya"/>
    <s v="Patel"/>
    <x v="1"/>
    <n v="30"/>
    <x v="1"/>
    <x v="3"/>
    <x v="1"/>
    <n v="35589"/>
    <s v="13-12-2023"/>
    <x v="1"/>
    <n v="6"/>
    <n v="4"/>
    <s v="No"/>
    <x v="1"/>
    <s v="priya.patel1850@company.com"/>
    <s v="Valid"/>
    <n v="9716779148"/>
    <s v="Valid"/>
    <x v="5"/>
  </r>
  <r>
    <x v="848"/>
    <s v="Arun"/>
    <s v="Reddy"/>
    <x v="1"/>
    <n v="25"/>
    <x v="1"/>
    <x v="0"/>
    <x v="1"/>
    <n v="95100"/>
    <s v="28-03-2022"/>
    <x v="0"/>
    <n v="21"/>
    <n v="4"/>
    <s v="Yes"/>
    <x v="1"/>
    <s v="arun.reddy1851@company.com"/>
    <s v="Valid"/>
    <n v="9885225655"/>
    <s v="Valid"/>
    <x v="1"/>
  </r>
  <r>
    <x v="849"/>
    <s v="Divya"/>
    <s v="Patel"/>
    <x v="0"/>
    <n v="41"/>
    <x v="3"/>
    <x v="0"/>
    <x v="1"/>
    <n v="57718"/>
    <s v="31-07-2023"/>
    <x v="3"/>
    <n v="17"/>
    <n v="5"/>
    <s v="No"/>
    <x v="0"/>
    <s v="divya.patel1852@company.com"/>
    <s v="Valid"/>
    <n v="9434922705"/>
    <s v="Valid"/>
    <x v="0"/>
  </r>
  <r>
    <x v="850"/>
    <s v="Kiran"/>
    <s v="Singh"/>
    <x v="1"/>
    <n v="51"/>
    <x v="0"/>
    <x v="2"/>
    <x v="0"/>
    <n v="115373"/>
    <s v="31-05-2019"/>
    <x v="0"/>
    <n v="14"/>
    <n v="1"/>
    <s v="Yes"/>
    <x v="1"/>
    <s v="kiran.singh1853@company.com"/>
    <s v="Valid"/>
    <n v="9074307261"/>
    <s v="Valid"/>
    <x v="2"/>
  </r>
  <r>
    <x v="851"/>
    <s v="Priya"/>
    <s v="Singh"/>
    <x v="1"/>
    <n v="52"/>
    <x v="3"/>
    <x v="2"/>
    <x v="4"/>
    <n v="66056"/>
    <s v="15-08-2019"/>
    <x v="2"/>
    <n v="15"/>
    <n v="3"/>
    <s v="No"/>
    <x v="1"/>
    <s v="priya.singh1854@company.com"/>
    <s v="Valid"/>
    <n v="9646268687"/>
    <s v="Valid"/>
    <x v="2"/>
  </r>
  <r>
    <x v="852"/>
    <s v="Arun"/>
    <s v="Singh"/>
    <x v="1"/>
    <n v="29"/>
    <x v="1"/>
    <x v="3"/>
    <x v="4"/>
    <n v="74654"/>
    <s v="27-12-2024"/>
    <x v="1"/>
    <n v="13"/>
    <n v="2"/>
    <s v="No"/>
    <x v="1"/>
    <s v="arun.singh1855@company.com"/>
    <s v="Valid"/>
    <n v="9954175868"/>
    <s v="Valid"/>
    <x v="1"/>
  </r>
  <r>
    <x v="853"/>
    <s v="Anil"/>
    <s v="Singh"/>
    <x v="0"/>
    <n v="41"/>
    <x v="3"/>
    <x v="0"/>
    <x v="4"/>
    <n v="30922"/>
    <s v="21-06-2023"/>
    <x v="1"/>
    <n v="3"/>
    <n v="2"/>
    <s v="Yes"/>
    <x v="0"/>
    <s v="anil.singh1856@company.com"/>
    <s v="Valid"/>
    <n v="95446585"/>
    <s v="Invalid"/>
    <x v="0"/>
  </r>
  <r>
    <x v="854"/>
    <s v="Rahul"/>
    <s v="Singh"/>
    <x v="1"/>
    <n v="36"/>
    <x v="0"/>
    <x v="3"/>
    <x v="0"/>
    <n v="44663"/>
    <s v="26-03-2020"/>
    <x v="2"/>
    <n v="14"/>
    <n v="4"/>
    <s v="No"/>
    <x v="0"/>
    <s v="rahul.singh1857@company.com"/>
    <s v="Valid"/>
    <n v="9612858018"/>
    <s v="Valid"/>
    <x v="4"/>
  </r>
  <r>
    <x v="855"/>
    <s v="Sneha"/>
    <s v="Sharma"/>
    <x v="0"/>
    <n v="44"/>
    <x v="2"/>
    <x v="3"/>
    <x v="2"/>
    <n v="59655"/>
    <s v="31-08-2022"/>
    <x v="3"/>
    <n v="7"/>
    <n v="1"/>
    <s v="Yes"/>
    <x v="1"/>
    <s v="sneha.sharma1858@company.com"/>
    <s v="Valid"/>
    <n v="9564329625"/>
    <s v="Valid"/>
    <x v="0"/>
  </r>
  <r>
    <x v="856"/>
    <s v="Kiran"/>
    <s v="Patel"/>
    <x v="0"/>
    <n v="26"/>
    <x v="1"/>
    <x v="3"/>
    <x v="3"/>
    <n v="114107"/>
    <s v="21-05-2018"/>
    <x v="4"/>
    <n v="3"/>
    <n v="1"/>
    <s v="Yes"/>
    <x v="1"/>
    <s v="kiran.patel1859@company.com"/>
    <s v="Valid"/>
    <n v="9679009687"/>
    <s v="Valid"/>
    <x v="1"/>
  </r>
  <r>
    <x v="857"/>
    <s v="Anil"/>
    <s v="Sharma"/>
    <x v="1"/>
    <n v="57"/>
    <x v="0"/>
    <x v="0"/>
    <x v="3"/>
    <n v="-62484"/>
    <s v="19-09-2023"/>
    <x v="2"/>
    <n v="22"/>
    <n v="1"/>
    <s v="Yes"/>
    <x v="1"/>
    <s v="anil.sharma1860@company.com"/>
    <s v="Valid"/>
    <n v="96327671"/>
    <s v="Invalid"/>
    <x v="2"/>
  </r>
  <r>
    <x v="858"/>
    <s v="John"/>
    <s v="Kumar"/>
    <x v="0"/>
    <n v="24"/>
    <x v="4"/>
    <x v="3"/>
    <x v="1"/>
    <n v="60327"/>
    <s v="05-09-2018"/>
    <x v="2"/>
    <n v="24"/>
    <n v="5"/>
    <s v="No"/>
    <x v="1"/>
    <s v="john.kumar1861@company.com"/>
    <s v="Valid"/>
    <n v="9903282190"/>
    <s v="Valid"/>
    <x v="3"/>
  </r>
  <r>
    <x v="859"/>
    <s v="Kiran"/>
    <s v="Patel"/>
    <x v="1"/>
    <n v="54"/>
    <x v="1"/>
    <x v="2"/>
    <x v="3"/>
    <n v="100973"/>
    <s v="24-09-2022"/>
    <x v="4"/>
    <n v="3"/>
    <n v="1"/>
    <s v="Yes"/>
    <x v="0"/>
    <s v="kiran.patel1862@company.com"/>
    <s v="Valid"/>
    <n v="9028010477"/>
    <s v="Valid"/>
    <x v="2"/>
  </r>
  <r>
    <x v="860"/>
    <s v="Divya"/>
    <s v="Reddy"/>
    <x v="0"/>
    <n v="50"/>
    <x v="4"/>
    <x v="3"/>
    <x v="2"/>
    <n v="97512"/>
    <s v="11-04-2021"/>
    <x v="1"/>
    <n v="13"/>
    <n v="4"/>
    <s v="Yes"/>
    <x v="0"/>
    <s v="divya.reddy1863@company.com"/>
    <s v="Valid"/>
    <n v="9516006953"/>
    <s v="Valid"/>
    <x v="2"/>
  </r>
  <r>
    <x v="861"/>
    <s v="Priya"/>
    <s v="Kumar"/>
    <x v="0"/>
    <n v="30"/>
    <x v="2"/>
    <x v="1"/>
    <x v="3"/>
    <n v="33679"/>
    <s v="15-11-2020"/>
    <x v="0"/>
    <n v="24"/>
    <n v="1"/>
    <s v="No"/>
    <x v="0"/>
    <s v="priya.kumar1864@company.com"/>
    <s v="Valid"/>
    <n v="9276004723"/>
    <s v="Valid"/>
    <x v="5"/>
  </r>
  <r>
    <x v="862"/>
    <s v="John"/>
    <s v="Singh"/>
    <x v="0"/>
    <n v="56"/>
    <x v="1"/>
    <x v="3"/>
    <x v="2"/>
    <n v="61044"/>
    <s v="16-01-2022"/>
    <x v="0"/>
    <n v="2"/>
    <n v="3"/>
    <s v="No"/>
    <x v="0"/>
    <s v="john.singh1865@company.com"/>
    <s v="Valid"/>
    <n v="9570037636"/>
    <s v="Valid"/>
    <x v="2"/>
  </r>
  <r>
    <x v="863"/>
    <s v="John"/>
    <s v="Patel"/>
    <x v="1"/>
    <n v="36"/>
    <x v="3"/>
    <x v="0"/>
    <x v="1"/>
    <n v="68312"/>
    <s v="18-08-2024"/>
    <x v="0"/>
    <n v="9"/>
    <n v="5"/>
    <s v="Yes"/>
    <x v="1"/>
    <s v="john.patel1866@company.com"/>
    <s v="Valid"/>
    <n v="9240828096"/>
    <s v="Valid"/>
    <x v="4"/>
  </r>
  <r>
    <x v="864"/>
    <s v="Sneha"/>
    <s v="Singh"/>
    <x v="1"/>
    <n v="43"/>
    <x v="4"/>
    <x v="2"/>
    <x v="3"/>
    <n v="107834"/>
    <s v="31-08-2023"/>
    <x v="1"/>
    <n v="13"/>
    <n v="1"/>
    <s v="No"/>
    <x v="1"/>
    <s v="sneha.singh1867company.com"/>
    <s v="Invalid"/>
    <n v="9343814792"/>
    <s v="Valid"/>
    <x v="0"/>
  </r>
  <r>
    <x v="865"/>
    <s v="Anil"/>
    <s v="Reddy"/>
    <x v="0"/>
    <n v="43"/>
    <x v="0"/>
    <x v="2"/>
    <x v="3"/>
    <n v="95129"/>
    <s v="03-01-2020"/>
    <x v="1"/>
    <n v="1"/>
    <n v="1"/>
    <s v="Yes"/>
    <x v="1"/>
    <s v="anil.reddy1868@company.com"/>
    <s v="Valid"/>
    <n v="9726841230"/>
    <s v="Valid"/>
    <x v="0"/>
  </r>
  <r>
    <x v="866"/>
    <s v="Divya"/>
    <s v="Patel"/>
    <x v="1"/>
    <n v="56"/>
    <x v="0"/>
    <x v="2"/>
    <x v="4"/>
    <n v="50527"/>
    <s v="28-11-2019"/>
    <x v="3"/>
    <n v="14"/>
    <n v="3"/>
    <s v="Yes"/>
    <x v="1"/>
    <s v="divya.patel1869@company.com"/>
    <s v="Valid"/>
    <n v="9380347057"/>
    <s v="Valid"/>
    <x v="2"/>
  </r>
  <r>
    <x v="867"/>
    <s v="Anil"/>
    <s v="Singh"/>
    <x v="1"/>
    <n v="40"/>
    <x v="3"/>
    <x v="2"/>
    <x v="4"/>
    <n v="61383"/>
    <s v="22-12-2022"/>
    <x v="0"/>
    <n v="14"/>
    <n v="5"/>
    <s v="No"/>
    <x v="0"/>
    <s v="anil.singh1870@company.com"/>
    <s v="Valid"/>
    <n v="9009771845"/>
    <s v="Valid"/>
    <x v="0"/>
  </r>
  <r>
    <x v="868"/>
    <s v="Priya"/>
    <s v="Singh"/>
    <x v="1"/>
    <n v="37"/>
    <x v="4"/>
    <x v="1"/>
    <x v="1"/>
    <n v="90360"/>
    <s v="27-04-2022"/>
    <x v="2"/>
    <n v="4"/>
    <n v="3"/>
    <s v="Yes"/>
    <x v="0"/>
    <s v="priya.singh1871@company.com"/>
    <s v="Valid"/>
    <n v="9418257783"/>
    <s v="Valid"/>
    <x v="4"/>
  </r>
  <r>
    <x v="869"/>
    <s v="Priya"/>
    <s v="Reddy"/>
    <x v="1"/>
    <n v="48"/>
    <x v="2"/>
    <x v="2"/>
    <x v="2"/>
    <n v="93006"/>
    <s v="22-05-2019"/>
    <x v="2"/>
    <n v="8"/>
    <n v="4"/>
    <s v="No"/>
    <x v="0"/>
    <s v="priya.reddy1872@company.com"/>
    <s v="Valid"/>
    <n v="9507418120"/>
    <s v="Valid"/>
    <x v="0"/>
  </r>
  <r>
    <x v="870"/>
    <s v="Arun"/>
    <s v="Kumar"/>
    <x v="1"/>
    <n v="57"/>
    <x v="4"/>
    <x v="3"/>
    <x v="2"/>
    <n v="115649"/>
    <s v="19-01-2019"/>
    <x v="2"/>
    <n v="24"/>
    <n v="3"/>
    <s v="No"/>
    <x v="1"/>
    <s v="arun.kumar1873@company.com"/>
    <s v="Valid"/>
    <n v="9406821238"/>
    <s v="Valid"/>
    <x v="2"/>
  </r>
  <r>
    <x v="871"/>
    <s v="John"/>
    <s v="Reddy"/>
    <x v="1"/>
    <n v="46"/>
    <x v="0"/>
    <x v="3"/>
    <x v="1"/>
    <n v="112421"/>
    <s v="02-12-2024"/>
    <x v="1"/>
    <n v="4"/>
    <n v="2"/>
    <s v="Yes"/>
    <x v="1"/>
    <s v="john.reddy1874@company.com"/>
    <s v="Valid"/>
    <n v="9737119282"/>
    <s v="Valid"/>
    <x v="0"/>
  </r>
  <r>
    <x v="872"/>
    <s v="John"/>
    <s v="Patel"/>
    <x v="1"/>
    <n v="42"/>
    <x v="1"/>
    <x v="0"/>
    <x v="3"/>
    <n v="44888"/>
    <s v="03-06-2019"/>
    <x v="2"/>
    <n v="1"/>
    <n v="3"/>
    <s v="Yes"/>
    <x v="0"/>
    <s v="john.patel1875@company.com"/>
    <s v="Valid"/>
    <n v="9574197369"/>
    <s v="Valid"/>
    <x v="0"/>
  </r>
  <r>
    <x v="873"/>
    <s v="Sneha"/>
    <s v="Reddy"/>
    <x v="0"/>
    <n v="57"/>
    <x v="3"/>
    <x v="3"/>
    <x v="2"/>
    <n v="112034"/>
    <s v="21-01-2019"/>
    <x v="2"/>
    <n v="15"/>
    <n v="4"/>
    <s v="No"/>
    <x v="0"/>
    <s v="sneha.reddy1876@company.com"/>
    <s v="Valid"/>
    <n v="9727167053"/>
    <s v="Valid"/>
    <x v="2"/>
  </r>
  <r>
    <x v="874"/>
    <s v="Sneha"/>
    <s v="Reddy"/>
    <x v="0"/>
    <n v="53"/>
    <x v="4"/>
    <x v="1"/>
    <x v="1"/>
    <n v="114946"/>
    <s v="09-04-2024"/>
    <x v="2"/>
    <n v="12"/>
    <n v="2"/>
    <s v="Yes"/>
    <x v="1"/>
    <s v="sneha.reddy1877@company.com"/>
    <s v="Valid"/>
    <n v="9080479146"/>
    <s v="Valid"/>
    <x v="2"/>
  </r>
  <r>
    <x v="875"/>
    <s v="Priya"/>
    <s v="Kumar"/>
    <x v="1"/>
    <n v="28"/>
    <x v="4"/>
    <x v="4"/>
    <x v="3"/>
    <n v="62425"/>
    <s v="21-10-2018"/>
    <x v="0"/>
    <n v="17"/>
    <n v="4"/>
    <s v="No"/>
    <x v="0"/>
    <s v="priya.kumar1878company.com"/>
    <s v="Invalid"/>
    <n v="9886941946"/>
    <s v="Valid"/>
    <x v="1"/>
  </r>
  <r>
    <x v="876"/>
    <s v="Rahul"/>
    <s v="Sharma"/>
    <x v="1"/>
    <n v="54"/>
    <x v="2"/>
    <x v="3"/>
    <x v="4"/>
    <n v="102033"/>
    <s v="23-12-2023"/>
    <x v="2"/>
    <n v="13"/>
    <n v="4"/>
    <s v="No"/>
    <x v="1"/>
    <s v="rahul.sharma1879@company.com"/>
    <s v="Valid"/>
    <n v="9211328926"/>
    <s v="Valid"/>
    <x v="2"/>
  </r>
  <r>
    <x v="877"/>
    <s v="Arun"/>
    <s v="Singh"/>
    <x v="0"/>
    <n v="54"/>
    <x v="2"/>
    <x v="0"/>
    <x v="4"/>
    <n v="75468"/>
    <s v="09-09-2020"/>
    <x v="4"/>
    <n v="24"/>
    <n v="4"/>
    <s v="No"/>
    <x v="1"/>
    <s v="arun.singh1880@company.com"/>
    <s v="Valid"/>
    <n v="9798260680"/>
    <s v="Valid"/>
    <x v="2"/>
  </r>
  <r>
    <x v="878"/>
    <s v="John"/>
    <s v="Sharma"/>
    <x v="1"/>
    <n v="37"/>
    <x v="3"/>
    <x v="0"/>
    <x v="0"/>
    <n v="74178"/>
    <s v="19-06-2019"/>
    <x v="3"/>
    <n v="2"/>
    <n v="2"/>
    <s v="No"/>
    <x v="1"/>
    <s v="john.sharma1881@company.com"/>
    <s v="Valid"/>
    <n v="9088679002"/>
    <s v="Valid"/>
    <x v="4"/>
  </r>
  <r>
    <x v="879"/>
    <s v="Divya"/>
    <s v="Kumar"/>
    <x v="1"/>
    <n v="54"/>
    <x v="0"/>
    <x v="3"/>
    <x v="0"/>
    <n v="86179"/>
    <s v="16-04-2021"/>
    <x v="1"/>
    <n v="2"/>
    <n v="1"/>
    <s v="Yes"/>
    <x v="0"/>
    <s v="divya.kumar1882@company.com"/>
    <s v="Valid"/>
    <n v="9486469383"/>
    <s v="Valid"/>
    <x v="2"/>
  </r>
  <r>
    <x v="880"/>
    <s v="Ravi"/>
    <s v="Kumar"/>
    <x v="1"/>
    <n v="29"/>
    <x v="1"/>
    <x v="4"/>
    <x v="0"/>
    <n v="56443"/>
    <s v="22-09-2022"/>
    <x v="0"/>
    <n v="14"/>
    <n v="5"/>
    <s v="Yes"/>
    <x v="0"/>
    <s v="ravi.kumar1883@company.com"/>
    <s v="Valid"/>
    <n v="9569981756"/>
    <s v="Valid"/>
    <x v="1"/>
  </r>
  <r>
    <x v="881"/>
    <s v="Arun"/>
    <s v="Sharma"/>
    <x v="1"/>
    <n v="48"/>
    <x v="1"/>
    <x v="0"/>
    <x v="1"/>
    <n v="105037"/>
    <s v="10-01-2019"/>
    <x v="3"/>
    <n v="20"/>
    <n v="1"/>
    <s v="No"/>
    <x v="1"/>
    <s v="arun.sharma1884@company.com"/>
    <s v="Valid"/>
    <n v="9040647985"/>
    <s v="Valid"/>
    <x v="0"/>
  </r>
  <r>
    <x v="882"/>
    <s v="Sneha"/>
    <s v="Kumar"/>
    <x v="0"/>
    <n v="49"/>
    <x v="1"/>
    <x v="4"/>
    <x v="3"/>
    <n v="50355"/>
    <s v="07-06-2020"/>
    <x v="1"/>
    <n v="20"/>
    <n v="5"/>
    <s v="No"/>
    <x v="1"/>
    <s v="sneha.kumar1885@company.com"/>
    <s v="Valid"/>
    <n v="9084882888"/>
    <s v="Valid"/>
    <x v="0"/>
  </r>
  <r>
    <x v="883"/>
    <s v="Kiran"/>
    <s v="Singh"/>
    <x v="0"/>
    <n v="50"/>
    <x v="4"/>
    <x v="0"/>
    <x v="0"/>
    <n v="76284"/>
    <s v="23-01-2025"/>
    <x v="3"/>
    <n v="17"/>
    <n v="4"/>
    <s v="No"/>
    <x v="0"/>
    <s v="kiran.singh1886@company.com"/>
    <s v="Valid"/>
    <n v="9187848214"/>
    <s v="Valid"/>
    <x v="2"/>
  </r>
  <r>
    <x v="884"/>
    <s v="Priya"/>
    <s v="Sharma"/>
    <x v="1"/>
    <n v="55"/>
    <x v="4"/>
    <x v="3"/>
    <x v="4"/>
    <n v="91335"/>
    <s v="26-12-2018"/>
    <x v="2"/>
    <n v="12"/>
    <n v="3"/>
    <s v="Yes"/>
    <x v="1"/>
    <s v="priya.sharma1887@company.com"/>
    <s v="Valid"/>
    <n v="9669594038"/>
    <s v="Valid"/>
    <x v="2"/>
  </r>
  <r>
    <x v="885"/>
    <s v="Ravi"/>
    <s v="Singh"/>
    <x v="1"/>
    <n v="40"/>
    <x v="2"/>
    <x v="2"/>
    <x v="1"/>
    <n v="64570"/>
    <s v="22-02-2021"/>
    <x v="1"/>
    <n v="12"/>
    <n v="4"/>
    <s v="No"/>
    <x v="1"/>
    <s v="ravi.singh1888@company.com"/>
    <s v="Valid"/>
    <n v="9196584383"/>
    <s v="Valid"/>
    <x v="0"/>
  </r>
  <r>
    <x v="886"/>
    <s v="Anil"/>
    <s v="Reddy"/>
    <x v="1"/>
    <n v="38"/>
    <x v="3"/>
    <x v="2"/>
    <x v="0"/>
    <n v="105981"/>
    <s v="24-10-2021"/>
    <x v="1"/>
    <n v="14"/>
    <n v="2"/>
    <s v="Yes"/>
    <x v="1"/>
    <s v="anil.reddy1889@company.com"/>
    <s v="Valid"/>
    <n v="9001351207"/>
    <s v="Valid"/>
    <x v="4"/>
  </r>
  <r>
    <x v="887"/>
    <s v="Priya"/>
    <s v="Reddy"/>
    <x v="1"/>
    <n v="31"/>
    <x v="0"/>
    <x v="2"/>
    <x v="4"/>
    <n v="104409"/>
    <s v="28-03-2023"/>
    <x v="1"/>
    <n v="6"/>
    <n v="4"/>
    <s v="Yes"/>
    <x v="0"/>
    <s v="priya.reddy1890@company.com"/>
    <s v="Valid"/>
    <n v="9591226147"/>
    <s v="Valid"/>
    <x v="5"/>
  </r>
  <r>
    <x v="888"/>
    <s v="Priya"/>
    <s v="Patel"/>
    <x v="1"/>
    <n v="28"/>
    <x v="3"/>
    <x v="1"/>
    <x v="0"/>
    <n v="90028"/>
    <s v="16-02-2019"/>
    <x v="2"/>
    <n v="2"/>
    <n v="3"/>
    <s v="Yes"/>
    <x v="0"/>
    <s v="priya.patel1891@company.com"/>
    <s v="Valid"/>
    <n v="9493504708"/>
    <s v="Valid"/>
    <x v="1"/>
  </r>
  <r>
    <x v="889"/>
    <s v="Sneha"/>
    <s v="Reddy"/>
    <x v="1"/>
    <n v="29"/>
    <x v="4"/>
    <x v="3"/>
    <x v="1"/>
    <n v="56726"/>
    <s v="28-02-2023"/>
    <x v="4"/>
    <n v="6"/>
    <n v="3"/>
    <s v="Yes"/>
    <x v="1"/>
    <s v="Missing email"/>
    <s v="Invalid"/>
    <n v="9036112575"/>
    <s v="Valid"/>
    <x v="1"/>
  </r>
  <r>
    <x v="890"/>
    <s v="Divya"/>
    <s v="Sharma"/>
    <x v="0"/>
    <n v="44"/>
    <x v="0"/>
    <x v="2"/>
    <x v="3"/>
    <n v="104517"/>
    <s v="19-05-2022"/>
    <x v="2"/>
    <n v="25"/>
    <n v="2"/>
    <s v="Yes"/>
    <x v="0"/>
    <s v="divya.sharma1893@company.com"/>
    <s v="Valid"/>
    <n v="9508273599"/>
    <s v="Valid"/>
    <x v="0"/>
  </r>
  <r>
    <x v="891"/>
    <s v="Anil"/>
    <s v="Reddy"/>
    <x v="1"/>
    <n v="57"/>
    <x v="2"/>
    <x v="1"/>
    <x v="3"/>
    <n v="59354"/>
    <s v="23-12-2024"/>
    <x v="0"/>
    <n v="2"/>
    <n v="4"/>
    <s v="No"/>
    <x v="1"/>
    <s v="anil.reddy1894company.com"/>
    <s v="Invalid"/>
    <n v="9581686218"/>
    <s v="Valid"/>
    <x v="2"/>
  </r>
  <r>
    <x v="892"/>
    <s v="Ravi"/>
    <s v="Sharma"/>
    <x v="0"/>
    <n v="26"/>
    <x v="4"/>
    <x v="3"/>
    <x v="4"/>
    <n v="54554"/>
    <s v="20-03-2022"/>
    <x v="3"/>
    <n v="5"/>
    <n v="2"/>
    <s v="Yes"/>
    <x v="0"/>
    <s v="ravi.sharma1895@company.com"/>
    <s v="Valid"/>
    <n v="9575952770"/>
    <s v="Valid"/>
    <x v="1"/>
  </r>
  <r>
    <x v="893"/>
    <s v="Priya"/>
    <s v="Sharma"/>
    <x v="0"/>
    <n v="57"/>
    <x v="0"/>
    <x v="4"/>
    <x v="4"/>
    <n v="47628"/>
    <s v="17-12-2023"/>
    <x v="2"/>
    <n v="20"/>
    <n v="3"/>
    <s v="Yes"/>
    <x v="0"/>
    <s v="priya.sharma1896@company.com"/>
    <s v="Valid"/>
    <n v="9356835300"/>
    <s v="Valid"/>
    <x v="2"/>
  </r>
  <r>
    <x v="894"/>
    <s v="John"/>
    <s v="Reddy"/>
    <x v="0"/>
    <n v="26"/>
    <x v="4"/>
    <x v="0"/>
    <x v="2"/>
    <n v="107764"/>
    <s v="09-08-2018"/>
    <x v="2"/>
    <n v="9"/>
    <n v="2"/>
    <s v="No"/>
    <x v="0"/>
    <s v="john.reddy1897@company.com"/>
    <s v="Valid"/>
    <n v="9192144276"/>
    <s v="Valid"/>
    <x v="1"/>
  </r>
  <r>
    <x v="895"/>
    <s v="John"/>
    <s v="Singh"/>
    <x v="1"/>
    <n v="38"/>
    <x v="4"/>
    <x v="4"/>
    <x v="3"/>
    <n v="34845"/>
    <s v="03-09-2022"/>
    <x v="4"/>
    <n v="21"/>
    <n v="2"/>
    <s v="No"/>
    <x v="1"/>
    <s v="john.singh1898@company.com"/>
    <s v="Valid"/>
    <n v="9662236261"/>
    <s v="Valid"/>
    <x v="4"/>
  </r>
  <r>
    <x v="896"/>
    <s v="Anil"/>
    <s v="Sharma"/>
    <x v="0"/>
    <n v="36"/>
    <x v="2"/>
    <x v="1"/>
    <x v="2"/>
    <n v="70932"/>
    <s v="06-08-2024"/>
    <x v="0"/>
    <n v="12"/>
    <n v="5"/>
    <s v="Yes"/>
    <x v="1"/>
    <s v="anil.sharma1899@company.com"/>
    <s v="Valid"/>
    <n v="9523001282"/>
    <s v="Valid"/>
    <x v="4"/>
  </r>
  <r>
    <x v="897"/>
    <s v="Arun"/>
    <s v="Singh"/>
    <x v="1"/>
    <n v="29"/>
    <x v="3"/>
    <x v="3"/>
    <x v="3"/>
    <n v="43178"/>
    <s v="12-10-2024"/>
    <x v="3"/>
    <n v="0"/>
    <n v="4"/>
    <s v="No"/>
    <x v="1"/>
    <s v="arun.singh1900company.com"/>
    <s v="Invalid"/>
    <n v="9863455377"/>
    <s v="Valid"/>
    <x v="1"/>
  </r>
  <r>
    <x v="898"/>
    <s v="Ravi"/>
    <s v="Kumar"/>
    <x v="0"/>
    <n v="40"/>
    <x v="2"/>
    <x v="3"/>
    <x v="1"/>
    <n v="32216"/>
    <s v="21-02-2024"/>
    <x v="0"/>
    <n v="4"/>
    <n v="4"/>
    <s v="No"/>
    <x v="1"/>
    <s v="ravi.kumar1901@company.com"/>
    <s v="Valid"/>
    <n v="9497579095"/>
    <s v="Valid"/>
    <x v="0"/>
  </r>
  <r>
    <x v="899"/>
    <s v="Meena"/>
    <s v="Patel"/>
    <x v="0"/>
    <n v="46"/>
    <x v="3"/>
    <x v="4"/>
    <x v="2"/>
    <n v="67241"/>
    <s v="22-01-2024"/>
    <x v="1"/>
    <n v="16"/>
    <n v="3"/>
    <s v="Yes"/>
    <x v="1"/>
    <s v="meena.patel1902@company.com"/>
    <s v="Valid"/>
    <n v="9665985927"/>
    <s v="Valid"/>
    <x v="0"/>
  </r>
  <r>
    <x v="900"/>
    <s v="Kiran"/>
    <s v="Reddy"/>
    <x v="0"/>
    <n v="55"/>
    <x v="3"/>
    <x v="3"/>
    <x v="4"/>
    <n v="68201"/>
    <s v="22-11-2021"/>
    <x v="1"/>
    <n v="8"/>
    <n v="3"/>
    <s v="No"/>
    <x v="0"/>
    <s v="kiran.reddy1903@company.com"/>
    <s v="Valid"/>
    <n v="9083893176"/>
    <s v="Valid"/>
    <x v="2"/>
  </r>
  <r>
    <x v="901"/>
    <s v="Rahul"/>
    <s v="Reddy"/>
    <x v="1"/>
    <n v="23"/>
    <x v="3"/>
    <x v="1"/>
    <x v="3"/>
    <n v="98981"/>
    <s v="26-10-2020"/>
    <x v="1"/>
    <n v="21"/>
    <n v="3"/>
    <s v="No"/>
    <x v="1"/>
    <s v="rahul.reddy1904company.com"/>
    <s v="Invalid"/>
    <n v="9477774969"/>
    <s v="Valid"/>
    <x v="3"/>
  </r>
  <r>
    <x v="902"/>
    <s v="Rahul"/>
    <s v="Reddy"/>
    <x v="0"/>
    <n v="25"/>
    <x v="4"/>
    <x v="2"/>
    <x v="3"/>
    <s v="Missing"/>
    <s v="15-11-2019"/>
    <x v="3"/>
    <n v="24"/>
    <n v="4"/>
    <s v="No"/>
    <x v="1"/>
    <s v="rahul.reddy1905@company.com"/>
    <s v="Valid"/>
    <n v="9591166360"/>
    <s v="Valid"/>
    <x v="1"/>
  </r>
  <r>
    <x v="903"/>
    <s v="Priya"/>
    <s v="Patel"/>
    <x v="0"/>
    <n v="45"/>
    <x v="2"/>
    <x v="3"/>
    <x v="4"/>
    <n v="35861"/>
    <s v="05-10-2019"/>
    <x v="3"/>
    <n v="23"/>
    <n v="4"/>
    <s v="No"/>
    <x v="1"/>
    <s v="priya.patel1906@company.com"/>
    <s v="Valid"/>
    <n v="9315924421"/>
    <s v="Valid"/>
    <x v="0"/>
  </r>
  <r>
    <x v="904"/>
    <s v="John"/>
    <s v="Singh"/>
    <x v="0"/>
    <n v="52"/>
    <x v="1"/>
    <x v="3"/>
    <x v="4"/>
    <n v="-71802"/>
    <s v="06-09-2024"/>
    <x v="1"/>
    <n v="13"/>
    <n v="3"/>
    <s v="No"/>
    <x v="1"/>
    <s v="john.singh1907@company.com"/>
    <s v="Valid"/>
    <n v="9336664200"/>
    <s v="Valid"/>
    <x v="2"/>
  </r>
  <r>
    <x v="905"/>
    <s v="Rahul"/>
    <s v="Patel"/>
    <x v="0"/>
    <n v="38"/>
    <x v="3"/>
    <x v="0"/>
    <x v="3"/>
    <n v="109589"/>
    <s v="07-04-2024"/>
    <x v="4"/>
    <n v="16"/>
    <n v="2"/>
    <s v="Yes"/>
    <x v="0"/>
    <s v="rahul.patel1908@company.com"/>
    <s v="Valid"/>
    <n v="9779943893"/>
    <s v="Valid"/>
    <x v="4"/>
  </r>
  <r>
    <x v="906"/>
    <s v="Priya"/>
    <s v="Sharma"/>
    <x v="0"/>
    <n v="38"/>
    <x v="2"/>
    <x v="2"/>
    <x v="1"/>
    <n v="115453"/>
    <s v="31-07-2019"/>
    <x v="0"/>
    <n v="22"/>
    <n v="4"/>
    <s v="Yes"/>
    <x v="0"/>
    <s v="priya.sharma1909@company.com"/>
    <s v="Valid"/>
    <n v="9824262883"/>
    <s v="Valid"/>
    <x v="4"/>
  </r>
  <r>
    <x v="907"/>
    <s v="Rahul"/>
    <s v="Sharma"/>
    <x v="0"/>
    <n v="54"/>
    <x v="2"/>
    <x v="1"/>
    <x v="1"/>
    <n v="109810"/>
    <s v="15-11-2021"/>
    <x v="3"/>
    <n v="1"/>
    <n v="2"/>
    <s v="Yes"/>
    <x v="0"/>
    <s v="rahul.sharma1910@company.com"/>
    <s v="Valid"/>
    <n v="9878818695"/>
    <s v="Valid"/>
    <x v="2"/>
  </r>
  <r>
    <x v="908"/>
    <s v="Meena"/>
    <s v="Patel"/>
    <x v="1"/>
    <n v="26"/>
    <x v="1"/>
    <x v="2"/>
    <x v="3"/>
    <n v="69537"/>
    <s v="16-01-2023"/>
    <x v="0"/>
    <n v="4"/>
    <n v="5"/>
    <s v="No"/>
    <x v="1"/>
    <s v="meena.patel1911@company.com"/>
    <s v="Valid"/>
    <n v="9399842699"/>
    <s v="Valid"/>
    <x v="1"/>
  </r>
  <r>
    <x v="909"/>
    <s v="Meena"/>
    <s v="Reddy"/>
    <x v="0"/>
    <n v="47"/>
    <x v="1"/>
    <x v="4"/>
    <x v="2"/>
    <n v="84593"/>
    <s v="07-05-2022"/>
    <x v="3"/>
    <n v="22"/>
    <n v="3"/>
    <s v="No"/>
    <x v="0"/>
    <s v="meena.reddy1912@company.com"/>
    <s v="Valid"/>
    <n v="9782123844"/>
    <s v="Valid"/>
    <x v="0"/>
  </r>
  <r>
    <x v="910"/>
    <s v="Ravi"/>
    <s v="Kumar"/>
    <x v="1"/>
    <n v="41"/>
    <x v="2"/>
    <x v="1"/>
    <x v="3"/>
    <n v="50548"/>
    <s v="31-07-2024"/>
    <x v="3"/>
    <n v="5"/>
    <n v="1"/>
    <s v="No"/>
    <x v="0"/>
    <s v="ravi.kumar1913@company.com"/>
    <s v="Valid"/>
    <n v="9088155414"/>
    <s v="Valid"/>
    <x v="0"/>
  </r>
  <r>
    <x v="911"/>
    <s v="Anil"/>
    <s v="Singh"/>
    <x v="1"/>
    <n v="31"/>
    <x v="0"/>
    <x v="2"/>
    <x v="1"/>
    <n v="90168"/>
    <s v="18-07-2018"/>
    <x v="0"/>
    <n v="15"/>
    <n v="2"/>
    <s v="No"/>
    <x v="1"/>
    <s v="anil.singh1914@company.com"/>
    <s v="Valid"/>
    <n v="9096387939"/>
    <s v="Valid"/>
    <x v="5"/>
  </r>
  <r>
    <x v="912"/>
    <s v="Divya"/>
    <s v="Reddy"/>
    <x v="0"/>
    <n v="53"/>
    <x v="2"/>
    <x v="1"/>
    <x v="2"/>
    <n v="114723"/>
    <s v="13-01-2018"/>
    <x v="3"/>
    <n v="22"/>
    <n v="1"/>
    <s v="No"/>
    <x v="1"/>
    <s v="divya.reddy1915@company.com"/>
    <s v="Valid"/>
    <n v="9324390227"/>
    <s v="Valid"/>
    <x v="2"/>
  </r>
  <r>
    <x v="913"/>
    <s v="Sneha"/>
    <s v="Reddy"/>
    <x v="0"/>
    <n v="50"/>
    <x v="0"/>
    <x v="0"/>
    <x v="3"/>
    <n v="44247"/>
    <s v="18-05-2018"/>
    <x v="3"/>
    <n v="2"/>
    <n v="3"/>
    <s v="No"/>
    <x v="1"/>
    <s v="sneha.reddy1916@company.com"/>
    <s v="Valid"/>
    <n v="9266657791"/>
    <s v="Valid"/>
    <x v="2"/>
  </r>
  <r>
    <x v="914"/>
    <s v="Divya"/>
    <s v="Singh"/>
    <x v="0"/>
    <n v="49"/>
    <x v="4"/>
    <x v="4"/>
    <x v="3"/>
    <n v="57003"/>
    <s v="29-12-2020"/>
    <x v="2"/>
    <n v="25"/>
    <n v="5"/>
    <s v="No"/>
    <x v="1"/>
    <s v="divya.singh1917@company.com"/>
    <s v="Valid"/>
    <n v="9031823643"/>
    <s v="Valid"/>
    <x v="0"/>
  </r>
  <r>
    <x v="915"/>
    <s v="Rahul"/>
    <s v="Patel"/>
    <x v="1"/>
    <n v="54"/>
    <x v="4"/>
    <x v="0"/>
    <x v="0"/>
    <n v="36976"/>
    <s v="28-02-2020"/>
    <x v="3"/>
    <n v="5"/>
    <n v="5"/>
    <s v="Yes"/>
    <x v="1"/>
    <s v="rahul.patel1918@company.com"/>
    <s v="Valid"/>
    <n v="9232011920"/>
    <s v="Valid"/>
    <x v="2"/>
  </r>
  <r>
    <x v="916"/>
    <s v="Divya"/>
    <s v="Singh"/>
    <x v="0"/>
    <n v="45"/>
    <x v="2"/>
    <x v="4"/>
    <x v="2"/>
    <n v="90493"/>
    <s v="20-01-2023"/>
    <x v="2"/>
    <n v="19"/>
    <n v="4"/>
    <s v="No"/>
    <x v="0"/>
    <s v="divya.singh1919@company.com"/>
    <s v="Valid"/>
    <n v="9422616994"/>
    <s v="Valid"/>
    <x v="0"/>
  </r>
  <r>
    <x v="917"/>
    <s v="Sneha"/>
    <s v="Patel"/>
    <x v="1"/>
    <n v="53"/>
    <x v="3"/>
    <x v="2"/>
    <x v="0"/>
    <n v="33786"/>
    <s v="29-07-2021"/>
    <x v="4"/>
    <n v="2"/>
    <n v="5"/>
    <s v="No"/>
    <x v="0"/>
    <s v="sneha.patel1920@company.com"/>
    <s v="Valid"/>
    <n v="9772005224"/>
    <s v="Valid"/>
    <x v="2"/>
  </r>
  <r>
    <x v="918"/>
    <s v="Arun"/>
    <s v="Reddy"/>
    <x v="0"/>
    <n v="30"/>
    <x v="4"/>
    <x v="3"/>
    <x v="1"/>
    <n v="87121"/>
    <s v="07-09-2020"/>
    <x v="4"/>
    <n v="9"/>
    <n v="3"/>
    <s v="No"/>
    <x v="0"/>
    <s v="arun.reddy1921@company.com"/>
    <s v="Valid"/>
    <n v="9031298047"/>
    <s v="Valid"/>
    <x v="5"/>
  </r>
  <r>
    <x v="919"/>
    <s v="Arun"/>
    <s v="Sharma"/>
    <x v="0"/>
    <n v="49"/>
    <x v="0"/>
    <x v="2"/>
    <x v="0"/>
    <n v="65557"/>
    <s v="27-07-2020"/>
    <x v="1"/>
    <n v="16"/>
    <n v="2"/>
    <s v="Yes"/>
    <x v="0"/>
    <s v="arun.sharma1922@company.com"/>
    <s v="Valid"/>
    <n v="9720125618"/>
    <s v="Valid"/>
    <x v="0"/>
  </r>
  <r>
    <x v="920"/>
    <s v="Rahul"/>
    <s v="Reddy"/>
    <x v="0"/>
    <n v="24"/>
    <x v="1"/>
    <x v="2"/>
    <x v="1"/>
    <n v="87521"/>
    <s v="01-11-2024"/>
    <x v="1"/>
    <n v="14"/>
    <n v="4"/>
    <s v="No"/>
    <x v="0"/>
    <s v="rahul.reddy1923@company.com"/>
    <s v="Valid"/>
    <n v="9802032541"/>
    <s v="Valid"/>
    <x v="3"/>
  </r>
  <r>
    <x v="921"/>
    <s v="Meena"/>
    <s v="Singh"/>
    <x v="1"/>
    <n v="24"/>
    <x v="1"/>
    <x v="2"/>
    <x v="0"/>
    <n v="117371"/>
    <s v="15-02-2020"/>
    <x v="4"/>
    <n v="9"/>
    <n v="1"/>
    <s v="Yes"/>
    <x v="0"/>
    <s v="meena.singh1924@company.com"/>
    <s v="Valid"/>
    <n v="9299776379"/>
    <s v="Valid"/>
    <x v="3"/>
  </r>
  <r>
    <x v="922"/>
    <s v="Sneha"/>
    <s v="Reddy"/>
    <x v="0"/>
    <n v="56"/>
    <x v="1"/>
    <x v="0"/>
    <x v="2"/>
    <n v="79027"/>
    <s v="10-12-2022"/>
    <x v="4"/>
    <n v="0"/>
    <n v="2"/>
    <s v="No"/>
    <x v="0"/>
    <s v="sneha.reddy1925@company.com"/>
    <s v="Valid"/>
    <n v="9819154584"/>
    <s v="Valid"/>
    <x v="2"/>
  </r>
  <r>
    <x v="923"/>
    <s v="Sneha"/>
    <s v="Kumar"/>
    <x v="1"/>
    <n v="57"/>
    <x v="4"/>
    <x v="0"/>
    <x v="1"/>
    <n v="35458"/>
    <s v="25-05-2021"/>
    <x v="3"/>
    <n v="10"/>
    <n v="5"/>
    <s v="No"/>
    <x v="1"/>
    <s v="sneha.kumar1926@company.com"/>
    <s v="Valid"/>
    <n v="9346253336"/>
    <s v="Valid"/>
    <x v="2"/>
  </r>
  <r>
    <x v="924"/>
    <s v="Priya"/>
    <s v="Singh"/>
    <x v="0"/>
    <n v="42"/>
    <x v="2"/>
    <x v="0"/>
    <x v="3"/>
    <n v="25100"/>
    <s v="16-07-2023"/>
    <x v="1"/>
    <n v="17"/>
    <n v="1"/>
    <s v="No"/>
    <x v="1"/>
    <s v="priya.singh1927@company.com"/>
    <s v="Valid"/>
    <n v="9784442224"/>
    <s v="Valid"/>
    <x v="0"/>
  </r>
  <r>
    <x v="925"/>
    <s v="Ravi"/>
    <s v="Sharma"/>
    <x v="0"/>
    <n v="36"/>
    <x v="4"/>
    <x v="3"/>
    <x v="2"/>
    <n v="70323"/>
    <s v="08-12-2022"/>
    <x v="4"/>
    <n v="24"/>
    <n v="4"/>
    <s v="No"/>
    <x v="1"/>
    <s v="ravi.sharma1928@company.com"/>
    <s v="Valid"/>
    <n v="9077055583"/>
    <s v="Valid"/>
    <x v="4"/>
  </r>
  <r>
    <x v="926"/>
    <s v="Anil"/>
    <s v="Reddy"/>
    <x v="1"/>
    <n v="56"/>
    <x v="0"/>
    <x v="4"/>
    <x v="2"/>
    <n v="40926"/>
    <s v="14-10-2023"/>
    <x v="0"/>
    <n v="18"/>
    <n v="1"/>
    <s v="Yes"/>
    <x v="1"/>
    <s v="anil.reddy1929@company.com"/>
    <s v="Valid"/>
    <n v="9039283627"/>
    <s v="Valid"/>
    <x v="2"/>
  </r>
  <r>
    <x v="927"/>
    <s v="Kiran"/>
    <s v="Sharma"/>
    <x v="1"/>
    <n v="48"/>
    <x v="2"/>
    <x v="3"/>
    <x v="4"/>
    <n v="58603"/>
    <s v="01-10-2018"/>
    <x v="2"/>
    <n v="3"/>
    <n v="2"/>
    <s v="No"/>
    <x v="0"/>
    <s v="kiran.sharma1930@company.com"/>
    <s v="Valid"/>
    <n v="9401384849"/>
    <s v="Valid"/>
    <x v="0"/>
  </r>
  <r>
    <x v="928"/>
    <s v="Arun"/>
    <s v="Singh"/>
    <x v="1"/>
    <n v="50"/>
    <x v="2"/>
    <x v="4"/>
    <x v="0"/>
    <n v="31095"/>
    <s v="01-07-2018"/>
    <x v="0"/>
    <n v="17"/>
    <n v="1"/>
    <s v="Yes"/>
    <x v="1"/>
    <s v="arun.singh1931@company.com"/>
    <s v="Valid"/>
    <n v="9706434012"/>
    <s v="Valid"/>
    <x v="2"/>
  </r>
  <r>
    <x v="929"/>
    <s v="Priya"/>
    <s v="Patel"/>
    <x v="0"/>
    <n v="28"/>
    <x v="4"/>
    <x v="1"/>
    <x v="3"/>
    <n v="35890"/>
    <s v="31-03-2019"/>
    <x v="2"/>
    <n v="12"/>
    <n v="1"/>
    <s v="No"/>
    <x v="0"/>
    <s v="priya.patel1932@company.com"/>
    <s v="Valid"/>
    <n v="9577887500"/>
    <s v="Valid"/>
    <x v="1"/>
  </r>
  <r>
    <x v="930"/>
    <s v="Meena"/>
    <s v="Kumar"/>
    <x v="0"/>
    <n v="25"/>
    <x v="4"/>
    <x v="0"/>
    <x v="3"/>
    <n v="113603"/>
    <s v="03-06-2021"/>
    <x v="1"/>
    <n v="4"/>
    <n v="3"/>
    <s v="No"/>
    <x v="1"/>
    <s v="Missing email"/>
    <s v="Invalid"/>
    <n v="9659091211"/>
    <s v="Valid"/>
    <x v="1"/>
  </r>
  <r>
    <x v="931"/>
    <s v="Ravi"/>
    <s v="Kumar"/>
    <x v="1"/>
    <n v="54"/>
    <x v="1"/>
    <x v="2"/>
    <x v="1"/>
    <n v="106748"/>
    <s v="14-03-2021"/>
    <x v="2"/>
    <n v="0"/>
    <n v="2"/>
    <s v="Yes"/>
    <x v="1"/>
    <s v="ravi.kumar1934@company.com"/>
    <s v="Valid"/>
    <n v="9895820301"/>
    <s v="Valid"/>
    <x v="2"/>
  </r>
  <r>
    <x v="932"/>
    <s v="Meena"/>
    <s v="Reddy"/>
    <x v="1"/>
    <n v="33"/>
    <x v="3"/>
    <x v="4"/>
    <x v="4"/>
    <n v="58742"/>
    <s v="23-06-2019"/>
    <x v="4"/>
    <n v="9"/>
    <n v="2"/>
    <s v="No"/>
    <x v="0"/>
    <s v="meena.reddy1935@company.com"/>
    <s v="Valid"/>
    <n v="9786234742"/>
    <s v="Valid"/>
    <x v="5"/>
  </r>
  <r>
    <x v="933"/>
    <s v="Meena"/>
    <s v="Singh"/>
    <x v="1"/>
    <n v="58"/>
    <x v="0"/>
    <x v="1"/>
    <x v="2"/>
    <n v="44953"/>
    <s v="27-01-2018"/>
    <x v="2"/>
    <n v="16"/>
    <n v="4"/>
    <s v="Yes"/>
    <x v="1"/>
    <s v="meena.singh1936@company.com"/>
    <s v="Valid"/>
    <n v="9189849669"/>
    <s v="Valid"/>
    <x v="2"/>
  </r>
  <r>
    <x v="934"/>
    <s v="Kiran"/>
    <s v="Kumar"/>
    <x v="0"/>
    <n v="49"/>
    <x v="2"/>
    <x v="1"/>
    <x v="2"/>
    <n v="30331"/>
    <s v="13-07-2019"/>
    <x v="3"/>
    <n v="18"/>
    <n v="1"/>
    <s v="Yes"/>
    <x v="0"/>
    <s v="kiran.kumar1937@company.com"/>
    <s v="Valid"/>
    <n v="9774248622"/>
    <s v="Valid"/>
    <x v="0"/>
  </r>
  <r>
    <x v="935"/>
    <s v="Kiran"/>
    <s v="Singh"/>
    <x v="1"/>
    <n v="25"/>
    <x v="3"/>
    <x v="3"/>
    <x v="1"/>
    <n v="115693"/>
    <s v="21-07-2022"/>
    <x v="3"/>
    <n v="9"/>
    <n v="4"/>
    <s v="No"/>
    <x v="1"/>
    <s v="kiran.singh1938@company.com"/>
    <s v="Valid"/>
    <n v="9399390301"/>
    <s v="Valid"/>
    <x v="1"/>
  </r>
  <r>
    <x v="936"/>
    <s v="Arun"/>
    <s v="Patel"/>
    <x v="1"/>
    <n v="56"/>
    <x v="0"/>
    <x v="2"/>
    <x v="3"/>
    <n v="74714"/>
    <s v="25-08-2023"/>
    <x v="4"/>
    <n v="6"/>
    <n v="4"/>
    <s v="No"/>
    <x v="0"/>
    <s v="arun.patel1939@company.com"/>
    <s v="Valid"/>
    <n v="9673661910"/>
    <s v="Valid"/>
    <x v="2"/>
  </r>
  <r>
    <x v="937"/>
    <s v="Sneha"/>
    <s v="Reddy"/>
    <x v="0"/>
    <n v="25"/>
    <x v="0"/>
    <x v="4"/>
    <x v="3"/>
    <n v="38440"/>
    <s v="25-04-2024"/>
    <x v="1"/>
    <n v="7"/>
    <n v="2"/>
    <s v="Yes"/>
    <x v="1"/>
    <s v="sneha.reddy1940@company.com"/>
    <s v="Valid"/>
    <n v="9297915911"/>
    <s v="Valid"/>
    <x v="1"/>
  </r>
  <r>
    <x v="938"/>
    <s v="Meena"/>
    <s v="Patel"/>
    <x v="0"/>
    <n v="35"/>
    <x v="1"/>
    <x v="4"/>
    <x v="3"/>
    <n v="45288"/>
    <s v="01-02-2020"/>
    <x v="2"/>
    <n v="15"/>
    <n v="3"/>
    <s v="No"/>
    <x v="1"/>
    <s v="meena.patel1941@company.com"/>
    <s v="Valid"/>
    <n v="9798496564"/>
    <s v="Valid"/>
    <x v="4"/>
  </r>
  <r>
    <x v="939"/>
    <s v="Arun"/>
    <s v="Patel"/>
    <x v="1"/>
    <n v="26"/>
    <x v="0"/>
    <x v="2"/>
    <x v="2"/>
    <n v="42311"/>
    <s v="24-07-2019"/>
    <x v="4"/>
    <n v="8"/>
    <n v="1"/>
    <s v="No"/>
    <x v="0"/>
    <s v="arun.patel1942@company.com"/>
    <s v="Valid"/>
    <n v="9933495069"/>
    <s v="Valid"/>
    <x v="1"/>
  </r>
  <r>
    <x v="940"/>
    <s v="Ravi"/>
    <s v="Reddy"/>
    <x v="1"/>
    <n v="43"/>
    <x v="2"/>
    <x v="3"/>
    <x v="4"/>
    <n v="116311"/>
    <s v="23-01-2025"/>
    <x v="0"/>
    <n v="10"/>
    <n v="3"/>
    <s v="Yes"/>
    <x v="0"/>
    <s v="ravi.reddy1943@company.com"/>
    <s v="Valid"/>
    <n v="9520772757"/>
    <s v="Valid"/>
    <x v="0"/>
  </r>
  <r>
    <x v="941"/>
    <s v="Divya"/>
    <s v="Sharma"/>
    <x v="0"/>
    <n v="31"/>
    <x v="0"/>
    <x v="2"/>
    <x v="4"/>
    <n v="70909"/>
    <s v="20-12-2021"/>
    <x v="2"/>
    <n v="10"/>
    <n v="1"/>
    <s v="Yes"/>
    <x v="1"/>
    <s v="divya.sharma1944@company.com"/>
    <s v="Valid"/>
    <n v="9790847862"/>
    <s v="Valid"/>
    <x v="5"/>
  </r>
  <r>
    <x v="942"/>
    <s v="Divya"/>
    <s v="Sharma"/>
    <x v="0"/>
    <n v="50"/>
    <x v="0"/>
    <x v="4"/>
    <x v="2"/>
    <n v="116750"/>
    <s v="06-07-2019"/>
    <x v="2"/>
    <n v="13"/>
    <n v="4"/>
    <s v="No"/>
    <x v="1"/>
    <s v="divya.sharma1945@company.com"/>
    <s v="Valid"/>
    <n v="9709129125"/>
    <s v="Valid"/>
    <x v="2"/>
  </r>
  <r>
    <x v="943"/>
    <s v="Rahul"/>
    <s v="Patel"/>
    <x v="0"/>
    <n v="56"/>
    <x v="2"/>
    <x v="3"/>
    <x v="4"/>
    <n v="31412"/>
    <s v="15-11-2021"/>
    <x v="2"/>
    <n v="5"/>
    <n v="1"/>
    <s v="Yes"/>
    <x v="0"/>
    <s v="rahul.patel1946@company.com"/>
    <s v="Valid"/>
    <n v="9120407474"/>
    <s v="Valid"/>
    <x v="2"/>
  </r>
  <r>
    <x v="944"/>
    <s v="Divya"/>
    <s v="Patel"/>
    <x v="0"/>
    <n v="23"/>
    <x v="0"/>
    <x v="1"/>
    <x v="1"/>
    <n v="108736"/>
    <s v="11-01-2025"/>
    <x v="1"/>
    <n v="12"/>
    <n v="5"/>
    <s v="Yes"/>
    <x v="0"/>
    <s v="divya.patel1947@company.com"/>
    <s v="Valid"/>
    <n v="9994500645"/>
    <s v="Valid"/>
    <x v="3"/>
  </r>
  <r>
    <x v="945"/>
    <s v="Rahul"/>
    <s v="Singh"/>
    <x v="1"/>
    <n v="37"/>
    <x v="3"/>
    <x v="0"/>
    <x v="4"/>
    <n v="56876"/>
    <s v="16-01-2018"/>
    <x v="0"/>
    <n v="3"/>
    <n v="3"/>
    <s v="No"/>
    <x v="1"/>
    <s v="rahul.singh1948@company.com"/>
    <s v="Valid"/>
    <n v="9921431810"/>
    <s v="Valid"/>
    <x v="4"/>
  </r>
  <r>
    <x v="946"/>
    <s v="Divya"/>
    <s v="Kumar"/>
    <x v="0"/>
    <n v="44"/>
    <x v="0"/>
    <x v="3"/>
    <x v="1"/>
    <n v="34182"/>
    <s v="02-01-2018"/>
    <x v="0"/>
    <n v="6"/>
    <n v="5"/>
    <s v="Yes"/>
    <x v="0"/>
    <s v="divya.kumar1949@company.com"/>
    <s v="Valid"/>
    <n v="9002024008"/>
    <s v="Valid"/>
    <x v="0"/>
  </r>
  <r>
    <x v="947"/>
    <s v="Meena"/>
    <s v="Kumar"/>
    <x v="0"/>
    <n v="23"/>
    <x v="0"/>
    <x v="1"/>
    <x v="4"/>
    <n v="79721"/>
    <s v="29-03-2024"/>
    <x v="0"/>
    <n v="9"/>
    <n v="3"/>
    <s v="Yes"/>
    <x v="1"/>
    <s v="meena.kumar1950@company.com"/>
    <s v="Valid"/>
    <n v="9051189334"/>
    <s v="Valid"/>
    <x v="3"/>
  </r>
  <r>
    <x v="948"/>
    <s v="Kiran"/>
    <s v="Reddy"/>
    <x v="1"/>
    <n v="46"/>
    <x v="2"/>
    <x v="2"/>
    <x v="4"/>
    <n v="118273"/>
    <s v="16-08-2021"/>
    <x v="1"/>
    <n v="7"/>
    <n v="5"/>
    <s v="No"/>
    <x v="1"/>
    <s v="kiran.reddy1951@company.com"/>
    <s v="Valid"/>
    <n v="9421957644"/>
    <s v="Valid"/>
    <x v="0"/>
  </r>
  <r>
    <x v="949"/>
    <s v="John"/>
    <s v="Reddy"/>
    <x v="1"/>
    <n v="30"/>
    <x v="4"/>
    <x v="1"/>
    <x v="3"/>
    <n v="54433"/>
    <s v="24-04-2022"/>
    <x v="3"/>
    <n v="12"/>
    <n v="5"/>
    <s v="No"/>
    <x v="0"/>
    <s v="john.reddy1952@company.com"/>
    <s v="Valid"/>
    <n v="9375148478"/>
    <s v="Valid"/>
    <x v="5"/>
  </r>
  <r>
    <x v="950"/>
    <s v="John"/>
    <s v="Kumar"/>
    <x v="1"/>
    <n v="32"/>
    <x v="3"/>
    <x v="1"/>
    <x v="4"/>
    <n v="63272"/>
    <s v="08-06-2021"/>
    <x v="1"/>
    <n v="23"/>
    <n v="1"/>
    <s v="No"/>
    <x v="0"/>
    <s v="john.kumar1953@company.com"/>
    <s v="Valid"/>
    <n v="9371002420"/>
    <s v="Valid"/>
    <x v="5"/>
  </r>
  <r>
    <x v="951"/>
    <s v="Rahul"/>
    <s v="Singh"/>
    <x v="0"/>
    <n v="57"/>
    <x v="4"/>
    <x v="3"/>
    <x v="4"/>
    <n v="81866"/>
    <s v="14-04-2020"/>
    <x v="4"/>
    <n v="2"/>
    <n v="5"/>
    <s v="No"/>
    <x v="1"/>
    <s v="rahul.singh1954company.com"/>
    <s v="Invalid"/>
    <n v="9901974256"/>
    <s v="Valid"/>
    <x v="2"/>
  </r>
  <r>
    <x v="952"/>
    <s v="Priya"/>
    <s v="Kumar"/>
    <x v="1"/>
    <n v="52"/>
    <x v="0"/>
    <x v="3"/>
    <x v="0"/>
    <n v="65253"/>
    <s v="24-05-2018"/>
    <x v="1"/>
    <n v="19"/>
    <n v="4"/>
    <s v="No"/>
    <x v="1"/>
    <s v="priya.kumar1955@company.com"/>
    <s v="Valid"/>
    <n v="9156797869"/>
    <s v="Valid"/>
    <x v="2"/>
  </r>
  <r>
    <x v="953"/>
    <s v="Meena"/>
    <s v="Singh"/>
    <x v="0"/>
    <n v="47"/>
    <x v="0"/>
    <x v="1"/>
    <x v="2"/>
    <n v="86435"/>
    <s v="20-06-2021"/>
    <x v="0"/>
    <n v="6"/>
    <n v="5"/>
    <s v="Yes"/>
    <x v="0"/>
    <s v="meena.singh1956@company.com"/>
    <s v="Valid"/>
    <n v="9343810995"/>
    <s v="Valid"/>
    <x v="0"/>
  </r>
  <r>
    <x v="954"/>
    <s v="Meena"/>
    <s v="Patel"/>
    <x v="0"/>
    <n v="49"/>
    <x v="2"/>
    <x v="4"/>
    <x v="1"/>
    <n v="70368"/>
    <s v="03-03-2022"/>
    <x v="0"/>
    <n v="7"/>
    <n v="3"/>
    <s v="No"/>
    <x v="1"/>
    <s v="meena.patel1957@company.com"/>
    <s v="Valid"/>
    <n v="9044668470"/>
    <s v="Valid"/>
    <x v="0"/>
  </r>
  <r>
    <x v="955"/>
    <s v="Divya"/>
    <s v="Reddy"/>
    <x v="1"/>
    <n v="36"/>
    <x v="4"/>
    <x v="3"/>
    <x v="0"/>
    <n v="118438"/>
    <s v="26-07-2021"/>
    <x v="3"/>
    <n v="14"/>
    <n v="3"/>
    <s v="Yes"/>
    <x v="1"/>
    <s v="divya.reddy1958@company.com"/>
    <s v="Valid"/>
    <n v="9236008810"/>
    <s v="Valid"/>
    <x v="4"/>
  </r>
  <r>
    <x v="956"/>
    <s v="Priya"/>
    <s v="Kumar"/>
    <x v="0"/>
    <n v="44"/>
    <x v="1"/>
    <x v="2"/>
    <x v="1"/>
    <n v="55491"/>
    <s v="13-07-2023"/>
    <x v="3"/>
    <n v="18"/>
    <n v="4"/>
    <s v="No"/>
    <x v="0"/>
    <s v="priya.kumar1959@company.com"/>
    <s v="Valid"/>
    <n v="9026273982"/>
    <s v="Valid"/>
    <x v="0"/>
  </r>
  <r>
    <x v="957"/>
    <s v="Arun"/>
    <s v="Sharma"/>
    <x v="0"/>
    <n v="54"/>
    <x v="2"/>
    <x v="2"/>
    <x v="2"/>
    <n v="101529"/>
    <s v="09-12-2019"/>
    <x v="0"/>
    <n v="22"/>
    <n v="1"/>
    <s v="No"/>
    <x v="0"/>
    <s v="arun.sharma1960@company.com"/>
    <s v="Valid"/>
    <n v="9566751167"/>
    <s v="Valid"/>
    <x v="2"/>
  </r>
  <r>
    <x v="958"/>
    <s v="Priya"/>
    <s v="Kumar"/>
    <x v="0"/>
    <n v="52"/>
    <x v="2"/>
    <x v="0"/>
    <x v="1"/>
    <n v="95940"/>
    <s v="22-06-2018"/>
    <x v="2"/>
    <n v="10"/>
    <n v="1"/>
    <s v="No"/>
    <x v="1"/>
    <s v="priya.kumar1961@company.com"/>
    <s v="Valid"/>
    <n v="9112749161"/>
    <s v="Valid"/>
    <x v="2"/>
  </r>
  <r>
    <x v="959"/>
    <s v="Kiran"/>
    <s v="Patel"/>
    <x v="1"/>
    <n v="29"/>
    <x v="0"/>
    <x v="1"/>
    <x v="4"/>
    <n v="32621"/>
    <s v="18-09-2020"/>
    <x v="1"/>
    <n v="18"/>
    <n v="5"/>
    <s v="Yes"/>
    <x v="1"/>
    <s v="Missing email"/>
    <s v="Invalid"/>
    <n v="9085021609"/>
    <s v="Valid"/>
    <x v="1"/>
  </r>
  <r>
    <x v="960"/>
    <s v="Meena"/>
    <s v="Patel"/>
    <x v="0"/>
    <n v="29"/>
    <x v="0"/>
    <x v="2"/>
    <x v="1"/>
    <n v="81017"/>
    <s v="01-09-2024"/>
    <x v="2"/>
    <n v="11"/>
    <n v="2"/>
    <s v="Yes"/>
    <x v="0"/>
    <s v="meena.patel1963@company.com"/>
    <s v="Valid"/>
    <n v="9546665410"/>
    <s v="Valid"/>
    <x v="1"/>
  </r>
  <r>
    <x v="961"/>
    <s v="Anil"/>
    <s v="Reddy"/>
    <x v="0"/>
    <n v="46"/>
    <x v="2"/>
    <x v="3"/>
    <x v="3"/>
    <n v="80874"/>
    <s v="01-05-2020"/>
    <x v="1"/>
    <n v="17"/>
    <n v="3"/>
    <s v="No"/>
    <x v="1"/>
    <s v="anil.reddy1964@company.com"/>
    <s v="Valid"/>
    <n v="9489475833"/>
    <s v="Valid"/>
    <x v="0"/>
  </r>
  <r>
    <x v="962"/>
    <s v="Ravi"/>
    <s v="Singh"/>
    <x v="1"/>
    <n v="26"/>
    <x v="4"/>
    <x v="1"/>
    <x v="1"/>
    <n v="73397"/>
    <s v="07-11-2019"/>
    <x v="2"/>
    <n v="12"/>
    <n v="1"/>
    <s v="No"/>
    <x v="1"/>
    <s v="ravi.singh1965@company.com"/>
    <s v="Valid"/>
    <n v="91938484"/>
    <s v="Invalid"/>
    <x v="1"/>
  </r>
  <r>
    <x v="963"/>
    <s v="Anil"/>
    <s v="Patel"/>
    <x v="0"/>
    <n v="28"/>
    <x v="4"/>
    <x v="1"/>
    <x v="4"/>
    <n v="109945"/>
    <s v="27-08-2024"/>
    <x v="1"/>
    <n v="2"/>
    <n v="2"/>
    <s v="Yes"/>
    <x v="1"/>
    <s v="anil.patel1966@company.com"/>
    <s v="Valid"/>
    <n v="9662901425"/>
    <s v="Valid"/>
    <x v="1"/>
  </r>
  <r>
    <x v="964"/>
    <s v="Rahul"/>
    <s v="Reddy"/>
    <x v="0"/>
    <n v="53"/>
    <x v="1"/>
    <x v="3"/>
    <x v="4"/>
    <n v="85784"/>
    <s v="11-08-2020"/>
    <x v="0"/>
    <n v="6"/>
    <n v="4"/>
    <s v="Yes"/>
    <x v="1"/>
    <s v="rahul.reddy1967@company.com"/>
    <s v="Valid"/>
    <n v="9962095493"/>
    <s v="Valid"/>
    <x v="2"/>
  </r>
  <r>
    <x v="965"/>
    <s v="Divya"/>
    <s v="Kumar"/>
    <x v="1"/>
    <n v="41"/>
    <x v="3"/>
    <x v="4"/>
    <x v="4"/>
    <n v="61903"/>
    <s v="20-09-2019"/>
    <x v="2"/>
    <n v="8"/>
    <n v="1"/>
    <s v="Yes"/>
    <x v="0"/>
    <s v="divya.kumar1968@company.com"/>
    <s v="Valid"/>
    <n v="9574786121"/>
    <s v="Valid"/>
    <x v="0"/>
  </r>
  <r>
    <x v="966"/>
    <s v="Arun"/>
    <s v="Singh"/>
    <x v="1"/>
    <n v="51"/>
    <x v="0"/>
    <x v="1"/>
    <x v="4"/>
    <n v="65361"/>
    <s v="27-02-2023"/>
    <x v="2"/>
    <n v="19"/>
    <n v="5"/>
    <s v="No"/>
    <x v="0"/>
    <s v="arun.singh1969@company.com"/>
    <s v="Valid"/>
    <n v="9605268855"/>
    <s v="Valid"/>
    <x v="2"/>
  </r>
  <r>
    <x v="967"/>
    <s v="Meena"/>
    <s v="Reddy"/>
    <x v="0"/>
    <n v="57"/>
    <x v="4"/>
    <x v="3"/>
    <x v="2"/>
    <n v="27358"/>
    <s v="06-02-2020"/>
    <x v="4"/>
    <n v="1"/>
    <n v="3"/>
    <s v="No"/>
    <x v="0"/>
    <s v="meena.reddy1970@company.com"/>
    <s v="Valid"/>
    <n v="9395682865"/>
    <s v="Valid"/>
    <x v="2"/>
  </r>
  <r>
    <x v="968"/>
    <s v="John"/>
    <s v="Singh"/>
    <x v="1"/>
    <n v="54"/>
    <x v="3"/>
    <x v="2"/>
    <x v="3"/>
    <n v="107107"/>
    <s v="13-05-2020"/>
    <x v="0"/>
    <n v="11"/>
    <n v="1"/>
    <s v="No"/>
    <x v="0"/>
    <s v="john.singh1971@company.com"/>
    <s v="Valid"/>
    <n v="9050593989"/>
    <s v="Valid"/>
    <x v="2"/>
  </r>
  <r>
    <x v="969"/>
    <s v="Rahul"/>
    <s v="Kumar"/>
    <x v="0"/>
    <n v="41"/>
    <x v="4"/>
    <x v="4"/>
    <x v="3"/>
    <n v="81249"/>
    <s v="06-08-2024"/>
    <x v="4"/>
    <n v="10"/>
    <n v="3"/>
    <s v="No"/>
    <x v="0"/>
    <s v="rahul.kumar1972@company.com"/>
    <s v="Valid"/>
    <n v="9372651542"/>
    <s v="Valid"/>
    <x v="0"/>
  </r>
  <r>
    <x v="970"/>
    <s v="Rahul"/>
    <s v="Patel"/>
    <x v="0"/>
    <n v="48"/>
    <x v="3"/>
    <x v="1"/>
    <x v="0"/>
    <n v="116233"/>
    <s v="11-02-2023"/>
    <x v="1"/>
    <n v="1"/>
    <n v="3"/>
    <s v="No"/>
    <x v="0"/>
    <s v="rahul.patel1973@company.com"/>
    <s v="Valid"/>
    <n v="9434654464"/>
    <s v="Valid"/>
    <x v="0"/>
  </r>
  <r>
    <x v="971"/>
    <s v="John"/>
    <s v="Patel"/>
    <x v="0"/>
    <n v="34"/>
    <x v="4"/>
    <x v="3"/>
    <x v="4"/>
    <n v="45787"/>
    <s v="25-08-2020"/>
    <x v="3"/>
    <n v="14"/>
    <n v="1"/>
    <s v="No"/>
    <x v="0"/>
    <s v="john.patel1974@company.com"/>
    <s v="Valid"/>
    <n v="9291433484"/>
    <s v="Valid"/>
    <x v="5"/>
  </r>
  <r>
    <x v="972"/>
    <s v="Rahul"/>
    <s v="Sharma"/>
    <x v="1"/>
    <n v="35"/>
    <x v="1"/>
    <x v="3"/>
    <x v="0"/>
    <n v="64238"/>
    <s v="23-01-2023"/>
    <x v="2"/>
    <n v="21"/>
    <n v="2"/>
    <s v="Yes"/>
    <x v="1"/>
    <s v="Missing email"/>
    <s v="Invalid"/>
    <n v="9179885255"/>
    <s v="Valid"/>
    <x v="4"/>
  </r>
  <r>
    <x v="973"/>
    <s v="Ravi"/>
    <s v="Singh"/>
    <x v="0"/>
    <n v="47"/>
    <x v="1"/>
    <x v="0"/>
    <x v="1"/>
    <n v="77228"/>
    <s v="28-03-2019"/>
    <x v="3"/>
    <n v="15"/>
    <n v="4"/>
    <s v="No"/>
    <x v="1"/>
    <s v="ravi.singh1976@company.com"/>
    <s v="Valid"/>
    <n v="9504603063"/>
    <s v="Valid"/>
    <x v="0"/>
  </r>
  <r>
    <x v="974"/>
    <s v="Anil"/>
    <s v="Reddy"/>
    <x v="0"/>
    <n v="28"/>
    <x v="4"/>
    <x v="3"/>
    <x v="3"/>
    <n v="31091"/>
    <s v="11-08-2023"/>
    <x v="2"/>
    <n v="13"/>
    <n v="4"/>
    <s v="No"/>
    <x v="0"/>
    <s v="anil.reddy1977@company.com"/>
    <s v="Valid"/>
    <n v="9804507548"/>
    <s v="Valid"/>
    <x v="1"/>
  </r>
  <r>
    <x v="975"/>
    <s v="Anil"/>
    <s v="Singh"/>
    <x v="1"/>
    <n v="30"/>
    <x v="3"/>
    <x v="4"/>
    <x v="3"/>
    <n v="106339"/>
    <s v="04-07-2021"/>
    <x v="2"/>
    <n v="22"/>
    <n v="3"/>
    <s v="No"/>
    <x v="0"/>
    <s v="anil.singh1978@company.com"/>
    <s v="Valid"/>
    <n v="9761953311"/>
    <s v="Valid"/>
    <x v="5"/>
  </r>
  <r>
    <x v="976"/>
    <s v="Divya"/>
    <s v="Patel"/>
    <x v="1"/>
    <n v="55"/>
    <x v="4"/>
    <x v="2"/>
    <x v="2"/>
    <n v="103642"/>
    <s v="15-04-2021"/>
    <x v="3"/>
    <n v="15"/>
    <n v="3"/>
    <s v="No"/>
    <x v="1"/>
    <s v="divya.patel1979@company.com"/>
    <s v="Valid"/>
    <n v="9249620312"/>
    <s v="Valid"/>
    <x v="2"/>
  </r>
  <r>
    <x v="977"/>
    <s v="John"/>
    <s v="Kumar"/>
    <x v="1"/>
    <n v="43"/>
    <x v="4"/>
    <x v="4"/>
    <x v="0"/>
    <n v="62324"/>
    <s v="26-07-2023"/>
    <x v="0"/>
    <n v="4"/>
    <n v="4"/>
    <s v="No"/>
    <x v="0"/>
    <s v="john.kumar1980@company.com"/>
    <s v="Valid"/>
    <n v="9526433038"/>
    <s v="Valid"/>
    <x v="0"/>
  </r>
  <r>
    <x v="978"/>
    <s v="Arun"/>
    <s v="Reddy"/>
    <x v="1"/>
    <n v="58"/>
    <x v="1"/>
    <x v="1"/>
    <x v="2"/>
    <n v="111108"/>
    <s v="08-11-2021"/>
    <x v="4"/>
    <n v="14"/>
    <n v="5"/>
    <s v="No"/>
    <x v="1"/>
    <s v="arun.reddy1981@company.com"/>
    <s v="Valid"/>
    <n v="9547804176"/>
    <s v="Valid"/>
    <x v="2"/>
  </r>
  <r>
    <x v="979"/>
    <s v="Priya"/>
    <s v="Singh"/>
    <x v="0"/>
    <n v="38"/>
    <x v="3"/>
    <x v="3"/>
    <x v="2"/>
    <n v="36241"/>
    <s v="15-12-2020"/>
    <x v="0"/>
    <n v="6"/>
    <n v="4"/>
    <s v="No"/>
    <x v="0"/>
    <s v="priya.singh1982@company.com"/>
    <s v="Valid"/>
    <n v="9732486587"/>
    <s v="Valid"/>
    <x v="4"/>
  </r>
  <r>
    <x v="980"/>
    <s v="Kiran"/>
    <s v="Singh"/>
    <x v="1"/>
    <n v="23"/>
    <x v="0"/>
    <x v="0"/>
    <x v="0"/>
    <n v="66207"/>
    <s v="21-09-2020"/>
    <x v="3"/>
    <n v="22"/>
    <n v="1"/>
    <s v="Yes"/>
    <x v="0"/>
    <s v="kiran.singh1983@company.com"/>
    <s v="Valid"/>
    <n v="9869351671"/>
    <s v="Valid"/>
    <x v="3"/>
  </r>
  <r>
    <x v="981"/>
    <s v="Arun"/>
    <s v="Kumar"/>
    <x v="1"/>
    <n v="40"/>
    <x v="0"/>
    <x v="0"/>
    <x v="1"/>
    <n v="85150"/>
    <s v="06-04-2018"/>
    <x v="4"/>
    <n v="6"/>
    <n v="4"/>
    <s v="No"/>
    <x v="1"/>
    <s v="arun.kumar1984@company.com"/>
    <s v="Valid"/>
    <n v="9684390266"/>
    <s v="Valid"/>
    <x v="0"/>
  </r>
  <r>
    <x v="982"/>
    <s v="Ravi"/>
    <s v="Reddy"/>
    <x v="0"/>
    <n v="56"/>
    <x v="1"/>
    <x v="1"/>
    <x v="0"/>
    <n v="43279"/>
    <s v="09-02-2021"/>
    <x v="4"/>
    <n v="5"/>
    <n v="4"/>
    <s v="Yes"/>
    <x v="1"/>
    <s v="ravi.reddy1985@company.com"/>
    <s v="Valid"/>
    <n v="9143558446"/>
    <s v="Valid"/>
    <x v="2"/>
  </r>
  <r>
    <x v="983"/>
    <s v="Sneha"/>
    <s v="Reddy"/>
    <x v="1"/>
    <n v="57"/>
    <x v="0"/>
    <x v="4"/>
    <x v="1"/>
    <n v="52556"/>
    <s v="12-04-2019"/>
    <x v="2"/>
    <n v="22"/>
    <n v="4"/>
    <s v="No"/>
    <x v="1"/>
    <s v="sneha.reddy1986@company.com"/>
    <s v="Valid"/>
    <n v="9826613955"/>
    <s v="Valid"/>
    <x v="2"/>
  </r>
  <r>
    <x v="984"/>
    <s v="Kiran"/>
    <s v="Singh"/>
    <x v="0"/>
    <n v="37"/>
    <x v="4"/>
    <x v="2"/>
    <x v="4"/>
    <n v="87046"/>
    <s v="26-07-2020"/>
    <x v="4"/>
    <n v="11"/>
    <n v="3"/>
    <s v="No"/>
    <x v="0"/>
    <s v="kiran.singh1987@company.com"/>
    <s v="Valid"/>
    <n v="9934063117"/>
    <s v="Valid"/>
    <x v="4"/>
  </r>
  <r>
    <x v="985"/>
    <s v="Rahul"/>
    <s v="Patel"/>
    <x v="0"/>
    <n v="66"/>
    <x v="1"/>
    <x v="3"/>
    <x v="0"/>
    <n v="29028"/>
    <s v="17-10-2019"/>
    <x v="1"/>
    <n v="21"/>
    <n v="5"/>
    <s v="Yes"/>
    <x v="1"/>
    <s v="rahul.patel1988@company.com"/>
    <s v="Valid"/>
    <n v="92397159"/>
    <s v="Invalid"/>
    <x v="2"/>
  </r>
  <r>
    <x v="986"/>
    <s v="Sneha"/>
    <s v="Reddy"/>
    <x v="0"/>
    <n v="45"/>
    <x v="0"/>
    <x v="2"/>
    <x v="2"/>
    <n v="119947"/>
    <s v="16-02-2018"/>
    <x v="1"/>
    <n v="24"/>
    <n v="4"/>
    <s v="No"/>
    <x v="0"/>
    <s v="sneha.reddy1989@company.com"/>
    <s v="Valid"/>
    <n v="9731721586"/>
    <s v="Valid"/>
    <x v="0"/>
  </r>
  <r>
    <x v="987"/>
    <s v="Meena"/>
    <s v="Kumar"/>
    <x v="0"/>
    <n v="50"/>
    <x v="1"/>
    <x v="3"/>
    <x v="4"/>
    <n v="44459"/>
    <s v="25-02-2020"/>
    <x v="1"/>
    <n v="6"/>
    <n v="5"/>
    <s v="Yes"/>
    <x v="0"/>
    <s v="meena.kumar1990@company.com"/>
    <s v="Valid"/>
    <n v="98769687"/>
    <s v="Invalid"/>
    <x v="2"/>
  </r>
  <r>
    <x v="988"/>
    <s v="Arun"/>
    <s v="Sharma"/>
    <x v="1"/>
    <n v="32"/>
    <x v="0"/>
    <x v="4"/>
    <x v="3"/>
    <n v="30840"/>
    <s v="20-06-2022"/>
    <x v="1"/>
    <n v="20"/>
    <n v="2"/>
    <s v="Yes"/>
    <x v="0"/>
    <s v="arun.sharma1991@company.com"/>
    <s v="Valid"/>
    <n v="9309487443"/>
    <s v="Valid"/>
    <x v="5"/>
  </r>
  <r>
    <x v="989"/>
    <s v="Arun"/>
    <s v="Kumar"/>
    <x v="0"/>
    <n v="37"/>
    <x v="2"/>
    <x v="1"/>
    <x v="4"/>
    <n v="107975"/>
    <s v="26-04-2018"/>
    <x v="2"/>
    <n v="5"/>
    <n v="3"/>
    <s v="Yes"/>
    <x v="0"/>
    <s v="Missing email"/>
    <s v="Invalid"/>
    <n v="9995663299"/>
    <s v="Valid"/>
    <x v="4"/>
  </r>
  <r>
    <x v="990"/>
    <s v="Anil"/>
    <s v="Reddy"/>
    <x v="1"/>
    <n v="41"/>
    <x v="1"/>
    <x v="1"/>
    <x v="2"/>
    <n v="91451"/>
    <s v="25-10-2018"/>
    <x v="1"/>
    <n v="22"/>
    <n v="1"/>
    <s v="No"/>
    <x v="1"/>
    <s v="anil.reddy1993company.com"/>
    <s v="Invalid"/>
    <n v="9155590963"/>
    <s v="Valid"/>
    <x v="0"/>
  </r>
  <r>
    <x v="991"/>
    <s v="Priya"/>
    <s v="Sharma"/>
    <x v="0"/>
    <n v="30"/>
    <x v="1"/>
    <x v="2"/>
    <x v="4"/>
    <n v="53797"/>
    <s v="13-12-2022"/>
    <x v="0"/>
    <n v="5"/>
    <n v="1"/>
    <s v="No"/>
    <x v="0"/>
    <s v="priya.sharma1994@company.com"/>
    <s v="Valid"/>
    <n v="9757626725"/>
    <s v="Valid"/>
    <x v="5"/>
  </r>
  <r>
    <x v="992"/>
    <s v="Ravi"/>
    <s v="Sharma"/>
    <x v="1"/>
    <n v="24"/>
    <x v="2"/>
    <x v="2"/>
    <x v="4"/>
    <n v="104807"/>
    <s v="20-02-2023"/>
    <x v="2"/>
    <n v="20"/>
    <n v="3"/>
    <s v="Yes"/>
    <x v="1"/>
    <s v="ravi.sharma1995@company.com"/>
    <s v="Valid"/>
    <n v="9260738318"/>
    <s v="Valid"/>
    <x v="3"/>
  </r>
  <r>
    <x v="993"/>
    <s v="Divya"/>
    <s v="Kumar"/>
    <x v="1"/>
    <n v="48"/>
    <x v="2"/>
    <x v="4"/>
    <x v="0"/>
    <n v="53433"/>
    <s v="24-04-2018"/>
    <x v="1"/>
    <n v="4"/>
    <n v="2"/>
    <s v="No"/>
    <x v="1"/>
    <s v="divya.kumar1996@company.com"/>
    <s v="Valid"/>
    <n v="9410331553"/>
    <s v="Valid"/>
    <x v="0"/>
  </r>
  <r>
    <x v="994"/>
    <s v="Meena"/>
    <s v="Singh"/>
    <x v="0"/>
    <n v="33"/>
    <x v="2"/>
    <x v="0"/>
    <x v="0"/>
    <s v="Missing"/>
    <s v="01-10-2020"/>
    <x v="0"/>
    <n v="16"/>
    <n v="3"/>
    <s v="No"/>
    <x v="1"/>
    <s v="meena.singh1997@company.com"/>
    <s v="Valid"/>
    <n v="9053242653"/>
    <s v="Valid"/>
    <x v="5"/>
  </r>
  <r>
    <x v="995"/>
    <s v="Kiran"/>
    <s v="Patel"/>
    <x v="1"/>
    <n v="53"/>
    <x v="1"/>
    <x v="4"/>
    <x v="3"/>
    <n v="29035"/>
    <s v="03-05-2022"/>
    <x v="4"/>
    <n v="13"/>
    <n v="4"/>
    <s v="No"/>
    <x v="0"/>
    <s v="kiran.patel1998@company.com"/>
    <s v="Valid"/>
    <n v="94224356"/>
    <s v="Invalid"/>
    <x v="2"/>
  </r>
  <r>
    <x v="996"/>
    <s v="Anil"/>
    <s v="Patel"/>
    <x v="0"/>
    <n v="30"/>
    <x v="4"/>
    <x v="3"/>
    <x v="3"/>
    <n v="91074"/>
    <s v="27-03-2021"/>
    <x v="1"/>
    <n v="10"/>
    <n v="1"/>
    <s v="No"/>
    <x v="0"/>
    <s v="anil.patel1999@company.com"/>
    <s v="Valid"/>
    <n v="9481060234"/>
    <s v="Valid"/>
    <x v="5"/>
  </r>
  <r>
    <x v="997"/>
    <s v="Sneha"/>
    <s v="Reddy"/>
    <x v="1"/>
    <n v="37"/>
    <x v="4"/>
    <x v="3"/>
    <x v="2"/>
    <n v="49242"/>
    <s v="03-01-2024"/>
    <x v="1"/>
    <n v="21"/>
    <n v="2"/>
    <s v="No"/>
    <x v="1"/>
    <s v="sneha.reddy2000company.com"/>
    <s v="Invalid"/>
    <n v="9461715732"/>
    <s v="Valid"/>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9907049-7C87-4E80-A446-B1C96947A3C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I10" firstHeaderRow="1" firstDataRow="1" firstDataCol="1"/>
  <pivotFields count="20">
    <pivotField showAll="0"/>
    <pivotField showAll="0"/>
    <pivotField showAll="0"/>
    <pivotField showAll="0">
      <items count="3">
        <item x="0"/>
        <item x="1"/>
        <item t="default"/>
      </items>
    </pivotField>
    <pivotField dataField="1" showAll="0"/>
    <pivotField showAll="0">
      <items count="6">
        <item x="3"/>
        <item x="2"/>
        <item x="0"/>
        <item x="1"/>
        <item x="4"/>
        <item t="default"/>
      </items>
    </pivotField>
    <pivotField showAll="0"/>
    <pivotField showAll="0"/>
    <pivotField showAll="0"/>
    <pivotField showAll="0"/>
    <pivotField showAll="0">
      <items count="6">
        <item x="2"/>
        <item x="0"/>
        <item x="4"/>
        <item x="1"/>
        <item x="3"/>
        <item t="default"/>
      </items>
    </pivotField>
    <pivotField showAll="0"/>
    <pivotField showAll="0"/>
    <pivotField showAll="0"/>
    <pivotField showAll="0"/>
    <pivotField showAll="0"/>
    <pivotField showAll="0"/>
    <pivotField showAll="0"/>
    <pivotField showAll="0"/>
    <pivotField axis="axisRow" showAll="0">
      <items count="7">
        <item x="3"/>
        <item x="1"/>
        <item x="5"/>
        <item x="4"/>
        <item x="0"/>
        <item x="2"/>
        <item t="default"/>
      </items>
    </pivotField>
  </pivotFields>
  <rowFields count="1">
    <field x="19"/>
  </rowFields>
  <rowItems count="7">
    <i>
      <x/>
    </i>
    <i>
      <x v="1"/>
    </i>
    <i>
      <x v="2"/>
    </i>
    <i>
      <x v="3"/>
    </i>
    <i>
      <x v="4"/>
    </i>
    <i>
      <x v="5"/>
    </i>
    <i t="grand">
      <x/>
    </i>
  </rowItems>
  <colItems count="1">
    <i/>
  </colItems>
  <dataFields count="1">
    <dataField name="Average of Age" fld="4" subtotal="average" baseField="19" baseItem="0"/>
  </dataFields>
  <formats count="1">
    <format dxfId="789">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C76EA54-8851-4BDE-9EE8-30F683932DDC}"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D5" firstHeaderRow="1" firstDataRow="2" firstDataCol="1"/>
  <pivotFields count="20">
    <pivotField dataField="1" showAll="0"/>
    <pivotField showAll="0"/>
    <pivotField showAll="0"/>
    <pivotField showAll="0">
      <items count="3">
        <item x="0"/>
        <item x="1"/>
        <item t="default"/>
      </items>
    </pivotField>
    <pivotField showAll="0"/>
    <pivotField showAll="0">
      <items count="6">
        <item x="3"/>
        <item x="2"/>
        <item x="0"/>
        <item x="1"/>
        <item x="4"/>
        <item t="default"/>
      </items>
    </pivotField>
    <pivotField showAll="0"/>
    <pivotField showAll="0"/>
    <pivotField showAll="0"/>
    <pivotField showAll="0"/>
    <pivotField showAll="0">
      <items count="6">
        <item x="2"/>
        <item x="0"/>
        <item x="4"/>
        <item x="1"/>
        <item x="3"/>
        <item t="default"/>
      </items>
    </pivotField>
    <pivotField showAll="0"/>
    <pivotField showAll="0"/>
    <pivotField showAll="0"/>
    <pivotField axis="axisCol" showAll="0">
      <items count="3">
        <item x="0"/>
        <item x="1"/>
        <item t="default"/>
      </items>
    </pivotField>
    <pivotField showAll="0"/>
    <pivotField showAll="0"/>
    <pivotField showAll="0"/>
    <pivotField showAll="0"/>
    <pivotField showAll="0"/>
  </pivotFields>
  <rowItems count="1">
    <i/>
  </rowItems>
  <colFields count="1">
    <field x="14"/>
  </colFields>
  <colItems count="3">
    <i>
      <x/>
    </i>
    <i>
      <x v="1"/>
    </i>
    <i t="grand">
      <x/>
    </i>
  </colItems>
  <dataFields count="1">
    <dataField name="Count of EmployeeID" fld="0" subtotal="count" baseField="0" baseItem="0"/>
  </dataFields>
  <formats count="3">
    <format dxfId="792">
      <pivotArea dataOnly="0" labelOnly="1" fieldPosition="0">
        <references count="1">
          <reference field="14" count="1">
            <x v="1"/>
          </reference>
        </references>
      </pivotArea>
    </format>
    <format dxfId="791">
      <pivotArea outline="0" collapsedLevelsAreSubtotals="1" fieldPosition="0">
        <references count="1">
          <reference field="14" count="1" selected="0">
            <x v="1"/>
          </reference>
        </references>
      </pivotArea>
    </format>
    <format dxfId="790">
      <pivotArea dataOnly="0" labelOnly="1" fieldPosition="0">
        <references count="1">
          <reference field="1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7971404-4011-49F0-B7BD-1426E823DE2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0">
    <pivotField showAll="0"/>
    <pivotField showAll="0"/>
    <pivotField showAll="0"/>
    <pivotField showAll="0">
      <items count="3">
        <item x="0"/>
        <item x="1"/>
        <item t="default"/>
      </items>
    </pivotField>
    <pivotField showAll="0"/>
    <pivotField showAll="0">
      <items count="6">
        <item x="3"/>
        <item x="2"/>
        <item x="0"/>
        <item x="1"/>
        <item x="4"/>
        <item t="default"/>
      </items>
    </pivotField>
    <pivotField showAll="0"/>
    <pivotField showAll="0"/>
    <pivotField showAll="0"/>
    <pivotField showAll="0"/>
    <pivotField showAll="0">
      <items count="6">
        <item x="2"/>
        <item x="0"/>
        <item x="4"/>
        <item x="1"/>
        <item x="3"/>
        <item t="default"/>
      </items>
    </pivotField>
    <pivotField showAll="0"/>
    <pivotField dataField="1" showAll="0"/>
    <pivotField showAll="0"/>
    <pivotField showAll="0"/>
    <pivotField showAll="0"/>
    <pivotField showAll="0"/>
    <pivotField showAll="0"/>
    <pivotField showAll="0"/>
    <pivotField showAll="0"/>
  </pivotFields>
  <rowItems count="1">
    <i/>
  </rowItems>
  <colItems count="1">
    <i/>
  </colItems>
  <dataFields count="1">
    <dataField name="Average of PerformanceRating" fld="12" subtotal="average" baseField="0" baseItem="0" numFmtId="166"/>
  </dataFields>
  <formats count="1">
    <format dxfId="78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5014076-E692-44E6-A5B5-81D8FF7AC47B}" name="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20">
    <pivotField dataField="1" showAll="0"/>
    <pivotField showAll="0"/>
    <pivotField showAll="0"/>
    <pivotField axis="axisRow" showAll="0">
      <items count="3">
        <item x="0"/>
        <item x="1"/>
        <item t="default"/>
      </items>
    </pivotField>
    <pivotField showAll="0"/>
    <pivotField showAll="0">
      <items count="6">
        <item x="3"/>
        <item x="2"/>
        <item x="0"/>
        <item x="1"/>
        <item x="4"/>
        <item t="default"/>
      </items>
    </pivotField>
    <pivotField showAll="0"/>
    <pivotField showAll="0"/>
    <pivotField showAll="0"/>
    <pivotField showAll="0"/>
    <pivotField showAll="0">
      <items count="6">
        <item x="2"/>
        <item x="0"/>
        <item x="4"/>
        <item x="1"/>
        <item x="3"/>
        <item t="default"/>
      </items>
    </pivotField>
    <pivotField showAll="0"/>
    <pivotField showAll="0"/>
    <pivotField showAll="0"/>
    <pivotField showAll="0"/>
    <pivotField showAll="0"/>
    <pivotField showAll="0"/>
    <pivotField showAll="0"/>
    <pivotField showAll="0"/>
    <pivotField showAll="0"/>
  </pivotFields>
  <rowFields count="1">
    <field x="3"/>
  </rowFields>
  <rowItems count="3">
    <i>
      <x/>
    </i>
    <i>
      <x v="1"/>
    </i>
    <i t="grand">
      <x/>
    </i>
  </rowItems>
  <colItems count="1">
    <i/>
  </colItems>
  <dataFields count="1">
    <dataField name="Count of EmployeeID" fld="0" subtotal="count"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76142AB-F352-4788-A853-CAC4B582A482}" name="education by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9" firstHeaderRow="1" firstDataRow="1" firstDataCol="1" rowPageCount="1" colPageCount="1"/>
  <pivotFields count="20">
    <pivotField showAll="0"/>
    <pivotField showAll="0"/>
    <pivotField showAll="0"/>
    <pivotField showAll="0">
      <items count="3">
        <item x="0"/>
        <item x="1"/>
        <item t="default"/>
      </items>
    </pivotField>
    <pivotField showAll="0"/>
    <pivotField showAll="0">
      <items count="6">
        <item x="3"/>
        <item x="2"/>
        <item x="0"/>
        <item x="1"/>
        <item x="4"/>
        <item t="default"/>
      </items>
    </pivotField>
    <pivotField showAll="0"/>
    <pivotField showAll="0"/>
    <pivotField showAll="0"/>
    <pivotField showAll="0"/>
    <pivotField axis="axisRow" showAll="0" sortType="ascending">
      <items count="6">
        <item x="2"/>
        <item x="0"/>
        <item x="4"/>
        <item x="1"/>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axis="axisPage" dataField="1" showAll="0">
      <items count="3">
        <item x="0"/>
        <item x="1"/>
        <item t="default"/>
      </items>
    </pivotField>
    <pivotField showAll="0"/>
    <pivotField showAll="0"/>
    <pivotField showAll="0"/>
    <pivotField showAll="0"/>
    <pivotField showAll="0"/>
  </pivotFields>
  <rowFields count="1">
    <field x="10"/>
  </rowFields>
  <rowItems count="6">
    <i>
      <x v="3"/>
    </i>
    <i>
      <x v="1"/>
    </i>
    <i>
      <x v="2"/>
    </i>
    <i>
      <x v="4"/>
    </i>
    <i>
      <x/>
    </i>
    <i t="grand">
      <x/>
    </i>
  </rowItems>
  <colItems count="1">
    <i/>
  </colItems>
  <pageFields count="1">
    <pageField fld="14" item="1" hier="-1"/>
  </pageFields>
  <dataFields count="1">
    <dataField name="Count of Attrition" fld="14" subtotal="count" baseField="0" baseItem="0"/>
  </dataFields>
  <chartFormats count="3">
    <chartFormat chart="7"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1629BC6-09E8-4328-A338-6168D743FFA7}" name="Attrition by jobrol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rowPageCount="1" colPageCount="1"/>
  <pivotFields count="20">
    <pivotField showAll="0"/>
    <pivotField showAll="0"/>
    <pivotField showAll="0"/>
    <pivotField showAll="0">
      <items count="3">
        <item x="0"/>
        <item x="1"/>
        <item t="default"/>
      </items>
    </pivotField>
    <pivotField showAll="0"/>
    <pivotField showAll="0">
      <items count="6">
        <item x="3"/>
        <item x="2"/>
        <item x="0"/>
        <item x="1"/>
        <item x="4"/>
        <item t="default"/>
      </items>
    </pivotField>
    <pivotField axis="axisRow" showAll="0">
      <items count="6">
        <item x="4"/>
        <item x="1"/>
        <item x="0"/>
        <item x="2"/>
        <item x="3"/>
        <item t="default"/>
      </items>
    </pivotField>
    <pivotField showAll="0"/>
    <pivotField showAll="0"/>
    <pivotField showAll="0"/>
    <pivotField showAll="0">
      <items count="6">
        <item x="2"/>
        <item x="0"/>
        <item x="4"/>
        <item x="1"/>
        <item x="3"/>
        <item t="default"/>
      </items>
    </pivotField>
    <pivotField showAll="0"/>
    <pivotField showAll="0"/>
    <pivotField showAll="0"/>
    <pivotField axis="axisPage" dataField="1" showAll="0">
      <items count="3">
        <item x="0"/>
        <item x="1"/>
        <item t="default"/>
      </items>
    </pivotField>
    <pivotField showAll="0"/>
    <pivotField showAll="0"/>
    <pivotField showAll="0"/>
    <pivotField showAll="0"/>
    <pivotField showAll="0"/>
  </pivotFields>
  <rowFields count="1">
    <field x="6"/>
  </rowFields>
  <rowItems count="6">
    <i>
      <x/>
    </i>
    <i>
      <x v="1"/>
    </i>
    <i>
      <x v="2"/>
    </i>
    <i>
      <x v="3"/>
    </i>
    <i>
      <x v="4"/>
    </i>
    <i t="grand">
      <x/>
    </i>
  </rowItems>
  <colItems count="1">
    <i/>
  </colItems>
  <pageFields count="1">
    <pageField fld="14" item="1" hier="-1"/>
  </pageFields>
  <dataFields count="1">
    <dataField name="Count of Attrition" fld="1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477C258-2438-4F4B-8B6B-C50E03707C2B}" name="Department wise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6" firstHeaderRow="1" firstDataRow="1" firstDataCol="1"/>
  <pivotFields count="20">
    <pivotField dataField="1" showAll="0">
      <items count="9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t="default"/>
      </items>
    </pivotField>
    <pivotField showAll="0"/>
    <pivotField showAll="0"/>
    <pivotField showAll="0">
      <items count="3">
        <item x="0"/>
        <item x="1"/>
        <item t="default"/>
      </items>
    </pivotField>
    <pivotField showAll="0"/>
    <pivotField multipleItemSelectionAllowed="1" showAll="0">
      <items count="6">
        <item x="3"/>
        <item x="2"/>
        <item x="0"/>
        <item x="1"/>
        <item x="4"/>
        <item t="default"/>
      </items>
    </pivotField>
    <pivotField showAll="0"/>
    <pivotField showAll="0"/>
    <pivotField showAll="0"/>
    <pivotField showAll="0"/>
    <pivotField showAll="0">
      <items count="6">
        <item x="2"/>
        <item x="0"/>
        <item x="4"/>
        <item x="1"/>
        <item x="3"/>
        <item t="default"/>
      </items>
    </pivotField>
    <pivotField showAll="0"/>
    <pivotField showAll="0"/>
    <pivotField showAll="0"/>
    <pivotField axis="axisRow" multipleItemSelectionAllowed="1" showAll="0">
      <items count="3">
        <item x="0"/>
        <item x="1"/>
        <item t="default"/>
      </items>
    </pivotField>
    <pivotField showAll="0"/>
    <pivotField showAll="0"/>
    <pivotField showAll="0"/>
    <pivotField showAll="0"/>
    <pivotField showAll="0"/>
  </pivotFields>
  <rowFields count="1">
    <field x="14"/>
  </rowFields>
  <rowItems count="3">
    <i>
      <x/>
    </i>
    <i>
      <x v="1"/>
    </i>
    <i t="grand">
      <x/>
    </i>
  </rowItems>
  <colItems count="1">
    <i/>
  </colItems>
  <dataFields count="1">
    <dataField name="Count of EmployeeID" fld="0" subtotal="count" showDataAs="percentOfTotal" baseField="14" baseItem="0" numFmtId="10"/>
  </dataFields>
  <formats count="2">
    <format dxfId="787">
      <pivotArea outline="0" collapsedLevelsAreSubtotals="1" fieldPosition="0"/>
    </format>
    <format dxfId="786">
      <pivotArea outline="0" fieldPosition="0">
        <references count="1">
          <reference field="4294967294" count="1">
            <x v="0"/>
          </reference>
        </references>
      </pivotArea>
    </format>
  </formats>
  <chartFormats count="9">
    <chartFormat chart="13" format="3"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0" format="20" series="1">
      <pivotArea type="data" outline="0" fieldPosition="0">
        <references count="1">
          <reference field="4294967294" count="1" selected="0">
            <x v="0"/>
          </reference>
        </references>
      </pivotArea>
    </chartFormat>
    <chartFormat chart="4" format="27" series="1">
      <pivotArea type="data" outline="0" fieldPosition="0">
        <references count="1">
          <reference field="4294967294" count="1" selected="0">
            <x v="0"/>
          </reference>
        </references>
      </pivotArea>
    </chartFormat>
    <chartFormat chart="4" format="28">
      <pivotArea type="data" outline="0" fieldPosition="0">
        <references count="2">
          <reference field="4294967294" count="1" selected="0">
            <x v="0"/>
          </reference>
          <reference field="14" count="1" selected="0">
            <x v="0"/>
          </reference>
        </references>
      </pivotArea>
    </chartFormat>
    <chartFormat chart="4" format="29">
      <pivotArea type="data" outline="0" fieldPosition="0">
        <references count="2">
          <reference field="4294967294" count="1" selected="0">
            <x v="0"/>
          </reference>
          <reference field="14" count="1" selected="0">
            <x v="1"/>
          </reference>
        </references>
      </pivotArea>
    </chartFormat>
    <chartFormat chart="0" format="21">
      <pivotArea type="data" outline="0" fieldPosition="0">
        <references count="2">
          <reference field="4294967294" count="1" selected="0">
            <x v="0"/>
          </reference>
          <reference field="14" count="1" selected="0">
            <x v="0"/>
          </reference>
        </references>
      </pivotArea>
    </chartFormat>
    <chartFormat chart="0" format="22">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C3CAC70-8E7B-4A3A-B37B-59525B2BD60B}" name="Attrition by Age grou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0" firstHeaderRow="1" firstDataRow="1" firstDataCol="1"/>
  <pivotFields count="20">
    <pivotField dataField="1" showAll="0"/>
    <pivotField showAll="0"/>
    <pivotField showAll="0"/>
    <pivotField showAll="0">
      <items count="3">
        <item x="0"/>
        <item x="1"/>
        <item t="default"/>
      </items>
    </pivotField>
    <pivotField showAll="0"/>
    <pivotField showAll="0">
      <items count="6">
        <item x="3"/>
        <item x="2"/>
        <item x="0"/>
        <item x="1"/>
        <item x="4"/>
        <item t="default"/>
      </items>
    </pivotField>
    <pivotField showAll="0"/>
    <pivotField showAll="0"/>
    <pivotField showAll="0"/>
    <pivotField showAll="0"/>
    <pivotField showAll="0">
      <items count="6">
        <item x="2"/>
        <item x="0"/>
        <item x="4"/>
        <item x="1"/>
        <item x="3"/>
        <item t="default"/>
      </items>
    </pivotField>
    <pivotField showAll="0"/>
    <pivotField showAll="0"/>
    <pivotField showAll="0"/>
    <pivotField showAll="0"/>
    <pivotField showAll="0"/>
    <pivotField showAll="0"/>
    <pivotField showAll="0"/>
    <pivotField showAll="0"/>
    <pivotField axis="axisRow" showAll="0" sortType="descending">
      <items count="7">
        <item x="3"/>
        <item x="1"/>
        <item x="5"/>
        <item x="4"/>
        <item x="0"/>
        <item x="2"/>
        <item t="default"/>
      </items>
      <autoSortScope>
        <pivotArea dataOnly="0" outline="0" fieldPosition="0">
          <references count="1">
            <reference field="4294967294" count="1" selected="0">
              <x v="0"/>
            </reference>
          </references>
        </pivotArea>
      </autoSortScope>
    </pivotField>
  </pivotFields>
  <rowFields count="1">
    <field x="19"/>
  </rowFields>
  <rowItems count="7">
    <i>
      <x v="4"/>
    </i>
    <i>
      <x v="5"/>
    </i>
    <i>
      <x v="1"/>
    </i>
    <i>
      <x v="2"/>
    </i>
    <i>
      <x v="3"/>
    </i>
    <i>
      <x/>
    </i>
    <i t="grand">
      <x/>
    </i>
  </rowItems>
  <colItems count="1">
    <i/>
  </colItems>
  <dataFields count="1">
    <dataField name="Count of EmployeeID" fld="0" subtotal="count" baseField="19"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AD80206-6A03-40D4-BB85-87941940FEBE}" name="City wise Attrition "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0" firstHeaderRow="1" firstDataRow="2" firstDataCol="1"/>
  <pivotFields count="20">
    <pivotField showAll="0"/>
    <pivotField showAll="0"/>
    <pivotField showAll="0"/>
    <pivotField showAll="0">
      <items count="3">
        <item x="0"/>
        <item x="1"/>
        <item t="default"/>
      </items>
    </pivotField>
    <pivotField showAll="0"/>
    <pivotField showAll="0">
      <items count="6">
        <item x="3"/>
        <item x="2"/>
        <item x="0"/>
        <item x="1"/>
        <item x="4"/>
        <item t="default"/>
      </items>
    </pivotField>
    <pivotField showAll="0"/>
    <pivotField axis="axisRow" dataField="1" showAll="0">
      <items count="6">
        <item x="2"/>
        <item x="3"/>
        <item x="0"/>
        <item x="1"/>
        <item x="4"/>
        <item t="default"/>
      </items>
    </pivotField>
    <pivotField showAll="0"/>
    <pivotField showAll="0"/>
    <pivotField showAll="0">
      <items count="6">
        <item x="2"/>
        <item x="0"/>
        <item x="4"/>
        <item x="1"/>
        <item x="3"/>
        <item t="default"/>
      </items>
    </pivotField>
    <pivotField showAll="0"/>
    <pivotField showAll="0"/>
    <pivotField showAll="0"/>
    <pivotField axis="axisCol" showAll="0">
      <items count="3">
        <item x="0"/>
        <item x="1"/>
        <item t="default"/>
      </items>
    </pivotField>
    <pivotField showAll="0"/>
    <pivotField showAll="0"/>
    <pivotField showAll="0"/>
    <pivotField showAll="0"/>
    <pivotField showAll="0"/>
  </pivotFields>
  <rowFields count="1">
    <field x="7"/>
  </rowFields>
  <rowItems count="6">
    <i>
      <x/>
    </i>
    <i>
      <x v="1"/>
    </i>
    <i>
      <x v="2"/>
    </i>
    <i>
      <x v="3"/>
    </i>
    <i>
      <x v="4"/>
    </i>
    <i t="grand">
      <x/>
    </i>
  </rowItems>
  <colFields count="1">
    <field x="14"/>
  </colFields>
  <colItems count="3">
    <i>
      <x/>
    </i>
    <i>
      <x v="1"/>
    </i>
    <i t="grand">
      <x/>
    </i>
  </colItems>
  <dataFields count="1">
    <dataField name="Count of CITY" fld="7" subtotal="count" baseField="0" baseItem="0"/>
  </dataFields>
  <formats count="2">
    <format dxfId="785">
      <pivotArea outline="0" collapsedLevelsAreSubtotals="1" fieldPosition="0">
        <references count="1">
          <reference field="14" count="1" selected="0">
            <x v="0"/>
          </reference>
        </references>
      </pivotArea>
    </format>
    <format dxfId="784">
      <pivotArea dataOnly="0" labelOnly="1" fieldPosition="0">
        <references count="1">
          <reference field="1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086C33A-FEA3-4143-AE67-A84E10B8E24D}" sourceName="Gender">
  <pivotTables>
    <pivotTable tabId="7" name="gender"/>
    <pivotTable tabId="12" name="Attrition by Age group"/>
    <pivotTable tabId="10" name="Attrition by jobrole"/>
    <pivotTable tabId="13" name="City wise Attrition "/>
    <pivotTable tabId="11" name="Department wise attrition"/>
    <pivotTable tabId="8" name="education by attrition"/>
    <pivotTable tabId="3" name="PivotTable1"/>
    <pivotTable tabId="3" name="PivotTable2"/>
    <pivotTable tabId="6" name="PivotTable2"/>
  </pivotTables>
  <data>
    <tabular pivotCacheId="49582258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176C7644-C188-4B23-8D79-11A4B1F56B06}" sourceName="Department">
  <pivotTables>
    <pivotTable tabId="12" name="Attrition by Age group"/>
    <pivotTable tabId="10" name="Attrition by jobrole"/>
    <pivotTable tabId="13" name="City wise Attrition "/>
    <pivotTable tabId="11" name="Department wise attrition"/>
    <pivotTable tabId="8" name="education by attrition"/>
    <pivotTable tabId="7" name="gender"/>
    <pivotTable tabId="3" name="PivotTable1"/>
    <pivotTable tabId="6" name="PivotTable2"/>
    <pivotTable tabId="3" name="PivotTable2"/>
  </pivotTables>
  <data>
    <tabular pivotCacheId="495822589">
      <items count="5">
        <i x="3" s="1"/>
        <i x="2" s="1"/>
        <i x="0"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1411E2B8-3FDA-48BB-97DD-1933347C9445}" sourceName="Education">
  <pivotTables>
    <pivotTable tabId="12" name="Attrition by Age group"/>
    <pivotTable tabId="10" name="Attrition by jobrole"/>
    <pivotTable tabId="13" name="City wise Attrition "/>
    <pivotTable tabId="11" name="Department wise attrition"/>
    <pivotTable tabId="8" name="education by attrition"/>
    <pivotTable tabId="7" name="gender"/>
    <pivotTable tabId="3" name="PivotTable1"/>
    <pivotTable tabId="6" name="PivotTable2"/>
    <pivotTable tabId="3" name="PivotTable2"/>
  </pivotTables>
  <data>
    <tabular pivotCacheId="495822589">
      <items count="5">
        <i x="2" s="1"/>
        <i x="0" s="1"/>
        <i x="4"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3" xr10:uid="{BF10E7C5-B3B1-46CD-BCDB-F215643A576A}" cache="Slicer_Department1" caption="Departmen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3D980794-9AA7-4239-A0E7-FE312C408DE3}" cache="Slicer_Gender" columnCount="2" style="SlicerStyleOther1" rowHeight="241300"/>
  <slicer name="Department 2" xr10:uid="{1C8211A2-DCE1-412E-BDFA-17F9E1D02A3A}" cache="Slicer_Department1" style="SlicerStyleDark1" rowHeight="241300"/>
  <slicer name="Education 1" xr10:uid="{FE12B739-2EC2-48A5-AC48-E906F5851385}" cache="Slicer_Education" style="SlicerStyleDark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A8B1A653-315E-48FF-8E85-F7EF84BF6B6E}" cache="Slicer_Gender" caption="Gender" rowHeight="241300"/>
  <slicer name="Department" xr10:uid="{B706A426-00FE-4958-951A-4D7F9201DDCA}" cache="Slicer_Department1" caption="Department"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4" xr10:uid="{B96A47F5-58E4-4D6B-B577-CD3F45DB7E1E}" cache="Slicer_Department1" caption="Department"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DC15EB17-6C23-4E63-B585-96CEFD3966D8}" cache="Slicer_Department1" caption="Department" rowHeight="241300"/>
  <slicer name="Education" xr10:uid="{0F3D0480-75D0-4DC7-9E65-D1F6BF22F9D8}" cache="Slicer_Education" caption="Educat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2D7623A-A3FC-4D18-840A-6E5AC75B2002}" name="Table1" displayName="Table1" ref="A1:T1001" totalsRowShown="0" headerRowDxfId="783">
  <autoFilter ref="A1:T1001" xr:uid="{62D7623A-A3FC-4D18-840A-6E5AC75B2002}"/>
  <tableColumns count="20">
    <tableColumn id="1" xr3:uid="{586AFEFB-9F4A-469D-97B5-3D3F20C9054F}" name="EmployeeID"/>
    <tableColumn id="2" xr3:uid="{A00773EB-E925-44F8-B3ED-53F1AB0FC7BB}" name="FirstName"/>
    <tableColumn id="3" xr3:uid="{DA9C6731-94B7-4D8A-A7B0-A83D82F2FED0}" name="LastName"/>
    <tableColumn id="4" xr3:uid="{30CE5A02-E6DF-4FFD-BEE6-D0FC5B173AFF}" name="Gender"/>
    <tableColumn id="5" xr3:uid="{A11FAAE7-3355-4BE0-868F-019D58599B81}" name="Age"/>
    <tableColumn id="6" xr3:uid="{96B6043F-C8E7-4ED7-A430-DC38FAF97F8D}" name="Department"/>
    <tableColumn id="7" xr3:uid="{3DE02206-C57E-4025-B123-CF5791CCD230}" name="JobRole"/>
    <tableColumn id="8" xr3:uid="{6766DFE6-E649-49D6-B3B4-F0BE6A48D4B8}" name="CITY"/>
    <tableColumn id="9" xr3:uid="{BB519B71-ED61-454B-8292-1591683954BD}" name="MonthlySalary" dataDxfId="782"/>
    <tableColumn id="10" xr3:uid="{349708A8-BAE6-4376-B0EE-FCDDB3AF06E4}" name="JoiningDate" dataDxfId="781"/>
    <tableColumn id="11" xr3:uid="{A4EE86D9-8030-461A-AB2C-CD6291058BFD}" name="Education"/>
    <tableColumn id="12" xr3:uid="{C968591E-181A-4405-9EDD-7C14F15886FD}" name="ExperienceYears"/>
    <tableColumn id="13" xr3:uid="{D29043F5-EA11-4CCA-8AE5-72ABDF569DE3}" name="PerformanceRating"/>
    <tableColumn id="14" xr3:uid="{507A332E-7EB9-4C01-89A6-22DB7E2F5918}" name="OverTime"/>
    <tableColumn id="15" xr3:uid="{9F38D668-591D-4CED-98DD-1BE9528E6DB5}" name="Attrition"/>
    <tableColumn id="16" xr3:uid="{705C7702-AC87-451B-ACCD-F0E7A8369C9C}" name="Email"/>
    <tableColumn id="17" xr3:uid="{8B58746E-77A1-442D-BF4A-AECC4BB36D99}" name="Email.validation" dataDxfId="780">
      <calculatedColumnFormula>IF(AND(ISNUMBER(SEARCH("@",P2)),ISNUMBER(SEARCH(".",P2))),"Valid","Invalid")</calculatedColumnFormula>
    </tableColumn>
    <tableColumn id="18" xr3:uid="{356230D3-C0F8-4F72-94C7-542824EF6A33}" name="Phone"/>
    <tableColumn id="19" xr3:uid="{E3358C7D-000B-4572-88D1-FF66438B6237}" name="Phone validation" dataDxfId="779">
      <calculatedColumnFormula>IF(AND(ISNUMBER(R2),LEN(R2)=10),"Valid","Invalid")</calculatedColumnFormula>
    </tableColumn>
    <tableColumn id="20" xr3:uid="{C8985282-C347-44FD-8A2F-F461509862F9}" name="Age_Group" dataDxfId="778">
      <calculatedColumnFormula>IF(Table1[[#This Row],[Age]]&lt;25,"18-24",IF(Table1[[#This Row],[Age]]&lt;30,"25-29",IF(Table1[[#This Row],[Age]]&lt;35,"30-34",IF(Table1[[#This Row],[Age]]&lt;40,"35-39",IF(Table1[[#This Row],[Age]]&lt;50,"40-49","50+")))))</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2.bin"/><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F6B86-EA56-4DA1-BF27-054DCB00C557}">
  <dimension ref="A2:I12"/>
  <sheetViews>
    <sheetView workbookViewId="0">
      <selection activeCell="C4" sqref="C4:C5"/>
      <pivotSelection pane="bottomRight" showHeader="1" extendable="1" axis="axisCol" start="1" max="3" activeRow="3" activeCol="2" previousRow="3" previousCol="2" click="1" r:id="rId2">
        <pivotArea dataOnly="0" outline="0" fieldPosition="0">
          <references count="1">
            <reference field="14" count="1">
              <x v="1"/>
            </reference>
          </references>
        </pivotArea>
      </pivotSelection>
    </sheetView>
  </sheetViews>
  <sheetFormatPr defaultRowHeight="14.5" x14ac:dyDescent="0.35"/>
  <cols>
    <col min="1" max="1" width="14.54296875" bestFit="1" customWidth="1"/>
    <col min="2" max="2" width="10.90625" bestFit="1" customWidth="1"/>
    <col min="3" max="3" width="10.7265625" bestFit="1" customWidth="1"/>
    <col min="4" max="4" width="15.1796875" bestFit="1" customWidth="1"/>
    <col min="6" max="6" width="13" bestFit="1" customWidth="1"/>
    <col min="8" max="8" width="12.36328125" bestFit="1" customWidth="1"/>
    <col min="9" max="9" width="13.36328125" bestFit="1" customWidth="1"/>
    <col min="10" max="13" width="5.453125" bestFit="1" customWidth="1"/>
    <col min="14" max="14" width="3.81640625" bestFit="1" customWidth="1"/>
    <col min="15" max="15" width="10.7265625" bestFit="1" customWidth="1"/>
    <col min="16" max="1006" width="4.81640625" bestFit="1" customWidth="1"/>
    <col min="1007" max="1007" width="10.7265625" bestFit="1" customWidth="1"/>
  </cols>
  <sheetData>
    <row r="2" spans="1:9" x14ac:dyDescent="0.35">
      <c r="A2" s="7"/>
    </row>
    <row r="3" spans="1:9" x14ac:dyDescent="0.35">
      <c r="B3" s="13" t="s">
        <v>1900</v>
      </c>
      <c r="H3" s="13" t="s">
        <v>1877</v>
      </c>
      <c r="I3" t="s">
        <v>1880</v>
      </c>
    </row>
    <row r="4" spans="1:9" x14ac:dyDescent="0.35">
      <c r="B4" s="7" t="s">
        <v>23</v>
      </c>
      <c r="C4" s="7" t="s">
        <v>22</v>
      </c>
      <c r="D4" t="s">
        <v>1878</v>
      </c>
      <c r="H4" s="14" t="s">
        <v>1893</v>
      </c>
      <c r="I4" s="34">
        <v>23.119402985074625</v>
      </c>
    </row>
    <row r="5" spans="1:9" x14ac:dyDescent="0.35">
      <c r="A5" t="s">
        <v>1876</v>
      </c>
      <c r="B5" s="34">
        <v>492</v>
      </c>
      <c r="C5" s="35">
        <v>508</v>
      </c>
      <c r="D5" s="34">
        <v>1000</v>
      </c>
      <c r="H5" s="14" t="s">
        <v>1894</v>
      </c>
      <c r="I5" s="34">
        <v>26.8943661971831</v>
      </c>
    </row>
    <row r="6" spans="1:9" x14ac:dyDescent="0.35">
      <c r="H6" s="14" t="s">
        <v>1895</v>
      </c>
      <c r="I6" s="34">
        <v>31.848484848484848</v>
      </c>
    </row>
    <row r="7" spans="1:9" x14ac:dyDescent="0.35">
      <c r="A7" t="s">
        <v>1881</v>
      </c>
      <c r="B7" t="s">
        <v>1882</v>
      </c>
      <c r="C7" t="s">
        <v>1902</v>
      </c>
      <c r="D7" t="s">
        <v>1883</v>
      </c>
      <c r="F7" t="s">
        <v>1884</v>
      </c>
      <c r="H7" s="14" t="s">
        <v>1896</v>
      </c>
      <c r="I7" s="34">
        <v>37</v>
      </c>
    </row>
    <row r="8" spans="1:9" x14ac:dyDescent="0.35">
      <c r="A8" s="7">
        <f>GETPIVOTDATA("EmployeeID",$A$3)</f>
        <v>1000</v>
      </c>
      <c r="B8" s="19">
        <f>F8/A8</f>
        <v>0.50800000000000001</v>
      </c>
      <c r="C8" s="9">
        <f>F8</f>
        <v>508</v>
      </c>
      <c r="D8" s="7">
        <f>GETPIVOTDATA("EmployeeID",$A$3)-F8</f>
        <v>492</v>
      </c>
      <c r="F8" s="23">
        <f>GETPIVOTDATA("EmployeeID",$A$3)-GETPIVOTDATA("EmployeeID",$A$3,"Attrition","No")</f>
        <v>508</v>
      </c>
      <c r="H8" s="14" t="s">
        <v>1897</v>
      </c>
      <c r="I8" s="34">
        <v>44.514388489208635</v>
      </c>
    </row>
    <row r="9" spans="1:9" x14ac:dyDescent="0.35">
      <c r="H9" s="14" t="s">
        <v>1898</v>
      </c>
      <c r="I9" s="34">
        <v>54.881422924901187</v>
      </c>
    </row>
    <row r="10" spans="1:9" x14ac:dyDescent="0.35">
      <c r="H10" s="14" t="s">
        <v>1878</v>
      </c>
      <c r="I10" s="17">
        <v>40.567999999999998</v>
      </c>
    </row>
    <row r="11" spans="1:9" x14ac:dyDescent="0.35">
      <c r="C11" t="s">
        <v>1903</v>
      </c>
    </row>
    <row r="12" spans="1:9" x14ac:dyDescent="0.35">
      <c r="C12" s="17">
        <f>GETPIVOTDATA("Age",$H$3)</f>
        <v>40.567999999999998</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244B7-423B-4A99-B6B4-633C7C7A0FA9}">
  <dimension ref="B3:AD42"/>
  <sheetViews>
    <sheetView topLeftCell="A2" zoomScale="63" workbookViewId="0">
      <selection activeCell="AA27" sqref="AA27"/>
    </sheetView>
  </sheetViews>
  <sheetFormatPr defaultRowHeight="14.5" x14ac:dyDescent="0.35"/>
  <sheetData>
    <row r="3" spans="2:28" ht="15" thickBot="1" x14ac:dyDescent="0.4"/>
    <row r="4" spans="2:28" ht="15" thickTop="1" x14ac:dyDescent="0.35">
      <c r="C4" s="33"/>
      <c r="D4" s="25"/>
      <c r="E4" s="25"/>
      <c r="F4" s="25"/>
      <c r="G4" s="25"/>
      <c r="H4" s="25"/>
      <c r="I4" s="25"/>
      <c r="J4" s="25"/>
      <c r="K4" s="25"/>
      <c r="L4" s="25"/>
      <c r="M4" s="25"/>
      <c r="N4" s="25"/>
      <c r="O4" s="26"/>
      <c r="P4" s="24"/>
      <c r="Q4" s="25"/>
      <c r="R4" s="25"/>
      <c r="S4" s="25"/>
      <c r="T4" s="25"/>
      <c r="U4" s="25"/>
      <c r="V4" s="25"/>
      <c r="W4" s="25"/>
      <c r="X4" s="26"/>
    </row>
    <row r="5" spans="2:28" ht="15.5" x14ac:dyDescent="0.35">
      <c r="C5" s="27"/>
      <c r="D5" s="28"/>
      <c r="E5" s="28"/>
      <c r="F5" s="28"/>
      <c r="G5" s="28"/>
      <c r="H5" s="28"/>
      <c r="I5" s="28"/>
      <c r="J5" s="28"/>
      <c r="K5" s="28"/>
      <c r="L5" s="28"/>
      <c r="M5" s="28"/>
      <c r="N5" s="28"/>
      <c r="O5" s="29"/>
      <c r="P5" s="27"/>
      <c r="Q5" s="28"/>
      <c r="R5" s="28"/>
      <c r="S5" s="28"/>
      <c r="T5" s="28"/>
      <c r="U5" s="28"/>
      <c r="V5" s="28"/>
      <c r="W5" s="28"/>
      <c r="X5" s="29"/>
      <c r="AB5" s="21"/>
    </row>
    <row r="6" spans="2:28" x14ac:dyDescent="0.35">
      <c r="C6" s="27"/>
      <c r="D6" s="28"/>
      <c r="E6" s="28"/>
      <c r="F6" s="28"/>
      <c r="G6" s="28"/>
      <c r="H6" s="28"/>
      <c r="I6" s="28"/>
      <c r="J6" s="28"/>
      <c r="K6" s="28"/>
      <c r="L6" s="28"/>
      <c r="M6" s="28"/>
      <c r="N6" s="28"/>
      <c r="O6" s="29"/>
      <c r="P6" s="27"/>
      <c r="Q6" s="28"/>
      <c r="R6" s="28"/>
      <c r="S6" s="28"/>
      <c r="T6" s="28"/>
      <c r="U6" s="28"/>
      <c r="V6" s="28"/>
      <c r="W6" s="28"/>
      <c r="X6" s="29"/>
    </row>
    <row r="7" spans="2:28" ht="15" thickBot="1" x14ac:dyDescent="0.4">
      <c r="C7" s="30"/>
      <c r="D7" s="31"/>
      <c r="E7" s="31"/>
      <c r="F7" s="31"/>
      <c r="G7" s="31"/>
      <c r="H7" s="31"/>
      <c r="I7" s="31"/>
      <c r="J7" s="31"/>
      <c r="K7" s="31"/>
      <c r="L7" s="31"/>
      <c r="M7" s="31"/>
      <c r="N7" s="31"/>
      <c r="O7" s="32"/>
      <c r="P7" s="30"/>
      <c r="Q7" s="31"/>
      <c r="R7" s="31"/>
      <c r="S7" s="31"/>
      <c r="T7" s="31"/>
      <c r="U7" s="31"/>
      <c r="V7" s="31"/>
      <c r="W7" s="31"/>
      <c r="X7" s="32"/>
    </row>
    <row r="8" spans="2:28" ht="15.5" thickTop="1" thickBot="1" x14ac:dyDescent="0.4"/>
    <row r="9" spans="2:28" ht="15" thickTop="1" x14ac:dyDescent="0.35">
      <c r="C9" s="24"/>
      <c r="D9" s="25"/>
      <c r="E9" s="25"/>
      <c r="F9" s="26"/>
      <c r="G9" s="24"/>
      <c r="H9" s="25"/>
      <c r="I9" s="25"/>
      <c r="J9" s="26"/>
      <c r="K9" s="24"/>
      <c r="L9" s="25"/>
      <c r="M9" s="25"/>
      <c r="N9" s="26"/>
      <c r="O9" s="24"/>
      <c r="P9" s="25"/>
      <c r="Q9" s="25"/>
      <c r="R9" s="26"/>
      <c r="S9" s="24"/>
      <c r="T9" s="25"/>
      <c r="U9" s="25"/>
      <c r="V9" s="25"/>
      <c r="W9" s="25"/>
      <c r="X9" s="26"/>
    </row>
    <row r="10" spans="2:28" x14ac:dyDescent="0.35">
      <c r="C10" s="27"/>
      <c r="D10" s="28"/>
      <c r="E10" s="28"/>
      <c r="F10" s="29"/>
      <c r="G10" s="27"/>
      <c r="H10" s="28"/>
      <c r="I10" s="28"/>
      <c r="J10" s="29"/>
      <c r="K10" s="27"/>
      <c r="L10" s="28"/>
      <c r="M10" s="28"/>
      <c r="N10" s="29"/>
      <c r="O10" s="27"/>
      <c r="P10" s="28"/>
      <c r="Q10" s="28"/>
      <c r="R10" s="29"/>
      <c r="S10" s="27"/>
      <c r="T10" s="28"/>
      <c r="U10" s="28"/>
      <c r="V10" s="28"/>
      <c r="W10" s="28"/>
      <c r="X10" s="29"/>
    </row>
    <row r="11" spans="2:28" x14ac:dyDescent="0.35">
      <c r="C11" s="27"/>
      <c r="D11" s="28"/>
      <c r="E11" s="28"/>
      <c r="F11" s="29"/>
      <c r="G11" s="27"/>
      <c r="H11" s="28"/>
      <c r="I11" s="28"/>
      <c r="J11" s="29"/>
      <c r="K11" s="27"/>
      <c r="L11" s="28"/>
      <c r="M11" s="28"/>
      <c r="N11" s="29"/>
      <c r="O11" s="27"/>
      <c r="P11" s="28"/>
      <c r="Q11" s="28"/>
      <c r="R11" s="29"/>
      <c r="S11" s="27"/>
      <c r="T11" s="28"/>
      <c r="U11" s="28"/>
      <c r="V11" s="28"/>
      <c r="W11" s="28"/>
      <c r="X11" s="29"/>
    </row>
    <row r="12" spans="2:28" ht="15" thickBot="1" x14ac:dyDescent="0.4">
      <c r="C12" s="30"/>
      <c r="D12" s="31"/>
      <c r="E12" s="31"/>
      <c r="F12" s="32"/>
      <c r="G12" s="30"/>
      <c r="H12" s="31"/>
      <c r="I12" s="31"/>
      <c r="J12" s="32"/>
      <c r="K12" s="30"/>
      <c r="L12" s="31"/>
      <c r="M12" s="31"/>
      <c r="N12" s="32"/>
      <c r="O12" s="30"/>
      <c r="P12" s="31"/>
      <c r="Q12" s="31"/>
      <c r="R12" s="32"/>
      <c r="S12" s="30"/>
      <c r="T12" s="31"/>
      <c r="U12" s="31"/>
      <c r="V12" s="31"/>
      <c r="W12" s="31"/>
      <c r="X12" s="32"/>
    </row>
    <row r="13" spans="2:28" ht="15.5" thickTop="1" thickBot="1" x14ac:dyDescent="0.4"/>
    <row r="14" spans="2:28" ht="15" thickTop="1" x14ac:dyDescent="0.35">
      <c r="B14" t="s">
        <v>1889</v>
      </c>
      <c r="C14" s="24"/>
      <c r="D14" s="25"/>
      <c r="E14" s="25"/>
      <c r="F14" s="25"/>
      <c r="G14" s="25"/>
      <c r="H14" s="25"/>
      <c r="I14" s="26"/>
      <c r="J14" s="24"/>
      <c r="K14" s="25"/>
      <c r="L14" s="25"/>
      <c r="M14" s="25"/>
      <c r="N14" s="25"/>
      <c r="O14" s="25"/>
      <c r="P14" s="25"/>
      <c r="Q14" s="26"/>
      <c r="R14" s="24"/>
      <c r="S14" s="25"/>
      <c r="T14" s="25"/>
      <c r="U14" s="25"/>
      <c r="V14" s="25"/>
      <c r="W14" s="25"/>
      <c r="X14" s="26"/>
      <c r="AA14" s="15"/>
    </row>
    <row r="15" spans="2:28" x14ac:dyDescent="0.35">
      <c r="C15" s="27"/>
      <c r="D15" s="28"/>
      <c r="E15" s="28"/>
      <c r="F15" s="28"/>
      <c r="G15" s="28"/>
      <c r="H15" s="28"/>
      <c r="I15" s="29"/>
      <c r="J15" s="27"/>
      <c r="K15" s="28"/>
      <c r="L15" s="28"/>
      <c r="M15" s="28"/>
      <c r="N15" s="28"/>
      <c r="O15" s="28"/>
      <c r="P15" s="28"/>
      <c r="Q15" s="29"/>
      <c r="R15" s="27"/>
      <c r="S15" s="28"/>
      <c r="T15" s="28"/>
      <c r="U15" s="28"/>
      <c r="V15" s="28"/>
      <c r="W15" s="28"/>
      <c r="X15" s="29"/>
    </row>
    <row r="16" spans="2:28" x14ac:dyDescent="0.35">
      <c r="C16" s="27"/>
      <c r="D16" s="28"/>
      <c r="E16" s="28"/>
      <c r="F16" s="28"/>
      <c r="G16" s="28"/>
      <c r="H16" s="28"/>
      <c r="I16" s="29"/>
      <c r="J16" s="27"/>
      <c r="K16" s="28"/>
      <c r="L16" s="28"/>
      <c r="M16" s="28"/>
      <c r="N16" s="28"/>
      <c r="O16" s="28"/>
      <c r="P16" s="28"/>
      <c r="Q16" s="29"/>
      <c r="R16" s="27"/>
      <c r="S16" s="28"/>
      <c r="T16" s="28"/>
      <c r="U16" s="28"/>
      <c r="V16" s="28"/>
      <c r="W16" s="28"/>
      <c r="X16" s="29"/>
    </row>
    <row r="17" spans="3:24" x14ac:dyDescent="0.35">
      <c r="C17" s="27"/>
      <c r="D17" s="28"/>
      <c r="E17" s="28"/>
      <c r="F17" s="28"/>
      <c r="G17" s="28"/>
      <c r="H17" s="28"/>
      <c r="I17" s="29"/>
      <c r="J17" s="27"/>
      <c r="K17" s="28"/>
      <c r="L17" s="28"/>
      <c r="M17" s="28"/>
      <c r="N17" s="28"/>
      <c r="O17" s="28"/>
      <c r="P17" s="28"/>
      <c r="Q17" s="29"/>
      <c r="R17" s="27"/>
      <c r="S17" s="28"/>
      <c r="T17" s="28"/>
      <c r="U17" s="28"/>
      <c r="V17" s="28"/>
      <c r="W17" s="28"/>
      <c r="X17" s="29"/>
    </row>
    <row r="18" spans="3:24" x14ac:dyDescent="0.35">
      <c r="C18" s="27"/>
      <c r="D18" s="28"/>
      <c r="E18" s="28"/>
      <c r="F18" s="28"/>
      <c r="G18" s="28"/>
      <c r="H18" s="28"/>
      <c r="I18" s="29"/>
      <c r="J18" s="27"/>
      <c r="K18" s="28"/>
      <c r="L18" s="28"/>
      <c r="M18" s="28"/>
      <c r="N18" s="28"/>
      <c r="O18" s="28"/>
      <c r="P18" s="28"/>
      <c r="Q18" s="29"/>
      <c r="R18" s="27"/>
      <c r="S18" s="28"/>
      <c r="T18" s="28"/>
      <c r="U18" s="28"/>
      <c r="V18" s="28"/>
      <c r="W18" s="28"/>
      <c r="X18" s="29"/>
    </row>
    <row r="19" spans="3:24" x14ac:dyDescent="0.35">
      <c r="C19" s="27"/>
      <c r="D19" s="28"/>
      <c r="E19" s="28"/>
      <c r="F19" s="28"/>
      <c r="G19" s="28"/>
      <c r="H19" s="28"/>
      <c r="I19" s="29"/>
      <c r="J19" s="27"/>
      <c r="K19" s="28"/>
      <c r="L19" s="28"/>
      <c r="M19" s="28"/>
      <c r="N19" s="28"/>
      <c r="O19" s="28"/>
      <c r="P19" s="28"/>
      <c r="Q19" s="29"/>
      <c r="R19" s="27"/>
      <c r="S19" s="28"/>
      <c r="T19" s="28"/>
      <c r="U19" s="28"/>
      <c r="V19" s="28"/>
      <c r="W19" s="28"/>
      <c r="X19" s="29"/>
    </row>
    <row r="20" spans="3:24" x14ac:dyDescent="0.35">
      <c r="C20" s="27"/>
      <c r="D20" s="28"/>
      <c r="E20" s="28"/>
      <c r="F20" s="28"/>
      <c r="G20" s="28"/>
      <c r="H20" s="28"/>
      <c r="I20" s="29"/>
      <c r="J20" s="27"/>
      <c r="K20" s="28"/>
      <c r="L20" s="28"/>
      <c r="M20" s="28"/>
      <c r="N20" s="28"/>
      <c r="O20" s="28"/>
      <c r="P20" s="28"/>
      <c r="Q20" s="29"/>
      <c r="R20" s="27"/>
      <c r="S20" s="28"/>
      <c r="T20" s="28"/>
      <c r="U20" s="28"/>
      <c r="V20" s="28"/>
      <c r="W20" s="28"/>
      <c r="X20" s="29"/>
    </row>
    <row r="21" spans="3:24" x14ac:dyDescent="0.35">
      <c r="C21" s="27"/>
      <c r="D21" s="28"/>
      <c r="E21" s="28"/>
      <c r="F21" s="28"/>
      <c r="G21" s="28"/>
      <c r="H21" s="28"/>
      <c r="I21" s="29"/>
      <c r="J21" s="27"/>
      <c r="K21" s="28"/>
      <c r="L21" s="28"/>
      <c r="M21" s="28"/>
      <c r="N21" s="28"/>
      <c r="O21" s="28"/>
      <c r="P21" s="28"/>
      <c r="Q21" s="29"/>
      <c r="R21" s="27"/>
      <c r="S21" s="28"/>
      <c r="T21" s="28"/>
      <c r="U21" s="28"/>
      <c r="V21" s="28"/>
      <c r="W21" s="28"/>
      <c r="X21" s="29"/>
    </row>
    <row r="22" spans="3:24" x14ac:dyDescent="0.35">
      <c r="C22" s="27"/>
      <c r="D22" s="28"/>
      <c r="E22" s="28"/>
      <c r="F22" s="28"/>
      <c r="G22" s="28"/>
      <c r="H22" s="28"/>
      <c r="I22" s="29"/>
      <c r="J22" s="27"/>
      <c r="K22" s="28"/>
      <c r="L22" s="28"/>
      <c r="M22" s="28"/>
      <c r="N22" s="28"/>
      <c r="O22" s="28"/>
      <c r="P22" s="28"/>
      <c r="Q22" s="29"/>
      <c r="R22" s="27"/>
      <c r="S22" s="28"/>
      <c r="T22" s="28"/>
      <c r="U22" s="28"/>
      <c r="V22" s="28"/>
      <c r="W22" s="28"/>
      <c r="X22" s="29"/>
    </row>
    <row r="23" spans="3:24" x14ac:dyDescent="0.35">
      <c r="C23" s="27"/>
      <c r="D23" s="28"/>
      <c r="E23" s="28"/>
      <c r="F23" s="28"/>
      <c r="G23" s="28"/>
      <c r="H23" s="28"/>
      <c r="I23" s="29"/>
      <c r="J23" s="27"/>
      <c r="K23" s="28"/>
      <c r="L23" s="28"/>
      <c r="M23" s="28"/>
      <c r="N23" s="28"/>
      <c r="O23" s="28"/>
      <c r="P23" s="28"/>
      <c r="Q23" s="29"/>
      <c r="R23" s="27"/>
      <c r="S23" s="28"/>
      <c r="T23" s="28"/>
      <c r="U23" s="28"/>
      <c r="V23" s="28"/>
      <c r="W23" s="28"/>
      <c r="X23" s="29"/>
    </row>
    <row r="24" spans="3:24" x14ac:dyDescent="0.35">
      <c r="C24" s="27"/>
      <c r="D24" s="28"/>
      <c r="E24" s="28"/>
      <c r="F24" s="28"/>
      <c r="G24" s="28"/>
      <c r="H24" s="28"/>
      <c r="I24" s="29"/>
      <c r="J24" s="27"/>
      <c r="K24" s="28"/>
      <c r="L24" s="28"/>
      <c r="M24" s="28"/>
      <c r="N24" s="28"/>
      <c r="O24" s="28"/>
      <c r="P24" s="28"/>
      <c r="Q24" s="29"/>
      <c r="R24" s="27"/>
      <c r="S24" s="28"/>
      <c r="T24" s="28"/>
      <c r="U24" s="28"/>
      <c r="V24" s="28"/>
      <c r="W24" s="28"/>
      <c r="X24" s="29"/>
    </row>
    <row r="25" spans="3:24" x14ac:dyDescent="0.35">
      <c r="C25" s="27"/>
      <c r="D25" s="28"/>
      <c r="E25" s="28"/>
      <c r="F25" s="28"/>
      <c r="G25" s="28"/>
      <c r="H25" s="28"/>
      <c r="I25" s="29"/>
      <c r="J25" s="27"/>
      <c r="K25" s="28"/>
      <c r="L25" s="28"/>
      <c r="M25" s="28"/>
      <c r="N25" s="28"/>
      <c r="O25" s="28"/>
      <c r="P25" s="28"/>
      <c r="Q25" s="29"/>
      <c r="R25" s="27"/>
      <c r="S25" s="28"/>
      <c r="T25" s="28"/>
      <c r="U25" s="28"/>
      <c r="V25" s="28"/>
      <c r="W25" s="28"/>
      <c r="X25" s="29"/>
    </row>
    <row r="26" spans="3:24" ht="15" thickBot="1" x14ac:dyDescent="0.4">
      <c r="C26" s="30"/>
      <c r="D26" s="31"/>
      <c r="E26" s="31"/>
      <c r="F26" s="31"/>
      <c r="G26" s="31"/>
      <c r="H26" s="31"/>
      <c r="I26" s="32"/>
      <c r="J26" s="30"/>
      <c r="K26" s="31"/>
      <c r="L26" s="31"/>
      <c r="M26" s="31"/>
      <c r="N26" s="31"/>
      <c r="O26" s="31"/>
      <c r="P26" s="31"/>
      <c r="Q26" s="32"/>
      <c r="R26" s="30"/>
      <c r="S26" s="31"/>
      <c r="T26" s="31"/>
      <c r="U26" s="31"/>
      <c r="V26" s="31"/>
      <c r="W26" s="31"/>
      <c r="X26" s="32"/>
    </row>
    <row r="27" spans="3:24" ht="15.5" thickTop="1" thickBot="1" x14ac:dyDescent="0.4"/>
    <row r="28" spans="3:24" ht="15" thickTop="1" x14ac:dyDescent="0.35">
      <c r="C28" s="24"/>
      <c r="D28" s="25"/>
      <c r="E28" s="25"/>
      <c r="F28" s="25"/>
      <c r="G28" s="25"/>
      <c r="H28" s="26"/>
      <c r="I28" s="24"/>
      <c r="J28" s="25"/>
      <c r="K28" s="25"/>
      <c r="L28" s="25"/>
      <c r="M28" s="25"/>
      <c r="N28" s="26"/>
      <c r="O28" s="24"/>
      <c r="P28" s="25"/>
      <c r="Q28" s="25"/>
      <c r="R28" s="25"/>
      <c r="S28" s="26"/>
      <c r="T28" s="24"/>
      <c r="U28" s="25"/>
      <c r="V28" s="25"/>
      <c r="W28" s="25"/>
      <c r="X28" s="26"/>
    </row>
    <row r="29" spans="3:24" x14ac:dyDescent="0.35">
      <c r="C29" s="27"/>
      <c r="D29" s="28"/>
      <c r="E29" s="28"/>
      <c r="F29" s="28"/>
      <c r="G29" s="28"/>
      <c r="H29" s="29"/>
      <c r="I29" s="27"/>
      <c r="J29" s="28"/>
      <c r="K29" s="28"/>
      <c r="L29" s="28"/>
      <c r="M29" s="28"/>
      <c r="N29" s="29"/>
      <c r="O29" s="27"/>
      <c r="P29" s="28"/>
      <c r="Q29" s="28"/>
      <c r="R29" s="28"/>
      <c r="S29" s="29"/>
      <c r="T29" s="27"/>
      <c r="U29" s="28"/>
      <c r="V29" s="28"/>
      <c r="W29" s="28"/>
      <c r="X29" s="29"/>
    </row>
    <row r="30" spans="3:24" x14ac:dyDescent="0.35">
      <c r="C30" s="27"/>
      <c r="D30" s="28"/>
      <c r="E30" s="28"/>
      <c r="F30" s="28"/>
      <c r="G30" s="28"/>
      <c r="H30" s="29"/>
      <c r="I30" s="27"/>
      <c r="J30" s="28"/>
      <c r="K30" s="28"/>
      <c r="L30" s="28"/>
      <c r="M30" s="28"/>
      <c r="N30" s="29"/>
      <c r="O30" s="27"/>
      <c r="P30" s="28"/>
      <c r="Q30" s="28"/>
      <c r="R30" s="28"/>
      <c r="S30" s="29"/>
      <c r="T30" s="27"/>
      <c r="U30" s="28"/>
      <c r="V30" s="28"/>
      <c r="W30" s="28"/>
      <c r="X30" s="29"/>
    </row>
    <row r="31" spans="3:24" x14ac:dyDescent="0.35">
      <c r="C31" s="27"/>
      <c r="D31" s="28"/>
      <c r="E31" s="28"/>
      <c r="F31" s="28"/>
      <c r="G31" s="28"/>
      <c r="H31" s="29"/>
      <c r="I31" s="27"/>
      <c r="J31" s="28"/>
      <c r="K31" s="28"/>
      <c r="L31" s="28"/>
      <c r="M31" s="28"/>
      <c r="N31" s="29"/>
      <c r="O31" s="27"/>
      <c r="P31" s="28"/>
      <c r="Q31" s="28"/>
      <c r="R31" s="28"/>
      <c r="S31" s="29"/>
      <c r="T31" s="27"/>
      <c r="U31" s="28"/>
      <c r="V31" s="28"/>
      <c r="W31" s="28"/>
      <c r="X31" s="29"/>
    </row>
    <row r="32" spans="3:24" x14ac:dyDescent="0.35">
      <c r="C32" s="27"/>
      <c r="D32" s="28"/>
      <c r="E32" s="28"/>
      <c r="F32" s="28"/>
      <c r="G32" s="28"/>
      <c r="H32" s="29"/>
      <c r="I32" s="27"/>
      <c r="J32" s="28"/>
      <c r="K32" s="28"/>
      <c r="L32" s="28"/>
      <c r="M32" s="28"/>
      <c r="N32" s="29"/>
      <c r="O32" s="27"/>
      <c r="P32" s="28"/>
      <c r="Q32" s="28"/>
      <c r="R32" s="28"/>
      <c r="S32" s="29"/>
      <c r="T32" s="27"/>
      <c r="U32" s="28"/>
      <c r="V32" s="28"/>
      <c r="W32" s="28"/>
      <c r="X32" s="29"/>
    </row>
    <row r="33" spans="3:30" x14ac:dyDescent="0.35">
      <c r="C33" s="27"/>
      <c r="D33" s="28"/>
      <c r="E33" s="28"/>
      <c r="F33" s="28"/>
      <c r="G33" s="28"/>
      <c r="H33" s="29"/>
      <c r="I33" s="27"/>
      <c r="J33" s="28"/>
      <c r="K33" s="28"/>
      <c r="L33" s="28"/>
      <c r="M33" s="28"/>
      <c r="N33" s="29"/>
      <c r="O33" s="27"/>
      <c r="P33" s="28"/>
      <c r="Q33" s="28"/>
      <c r="R33" s="28"/>
      <c r="S33" s="29"/>
      <c r="T33" s="27"/>
      <c r="U33" s="28"/>
      <c r="V33" s="28"/>
      <c r="W33" s="28"/>
      <c r="X33" s="29"/>
    </row>
    <row r="34" spans="3:30" x14ac:dyDescent="0.35">
      <c r="C34" s="27"/>
      <c r="D34" s="28"/>
      <c r="E34" s="28"/>
      <c r="F34" s="28"/>
      <c r="G34" s="28"/>
      <c r="H34" s="29"/>
      <c r="I34" s="27"/>
      <c r="J34" s="28"/>
      <c r="K34" s="28"/>
      <c r="L34" s="28"/>
      <c r="M34" s="28"/>
      <c r="N34" s="29"/>
      <c r="O34" s="27"/>
      <c r="P34" s="28"/>
      <c r="Q34" s="28"/>
      <c r="R34" s="28"/>
      <c r="S34" s="29"/>
      <c r="T34" s="27"/>
      <c r="U34" s="28"/>
      <c r="V34" s="28"/>
      <c r="W34" s="28"/>
      <c r="X34" s="29"/>
      <c r="AD34" s="15"/>
    </row>
    <row r="35" spans="3:30" x14ac:dyDescent="0.35">
      <c r="C35" s="27"/>
      <c r="D35" s="28"/>
      <c r="E35" s="28"/>
      <c r="F35" s="28"/>
      <c r="G35" s="28"/>
      <c r="H35" s="29"/>
      <c r="I35" s="27"/>
      <c r="J35" s="28"/>
      <c r="K35" s="28"/>
      <c r="L35" s="28"/>
      <c r="M35" s="28"/>
      <c r="N35" s="29"/>
      <c r="O35" s="27"/>
      <c r="P35" s="28"/>
      <c r="Q35" s="28"/>
      <c r="R35" s="28"/>
      <c r="S35" s="29"/>
      <c r="T35" s="27"/>
      <c r="U35" s="28"/>
      <c r="V35" s="28"/>
      <c r="W35" s="28"/>
      <c r="X35" s="29"/>
    </row>
    <row r="36" spans="3:30" x14ac:dyDescent="0.35">
      <c r="C36" s="27"/>
      <c r="D36" s="28"/>
      <c r="E36" s="28"/>
      <c r="F36" s="28"/>
      <c r="G36" s="28"/>
      <c r="H36" s="29"/>
      <c r="I36" s="27"/>
      <c r="J36" s="28"/>
      <c r="K36" s="28"/>
      <c r="L36" s="28"/>
      <c r="M36" s="28"/>
      <c r="N36" s="29"/>
      <c r="O36" s="27"/>
      <c r="P36" s="28"/>
      <c r="Q36" s="28"/>
      <c r="R36" s="28"/>
      <c r="S36" s="29"/>
      <c r="T36" s="27"/>
      <c r="U36" s="28"/>
      <c r="V36" s="28"/>
      <c r="W36" s="28"/>
      <c r="X36" s="29"/>
    </row>
    <row r="37" spans="3:30" x14ac:dyDescent="0.35">
      <c r="C37" s="27"/>
      <c r="D37" s="28"/>
      <c r="E37" s="28"/>
      <c r="F37" s="28"/>
      <c r="G37" s="28"/>
      <c r="H37" s="29"/>
      <c r="I37" s="27"/>
      <c r="J37" s="28"/>
      <c r="K37" s="28"/>
      <c r="L37" s="28"/>
      <c r="M37" s="28"/>
      <c r="N37" s="29"/>
      <c r="O37" s="27"/>
      <c r="P37" s="28"/>
      <c r="Q37" s="28"/>
      <c r="R37" s="28"/>
      <c r="S37" s="29"/>
      <c r="T37" s="27"/>
      <c r="U37" s="28"/>
      <c r="V37" s="28"/>
      <c r="W37" s="28"/>
      <c r="X37" s="29"/>
    </row>
    <row r="38" spans="3:30" x14ac:dyDescent="0.35">
      <c r="C38" s="27"/>
      <c r="D38" s="28"/>
      <c r="E38" s="28"/>
      <c r="F38" s="28"/>
      <c r="G38" s="28"/>
      <c r="H38" s="29"/>
      <c r="I38" s="27"/>
      <c r="J38" s="28"/>
      <c r="K38" s="28"/>
      <c r="L38" s="28"/>
      <c r="M38" s="28"/>
      <c r="N38" s="29"/>
      <c r="O38" s="27"/>
      <c r="P38" s="28"/>
      <c r="Q38" s="28"/>
      <c r="R38" s="28"/>
      <c r="S38" s="29"/>
      <c r="T38" s="27"/>
      <c r="U38" s="28"/>
      <c r="V38" s="28"/>
      <c r="W38" s="28"/>
      <c r="X38" s="29"/>
    </row>
    <row r="39" spans="3:30" x14ac:dyDescent="0.35">
      <c r="C39" s="27"/>
      <c r="D39" s="28"/>
      <c r="E39" s="28"/>
      <c r="F39" s="28"/>
      <c r="G39" s="28"/>
      <c r="H39" s="29"/>
      <c r="I39" s="27"/>
      <c r="J39" s="28"/>
      <c r="K39" s="28"/>
      <c r="L39" s="28"/>
      <c r="M39" s="28"/>
      <c r="N39" s="29"/>
      <c r="O39" s="27"/>
      <c r="P39" s="28"/>
      <c r="Q39" s="28"/>
      <c r="R39" s="28"/>
      <c r="S39" s="29"/>
      <c r="T39" s="27"/>
      <c r="U39" s="28"/>
      <c r="V39" s="28"/>
      <c r="W39" s="28"/>
      <c r="X39" s="29"/>
    </row>
    <row r="40" spans="3:30" x14ac:dyDescent="0.35">
      <c r="C40" s="27"/>
      <c r="D40" s="28"/>
      <c r="E40" s="28"/>
      <c r="F40" s="28"/>
      <c r="G40" s="28"/>
      <c r="H40" s="29"/>
      <c r="I40" s="27"/>
      <c r="J40" s="28"/>
      <c r="K40" s="28"/>
      <c r="L40" s="28"/>
      <c r="M40" s="28"/>
      <c r="N40" s="29"/>
      <c r="O40" s="27"/>
      <c r="P40" s="28"/>
      <c r="Q40" s="28"/>
      <c r="R40" s="28"/>
      <c r="S40" s="29"/>
      <c r="T40" s="27"/>
      <c r="U40" s="28"/>
      <c r="V40" s="28"/>
      <c r="W40" s="28"/>
      <c r="X40" s="29"/>
    </row>
    <row r="41" spans="3:30" ht="15" thickBot="1" x14ac:dyDescent="0.4">
      <c r="C41" s="30"/>
      <c r="D41" s="31"/>
      <c r="E41" s="31"/>
      <c r="F41" s="31"/>
      <c r="G41" s="31"/>
      <c r="H41" s="32"/>
      <c r="I41" s="30"/>
      <c r="J41" s="31"/>
      <c r="K41" s="31"/>
      <c r="L41" s="31"/>
      <c r="M41" s="31"/>
      <c r="N41" s="32"/>
      <c r="O41" s="30"/>
      <c r="P41" s="31"/>
      <c r="Q41" s="31"/>
      <c r="R41" s="31"/>
      <c r="S41" s="32"/>
      <c r="T41" s="30"/>
      <c r="U41" s="31"/>
      <c r="V41" s="31"/>
      <c r="W41" s="31"/>
      <c r="X41" s="32"/>
    </row>
    <row r="42" spans="3:30" ht="15" thickTop="1" x14ac:dyDescent="0.35"/>
  </sheetData>
  <mergeCells count="14">
    <mergeCell ref="C4:O7"/>
    <mergeCell ref="P4:X7"/>
    <mergeCell ref="C9:F12"/>
    <mergeCell ref="G9:J12"/>
    <mergeCell ref="K9:N12"/>
    <mergeCell ref="O9:R12"/>
    <mergeCell ref="S9:X12"/>
    <mergeCell ref="C14:I26"/>
    <mergeCell ref="J14:Q26"/>
    <mergeCell ref="R14:X26"/>
    <mergeCell ref="C28:H41"/>
    <mergeCell ref="I28:N41"/>
    <mergeCell ref="O28:S41"/>
    <mergeCell ref="T28:X4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76E24-7AD7-436B-BAAC-B27B62CCB0F4}">
  <dimension ref="A3:B12"/>
  <sheetViews>
    <sheetView topLeftCell="A3" workbookViewId="0">
      <selection activeCell="A4" sqref="A4"/>
    </sheetView>
  </sheetViews>
  <sheetFormatPr defaultRowHeight="14.5" x14ac:dyDescent="0.35"/>
  <cols>
    <col min="1" max="1" width="26.6328125" bestFit="1" customWidth="1"/>
  </cols>
  <sheetData>
    <row r="3" spans="1:2" x14ac:dyDescent="0.35">
      <c r="A3" t="s">
        <v>1885</v>
      </c>
    </row>
    <row r="4" spans="1:2" x14ac:dyDescent="0.35">
      <c r="A4" s="16">
        <v>2.9870000000000001</v>
      </c>
    </row>
    <row r="7" spans="1:2" x14ac:dyDescent="0.35">
      <c r="A7" t="s">
        <v>1886</v>
      </c>
    </row>
    <row r="8" spans="1:2" x14ac:dyDescent="0.35">
      <c r="A8" s="14">
        <v>5</v>
      </c>
    </row>
    <row r="9" spans="1:2" x14ac:dyDescent="0.35">
      <c r="A9" t="s">
        <v>1887</v>
      </c>
    </row>
    <row r="10" spans="1:2" x14ac:dyDescent="0.35">
      <c r="A10" s="20">
        <f>GETPIVOTDATA("PerformanceRating",$A$3)</f>
        <v>2.9870000000000001</v>
      </c>
    </row>
    <row r="11" spans="1:2" x14ac:dyDescent="0.35">
      <c r="A11" t="s">
        <v>1888</v>
      </c>
      <c r="B11" s="18">
        <f>A10/5</f>
        <v>0.59740000000000004</v>
      </c>
    </row>
    <row r="12" spans="1:2" x14ac:dyDescent="0.35">
      <c r="A12" s="14">
        <f>A8-GETPIVOTDATA("PerformanceRating",$A$3)</f>
        <v>2.0129999999999999</v>
      </c>
      <c r="B12" s="18">
        <f>A12/5</f>
        <v>0.40259999999999996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4B115-FDC8-4E56-811E-1C48D4E0992C}">
  <dimension ref="A3:C10"/>
  <sheetViews>
    <sheetView workbookViewId="0">
      <selection activeCell="B20" sqref="B20"/>
    </sheetView>
  </sheetViews>
  <sheetFormatPr defaultRowHeight="14.5" x14ac:dyDescent="0.35"/>
  <cols>
    <col min="1" max="1" width="12.36328125" bestFit="1" customWidth="1"/>
    <col min="2" max="2" width="18.7265625" bestFit="1" customWidth="1"/>
  </cols>
  <sheetData>
    <row r="3" spans="1:3" x14ac:dyDescent="0.35">
      <c r="A3" s="13" t="s">
        <v>1877</v>
      </c>
      <c r="B3" t="s">
        <v>1876</v>
      </c>
    </row>
    <row r="4" spans="1:3" x14ac:dyDescent="0.35">
      <c r="A4" s="14" t="s">
        <v>17</v>
      </c>
      <c r="B4" s="34">
        <v>495</v>
      </c>
    </row>
    <row r="5" spans="1:3" x14ac:dyDescent="0.35">
      <c r="A5" s="14" t="s">
        <v>27</v>
      </c>
      <c r="B5" s="34">
        <v>505</v>
      </c>
    </row>
    <row r="6" spans="1:3" x14ac:dyDescent="0.35">
      <c r="A6" s="14" t="s">
        <v>1878</v>
      </c>
      <c r="B6" s="34">
        <v>1000</v>
      </c>
    </row>
    <row r="9" spans="1:3" x14ac:dyDescent="0.35">
      <c r="A9" s="14" t="s">
        <v>17</v>
      </c>
      <c r="B9">
        <f>IFERROR(GETPIVOTDATA("EmployeeID",$A$3,"Gender","Female"),0)</f>
        <v>495</v>
      </c>
      <c r="C9" s="18">
        <f>IFERROR(B9/($B$9+$B$10),0)</f>
        <v>0.495</v>
      </c>
    </row>
    <row r="10" spans="1:3" x14ac:dyDescent="0.35">
      <c r="A10" s="14" t="s">
        <v>1890</v>
      </c>
      <c r="B10">
        <f>IFERROR(GETPIVOTDATA("EmployeeID",$A$3,"Gender","Male"),0)</f>
        <v>505</v>
      </c>
      <c r="C10" s="18">
        <f>IFERROR(B10/($B$9+$B$10),0)</f>
        <v>0.505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0788F-3CC0-4687-988D-08B89EFDB917}">
  <dimension ref="A1:B9"/>
  <sheetViews>
    <sheetView tabSelected="1" workbookViewId="0">
      <selection activeCell="K3" sqref="K3"/>
    </sheetView>
  </sheetViews>
  <sheetFormatPr defaultRowHeight="14.5" x14ac:dyDescent="0.35"/>
  <cols>
    <col min="1" max="1" width="12.36328125" bestFit="1" customWidth="1"/>
    <col min="2" max="2" width="15.81640625" bestFit="1" customWidth="1"/>
  </cols>
  <sheetData>
    <row r="1" spans="1:2" x14ac:dyDescent="0.35">
      <c r="A1" s="13" t="s">
        <v>1875</v>
      </c>
      <c r="B1" t="s">
        <v>22</v>
      </c>
    </row>
    <row r="3" spans="1:2" x14ac:dyDescent="0.35">
      <c r="A3" s="13" t="s">
        <v>1877</v>
      </c>
      <c r="B3" t="s">
        <v>1879</v>
      </c>
    </row>
    <row r="4" spans="1:2" x14ac:dyDescent="0.35">
      <c r="A4" s="14" t="s">
        <v>30</v>
      </c>
      <c r="B4" s="34">
        <v>87</v>
      </c>
    </row>
    <row r="5" spans="1:2" x14ac:dyDescent="0.35">
      <c r="A5" s="14" t="s">
        <v>21</v>
      </c>
      <c r="B5" s="34">
        <v>94</v>
      </c>
    </row>
    <row r="6" spans="1:2" x14ac:dyDescent="0.35">
      <c r="A6" s="14" t="s">
        <v>49</v>
      </c>
      <c r="B6" s="34">
        <v>103</v>
      </c>
    </row>
    <row r="7" spans="1:2" x14ac:dyDescent="0.35">
      <c r="A7" s="14" t="s">
        <v>46</v>
      </c>
      <c r="B7" s="34">
        <v>110</v>
      </c>
    </row>
    <row r="8" spans="1:2" x14ac:dyDescent="0.35">
      <c r="A8" s="14" t="s">
        <v>40</v>
      </c>
      <c r="B8" s="34">
        <v>114</v>
      </c>
    </row>
    <row r="9" spans="1:2" x14ac:dyDescent="0.35">
      <c r="A9" s="14" t="s">
        <v>1878</v>
      </c>
      <c r="B9" s="34">
        <v>508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B68C4-40B1-458E-B625-0E676285486E}">
  <dimension ref="A1:E9"/>
  <sheetViews>
    <sheetView workbookViewId="0">
      <selection activeCell="B4" sqref="B4"/>
    </sheetView>
  </sheetViews>
  <sheetFormatPr defaultRowHeight="14.5" x14ac:dyDescent="0.35"/>
  <cols>
    <col min="1" max="1" width="12.36328125" bestFit="1" customWidth="1"/>
    <col min="2" max="2" width="15.81640625" bestFit="1" customWidth="1"/>
    <col min="4" max="4" width="13.1796875" customWidth="1"/>
  </cols>
  <sheetData>
    <row r="1" spans="1:5" x14ac:dyDescent="0.35">
      <c r="A1" s="13" t="s">
        <v>1875</v>
      </c>
      <c r="B1" t="s">
        <v>22</v>
      </c>
    </row>
    <row r="3" spans="1:5" x14ac:dyDescent="0.35">
      <c r="A3" s="13" t="s">
        <v>1877</v>
      </c>
      <c r="B3" t="s">
        <v>1879</v>
      </c>
      <c r="D3" t="s">
        <v>1891</v>
      </c>
      <c r="E3" t="s">
        <v>1875</v>
      </c>
    </row>
    <row r="4" spans="1:5" x14ac:dyDescent="0.35">
      <c r="A4" s="14" t="s">
        <v>77</v>
      </c>
      <c r="B4" s="34">
        <v>106</v>
      </c>
      <c r="D4" t="str">
        <f>A4</f>
        <v>Analyst</v>
      </c>
      <c r="E4">
        <f>GETPIVOTDATA("Attrition",$A$3,"JobRole",A4)</f>
        <v>106</v>
      </c>
    </row>
    <row r="5" spans="1:5" x14ac:dyDescent="0.35">
      <c r="A5" s="14" t="s">
        <v>34</v>
      </c>
      <c r="B5" s="34">
        <v>94</v>
      </c>
      <c r="D5" t="str">
        <f t="shared" ref="D5:D9" si="0">A5</f>
        <v>Associate</v>
      </c>
      <c r="E5">
        <f t="shared" ref="E5:E8" si="1">GETPIVOTDATA("Attrition",$A$3,"JobRole",A5)</f>
        <v>94</v>
      </c>
    </row>
    <row r="6" spans="1:5" x14ac:dyDescent="0.35">
      <c r="A6" s="14" t="s">
        <v>19</v>
      </c>
      <c r="B6" s="34">
        <v>103</v>
      </c>
      <c r="D6" t="str">
        <f t="shared" si="0"/>
        <v>Engineer</v>
      </c>
      <c r="E6">
        <f t="shared" si="1"/>
        <v>103</v>
      </c>
    </row>
    <row r="7" spans="1:5" x14ac:dyDescent="0.35">
      <c r="A7" s="14" t="s">
        <v>39</v>
      </c>
      <c r="B7" s="34">
        <v>104</v>
      </c>
      <c r="D7" t="str">
        <f t="shared" si="0"/>
        <v>Executive</v>
      </c>
      <c r="E7">
        <f t="shared" si="1"/>
        <v>104</v>
      </c>
    </row>
    <row r="8" spans="1:5" x14ac:dyDescent="0.35">
      <c r="A8" s="14" t="s">
        <v>55</v>
      </c>
      <c r="B8" s="34">
        <v>101</v>
      </c>
      <c r="D8" t="str">
        <f t="shared" si="0"/>
        <v>Manager</v>
      </c>
      <c r="E8">
        <f t="shared" si="1"/>
        <v>101</v>
      </c>
    </row>
    <row r="9" spans="1:5" x14ac:dyDescent="0.35">
      <c r="A9" s="14" t="s">
        <v>1878</v>
      </c>
      <c r="B9" s="34">
        <v>508</v>
      </c>
      <c r="D9" t="str">
        <f t="shared" si="0"/>
        <v>Grand Total</v>
      </c>
      <c r="E9">
        <f>GETPIVOTDATA("Attrition",$A$3)</f>
        <v>508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FCDCE-34F3-4F10-BC43-5016675CB96E}">
  <dimension ref="A3:B6"/>
  <sheetViews>
    <sheetView topLeftCell="K1" workbookViewId="0">
      <selection activeCell="B4" sqref="B4:B6"/>
    </sheetView>
  </sheetViews>
  <sheetFormatPr defaultRowHeight="14.5" x14ac:dyDescent="0.35"/>
  <cols>
    <col min="1" max="1" width="12.36328125" bestFit="1" customWidth="1"/>
    <col min="2" max="2" width="18.7265625" bestFit="1" customWidth="1"/>
    <col min="3" max="3" width="6.81640625" bestFit="1" customWidth="1"/>
    <col min="4" max="4" width="10.7265625" bestFit="1" customWidth="1"/>
    <col min="5" max="5" width="19" bestFit="1" customWidth="1"/>
    <col min="6" max="6" width="23.54296875" bestFit="1" customWidth="1"/>
    <col min="7" max="7" width="23.81640625" bestFit="1" customWidth="1"/>
    <col min="8" max="10" width="19" bestFit="1" customWidth="1"/>
    <col min="11" max="11" width="23.54296875" bestFit="1" customWidth="1"/>
    <col min="12" max="12" width="23.81640625" bestFit="1" customWidth="1"/>
  </cols>
  <sheetData>
    <row r="3" spans="1:2" x14ac:dyDescent="0.35">
      <c r="A3" s="13" t="s">
        <v>1877</v>
      </c>
      <c r="B3" t="s">
        <v>1876</v>
      </c>
    </row>
    <row r="4" spans="1:2" x14ac:dyDescent="0.35">
      <c r="A4" s="14" t="s">
        <v>23</v>
      </c>
      <c r="B4" s="22">
        <v>0.49199999999999999</v>
      </c>
    </row>
    <row r="5" spans="1:2" x14ac:dyDescent="0.35">
      <c r="A5" s="14" t="s">
        <v>22</v>
      </c>
      <c r="B5" s="22">
        <v>0.50800000000000001</v>
      </c>
    </row>
    <row r="6" spans="1:2" x14ac:dyDescent="0.35">
      <c r="A6" s="14" t="s">
        <v>1878</v>
      </c>
      <c r="B6" s="22">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B7490-53BB-49E8-A71D-D61F2B808D38}">
  <dimension ref="A3:B10"/>
  <sheetViews>
    <sheetView workbookViewId="0">
      <selection activeCell="Y32" sqref="Y32"/>
    </sheetView>
  </sheetViews>
  <sheetFormatPr defaultRowHeight="14.5" x14ac:dyDescent="0.35"/>
  <cols>
    <col min="1" max="1" width="12.36328125" bestFit="1" customWidth="1"/>
    <col min="2" max="2" width="18.7265625" bestFit="1" customWidth="1"/>
  </cols>
  <sheetData>
    <row r="3" spans="1:2" x14ac:dyDescent="0.35">
      <c r="A3" s="13" t="s">
        <v>1877</v>
      </c>
      <c r="B3" t="s">
        <v>1876</v>
      </c>
    </row>
    <row r="4" spans="1:2" x14ac:dyDescent="0.35">
      <c r="A4" s="14" t="s">
        <v>1897</v>
      </c>
      <c r="B4" s="34">
        <v>278</v>
      </c>
    </row>
    <row r="5" spans="1:2" x14ac:dyDescent="0.35">
      <c r="A5" s="14" t="s">
        <v>1898</v>
      </c>
      <c r="B5" s="34">
        <v>253</v>
      </c>
    </row>
    <row r="6" spans="1:2" x14ac:dyDescent="0.35">
      <c r="A6" s="14" t="s">
        <v>1894</v>
      </c>
      <c r="B6" s="34">
        <v>142</v>
      </c>
    </row>
    <row r="7" spans="1:2" x14ac:dyDescent="0.35">
      <c r="A7" s="14" t="s">
        <v>1895</v>
      </c>
      <c r="B7" s="34">
        <v>132</v>
      </c>
    </row>
    <row r="8" spans="1:2" x14ac:dyDescent="0.35">
      <c r="A8" s="14" t="s">
        <v>1896</v>
      </c>
      <c r="B8" s="34">
        <v>128</v>
      </c>
    </row>
    <row r="9" spans="1:2" x14ac:dyDescent="0.35">
      <c r="A9" s="14" t="s">
        <v>1893</v>
      </c>
      <c r="B9" s="34">
        <v>67</v>
      </c>
    </row>
    <row r="10" spans="1:2" x14ac:dyDescent="0.35">
      <c r="A10" s="14" t="s">
        <v>1878</v>
      </c>
      <c r="B10" s="34">
        <v>1000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5870B-D27D-4100-B262-5F0DD38A3951}">
  <dimension ref="A3:G17"/>
  <sheetViews>
    <sheetView workbookViewId="0">
      <selection activeCell="J4" sqref="J4"/>
    </sheetView>
  </sheetViews>
  <sheetFormatPr defaultRowHeight="14.5" x14ac:dyDescent="0.35"/>
  <cols>
    <col min="1" max="1" width="12.36328125" bestFit="1" customWidth="1"/>
    <col min="2" max="2" width="15.26953125" bestFit="1" customWidth="1"/>
    <col min="3" max="3" width="3.81640625" bestFit="1" customWidth="1"/>
    <col min="4" max="4" width="10.7265625" bestFit="1" customWidth="1"/>
  </cols>
  <sheetData>
    <row r="3" spans="1:7" x14ac:dyDescent="0.35">
      <c r="A3" s="13" t="s">
        <v>1899</v>
      </c>
      <c r="B3" s="13" t="s">
        <v>1900</v>
      </c>
    </row>
    <row r="4" spans="1:7" x14ac:dyDescent="0.35">
      <c r="A4" s="13" t="s">
        <v>1877</v>
      </c>
      <c r="B4" s="7" t="s">
        <v>23</v>
      </c>
      <c r="C4" t="s">
        <v>22</v>
      </c>
      <c r="D4" t="s">
        <v>1878</v>
      </c>
    </row>
    <row r="5" spans="1:7" x14ac:dyDescent="0.35">
      <c r="A5" s="14" t="s">
        <v>35</v>
      </c>
      <c r="B5" s="35">
        <v>82</v>
      </c>
      <c r="C5" s="34">
        <v>106</v>
      </c>
      <c r="D5" s="34">
        <v>188</v>
      </c>
    </row>
    <row r="6" spans="1:7" x14ac:dyDescent="0.35">
      <c r="A6" s="14" t="s">
        <v>44</v>
      </c>
      <c r="B6" s="35">
        <v>114</v>
      </c>
      <c r="C6" s="34">
        <v>95</v>
      </c>
      <c r="D6" s="34">
        <v>209</v>
      </c>
    </row>
    <row r="7" spans="1:7" x14ac:dyDescent="0.35">
      <c r="A7" s="14" t="s">
        <v>20</v>
      </c>
      <c r="B7" s="35">
        <v>94</v>
      </c>
      <c r="C7" s="34">
        <v>90</v>
      </c>
      <c r="D7" s="34">
        <v>184</v>
      </c>
    </row>
    <row r="8" spans="1:7" x14ac:dyDescent="0.35">
      <c r="A8" s="14" t="s">
        <v>28</v>
      </c>
      <c r="B8" s="35">
        <v>94</v>
      </c>
      <c r="C8" s="34">
        <v>121</v>
      </c>
      <c r="D8" s="34">
        <v>215</v>
      </c>
    </row>
    <row r="9" spans="1:7" x14ac:dyDescent="0.35">
      <c r="A9" s="14" t="s">
        <v>56</v>
      </c>
      <c r="B9" s="35">
        <v>108</v>
      </c>
      <c r="C9" s="34">
        <v>96</v>
      </c>
      <c r="D9" s="34">
        <v>204</v>
      </c>
    </row>
    <row r="10" spans="1:7" x14ac:dyDescent="0.35">
      <c r="A10" s="14" t="s">
        <v>1878</v>
      </c>
      <c r="B10" s="35">
        <v>492</v>
      </c>
      <c r="C10" s="34">
        <v>508</v>
      </c>
      <c r="D10" s="34">
        <v>1000</v>
      </c>
    </row>
    <row r="11" spans="1:7" x14ac:dyDescent="0.35">
      <c r="G11" t="s">
        <v>1901</v>
      </c>
    </row>
    <row r="13" spans="1:7" x14ac:dyDescent="0.35">
      <c r="A13" s="14" t="s">
        <v>35</v>
      </c>
      <c r="B13" s="18">
        <f>GETPIVOTDATA("CITY",$A$3,"CITY","Bengaluru","Attrition","Yes")/GETPIVOTDATA("CITY",$A$3,"CITY","Bengaluru")</f>
        <v>0.56382978723404253</v>
      </c>
    </row>
    <row r="14" spans="1:7" x14ac:dyDescent="0.35">
      <c r="A14" s="14" t="s">
        <v>44</v>
      </c>
      <c r="B14" s="18">
        <f>GETPIVOTDATA("CITY",$A$3,"CITY","Chennai","Attrition","Yes")/GETPIVOTDATA("CITY",$A$3,"CITY","Chennai")</f>
        <v>0.45454545454545453</v>
      </c>
    </row>
    <row r="15" spans="1:7" x14ac:dyDescent="0.35">
      <c r="A15" s="14" t="s">
        <v>20</v>
      </c>
      <c r="B15" s="18">
        <f>GETPIVOTDATA("CITY",$A$3,"CITY","Delhi","Attrition","Yes")/GETPIVOTDATA("CITY",$A$3,"CITY","Delhi")</f>
        <v>0.4891304347826087</v>
      </c>
    </row>
    <row r="16" spans="1:7" x14ac:dyDescent="0.35">
      <c r="A16" s="14" t="s">
        <v>28</v>
      </c>
      <c r="B16" s="18">
        <f>GETPIVOTDATA("CITY",$A$3,"CITY","Hyderabad","Attrition","Yes")/GETPIVOTDATA("CITY",$A$3,"CITY","Hyderabad")</f>
        <v>0.56279069767441858</v>
      </c>
    </row>
    <row r="17" spans="1:2" x14ac:dyDescent="0.35">
      <c r="A17" s="14" t="s">
        <v>56</v>
      </c>
      <c r="B17" s="18">
        <f>GETPIVOTDATA("CITY",$A$3,"CITY","Pune","Attrition","Yes")/GETPIVOTDATA("CITY",$A$3,"CITY","Pune")</f>
        <v>0.47058823529411764</v>
      </c>
    </row>
  </sheetData>
  <pageMargins left="0.7" right="0.7" top="0.75" bottom="0.75" header="0.3" footer="0.3"/>
  <pageSetup orientation="portrait" r:id="rId2"/>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150"/>
  <sheetViews>
    <sheetView topLeftCell="A2" zoomScale="54" zoomScaleNormal="54" workbookViewId="0">
      <selection activeCell="H24" sqref="A2:T1001"/>
    </sheetView>
  </sheetViews>
  <sheetFormatPr defaultRowHeight="14.5" x14ac:dyDescent="0.35"/>
  <cols>
    <col min="1" max="1" width="14.54296875" bestFit="1" customWidth="1"/>
    <col min="2" max="2" width="12.90625" bestFit="1" customWidth="1"/>
    <col min="3" max="3" width="12.54296875" bestFit="1" customWidth="1"/>
    <col min="4" max="4" width="10.54296875" bestFit="1" customWidth="1"/>
    <col min="5" max="5" width="7.36328125" bestFit="1" customWidth="1"/>
    <col min="6" max="6" width="14.6328125" bestFit="1" customWidth="1"/>
    <col min="7" max="7" width="10.90625" bestFit="1" customWidth="1"/>
    <col min="8" max="8" width="10.26953125" bestFit="1" customWidth="1"/>
    <col min="9" max="9" width="16.453125" style="1" bestFit="1" customWidth="1"/>
    <col min="10" max="10" width="14.1796875" style="11" bestFit="1" customWidth="1"/>
    <col min="11" max="11" width="12.453125" bestFit="1" customWidth="1"/>
    <col min="12" max="12" width="18.36328125" bestFit="1" customWidth="1"/>
    <col min="13" max="13" width="20.7265625" bestFit="1" customWidth="1"/>
    <col min="14" max="14" width="12.54296875" bestFit="1" customWidth="1"/>
    <col min="15" max="15" width="11.36328125" bestFit="1" customWidth="1"/>
    <col min="16" max="16" width="32.1796875" bestFit="1" customWidth="1"/>
    <col min="17" max="17" width="17.81640625" style="9" bestFit="1" customWidth="1"/>
    <col min="18" max="18" width="12" bestFit="1" customWidth="1"/>
    <col min="19" max="19" width="18.54296875" style="7" customWidth="1"/>
  </cols>
  <sheetData>
    <row r="1" spans="1:20" s="4" customFormat="1" x14ac:dyDescent="0.35">
      <c r="A1" s="4" t="s">
        <v>0</v>
      </c>
      <c r="B1" s="4" t="s">
        <v>1</v>
      </c>
      <c r="C1" s="4" t="s">
        <v>2</v>
      </c>
      <c r="D1" s="4" t="s">
        <v>3</v>
      </c>
      <c r="E1" s="4" t="s">
        <v>4</v>
      </c>
      <c r="F1" s="4" t="s">
        <v>5</v>
      </c>
      <c r="G1" s="4" t="s">
        <v>6</v>
      </c>
      <c r="H1" s="4" t="s">
        <v>1874</v>
      </c>
      <c r="I1" s="5" t="s">
        <v>7</v>
      </c>
      <c r="J1" s="10" t="s">
        <v>8</v>
      </c>
      <c r="K1" s="4" t="s">
        <v>9</v>
      </c>
      <c r="L1" s="4" t="s">
        <v>10</v>
      </c>
      <c r="M1" s="4" t="s">
        <v>11</v>
      </c>
      <c r="N1" s="4" t="s">
        <v>12</v>
      </c>
      <c r="O1" s="4" t="s">
        <v>1875</v>
      </c>
      <c r="P1" s="4" t="s">
        <v>13</v>
      </c>
      <c r="Q1" s="8" t="s">
        <v>1320</v>
      </c>
      <c r="R1" s="4" t="s">
        <v>14</v>
      </c>
      <c r="S1" s="6" t="s">
        <v>1319</v>
      </c>
      <c r="T1" s="4" t="s">
        <v>1892</v>
      </c>
    </row>
    <row r="2" spans="1:20" x14ac:dyDescent="0.35">
      <c r="A2">
        <v>1001</v>
      </c>
      <c r="B2" t="s">
        <v>15</v>
      </c>
      <c r="C2" t="s">
        <v>16</v>
      </c>
      <c r="D2" t="s">
        <v>17</v>
      </c>
      <c r="E2">
        <v>46</v>
      </c>
      <c r="F2" t="s">
        <v>18</v>
      </c>
      <c r="G2" t="s">
        <v>19</v>
      </c>
      <c r="H2" t="s">
        <v>20</v>
      </c>
      <c r="I2" s="1">
        <v>83706</v>
      </c>
      <c r="J2" t="s">
        <v>1322</v>
      </c>
      <c r="K2" t="s">
        <v>21</v>
      </c>
      <c r="L2">
        <v>7</v>
      </c>
      <c r="M2">
        <v>2</v>
      </c>
      <c r="N2" t="s">
        <v>22</v>
      </c>
      <c r="O2" t="s">
        <v>23</v>
      </c>
      <c r="P2" t="s">
        <v>24</v>
      </c>
      <c r="Q2" s="9" t="str">
        <f>IF(AND(ISNUMBER(SEARCH("@",P2)),ISNUMBER(SEARCH(".",P2))),"Valid","Invalid")</f>
        <v>Valid</v>
      </c>
      <c r="R2">
        <v>9014591553</v>
      </c>
      <c r="S2" s="7" t="str">
        <f>IF(AND(ISNUMBER(R2),LEN(R2)=10),"Valid","Invalid")</f>
        <v>Valid</v>
      </c>
      <c r="T2" t="str">
        <f>IF(Table1[[#This Row],[Age]]&lt;25,"18-24",IF(Table1[[#This Row],[Age]]&lt;30,"25-29",IF(Table1[[#This Row],[Age]]&lt;35,"30-34",IF(Table1[[#This Row],[Age]]&lt;40,"35-39",IF(Table1[[#This Row],[Age]]&lt;50,"40-49","50+")))))</f>
        <v>40-49</v>
      </c>
    </row>
    <row r="3" spans="1:20" x14ac:dyDescent="0.35">
      <c r="A3">
        <v>1002</v>
      </c>
      <c r="B3" t="s">
        <v>25</v>
      </c>
      <c r="C3" t="s">
        <v>26</v>
      </c>
      <c r="D3" t="s">
        <v>27</v>
      </c>
      <c r="E3">
        <v>25</v>
      </c>
      <c r="F3" t="s">
        <v>18</v>
      </c>
      <c r="G3" t="s">
        <v>19</v>
      </c>
      <c r="H3" t="s">
        <v>28</v>
      </c>
      <c r="I3" s="1">
        <v>81362</v>
      </c>
      <c r="J3" t="s">
        <v>29</v>
      </c>
      <c r="K3" t="s">
        <v>30</v>
      </c>
      <c r="L3">
        <v>14</v>
      </c>
      <c r="M3">
        <v>1</v>
      </c>
      <c r="N3" t="s">
        <v>22</v>
      </c>
      <c r="O3" t="s">
        <v>22</v>
      </c>
      <c r="P3" t="s">
        <v>31</v>
      </c>
      <c r="Q3" s="9" t="str">
        <f t="shared" ref="Q3:Q66" si="0">IF(AND(ISNUMBER(SEARCH("@",P3)),ISNUMBER(SEARCH(".",P3))),"Valid","Invalid")</f>
        <v>Valid</v>
      </c>
      <c r="R3">
        <v>9750367163</v>
      </c>
      <c r="S3" s="7" t="str">
        <f t="shared" ref="S3:S65" si="1">IF(AND(ISNUMBER(R3),LEN(R3)=10),"Valid","Invalid")</f>
        <v>Valid</v>
      </c>
      <c r="T3" t="str">
        <f>IF(Table1[[#This Row],[Age]]&lt;25,"18-24",IF(Table1[[#This Row],[Age]]&lt;30,"25-29",IF(Table1[[#This Row],[Age]]&lt;35,"30-34",IF(Table1[[#This Row],[Age]]&lt;40,"35-39",IF(Table1[[#This Row],[Age]]&lt;50,"40-49","50+")))))</f>
        <v>25-29</v>
      </c>
    </row>
    <row r="4" spans="1:20" x14ac:dyDescent="0.35">
      <c r="A4">
        <v>1003</v>
      </c>
      <c r="B4" t="s">
        <v>25</v>
      </c>
      <c r="C4" t="s">
        <v>32</v>
      </c>
      <c r="D4" t="s">
        <v>27</v>
      </c>
      <c r="E4">
        <v>44</v>
      </c>
      <c r="F4" t="s">
        <v>33</v>
      </c>
      <c r="G4" t="s">
        <v>34</v>
      </c>
      <c r="H4" t="s">
        <v>35</v>
      </c>
      <c r="I4" s="1">
        <v>95621</v>
      </c>
      <c r="J4" t="s">
        <v>36</v>
      </c>
      <c r="K4" t="s">
        <v>21</v>
      </c>
      <c r="L4">
        <v>16</v>
      </c>
      <c r="M4">
        <v>3</v>
      </c>
      <c r="N4" t="s">
        <v>23</v>
      </c>
      <c r="O4" t="s">
        <v>22</v>
      </c>
      <c r="P4" s="3" t="s">
        <v>1318</v>
      </c>
      <c r="Q4" s="9" t="str">
        <f t="shared" si="0"/>
        <v>Invalid</v>
      </c>
      <c r="R4">
        <v>9635819969</v>
      </c>
      <c r="S4" s="7" t="str">
        <f t="shared" si="1"/>
        <v>Valid</v>
      </c>
      <c r="T4" t="str">
        <f>IF(Table1[[#This Row],[Age]]&lt;25,"18-24",IF(Table1[[#This Row],[Age]]&lt;30,"25-29",IF(Table1[[#This Row],[Age]]&lt;35,"30-34",IF(Table1[[#This Row],[Age]]&lt;40,"35-39",IF(Table1[[#This Row],[Age]]&lt;50,"40-49","50+")))))</f>
        <v>40-49</v>
      </c>
    </row>
    <row r="5" spans="1:20" x14ac:dyDescent="0.35">
      <c r="A5">
        <v>1004</v>
      </c>
      <c r="B5" t="s">
        <v>37</v>
      </c>
      <c r="C5" t="s">
        <v>32</v>
      </c>
      <c r="D5" t="s">
        <v>17</v>
      </c>
      <c r="E5">
        <v>28</v>
      </c>
      <c r="F5" t="s">
        <v>38</v>
      </c>
      <c r="G5" t="s">
        <v>39</v>
      </c>
      <c r="H5" t="s">
        <v>20</v>
      </c>
      <c r="I5" s="1">
        <v>25627</v>
      </c>
      <c r="J5" t="s">
        <v>109</v>
      </c>
      <c r="K5" t="s">
        <v>40</v>
      </c>
      <c r="L5">
        <v>12</v>
      </c>
      <c r="M5">
        <v>3</v>
      </c>
      <c r="N5" t="s">
        <v>23</v>
      </c>
      <c r="O5" t="s">
        <v>22</v>
      </c>
      <c r="P5" t="s">
        <v>41</v>
      </c>
      <c r="Q5" s="9" t="str">
        <f t="shared" si="0"/>
        <v>Valid</v>
      </c>
      <c r="R5">
        <v>9677614291</v>
      </c>
      <c r="S5" s="7" t="str">
        <f t="shared" si="1"/>
        <v>Valid</v>
      </c>
      <c r="T5" t="str">
        <f>IF(Table1[[#This Row],[Age]]&lt;25,"18-24",IF(Table1[[#This Row],[Age]]&lt;30,"25-29",IF(Table1[[#This Row],[Age]]&lt;35,"30-34",IF(Table1[[#This Row],[Age]]&lt;40,"35-39",IF(Table1[[#This Row],[Age]]&lt;50,"40-49","50+")))))</f>
        <v>25-29</v>
      </c>
    </row>
    <row r="6" spans="1:20" x14ac:dyDescent="0.35">
      <c r="A6">
        <v>1005</v>
      </c>
      <c r="B6" t="s">
        <v>42</v>
      </c>
      <c r="C6" t="s">
        <v>43</v>
      </c>
      <c r="D6" t="s">
        <v>27</v>
      </c>
      <c r="E6">
        <v>50</v>
      </c>
      <c r="F6" t="s">
        <v>38</v>
      </c>
      <c r="G6" t="s">
        <v>19</v>
      </c>
      <c r="H6" t="s">
        <v>44</v>
      </c>
      <c r="I6" s="1">
        <v>25008</v>
      </c>
      <c r="J6" t="s">
        <v>45</v>
      </c>
      <c r="K6" t="s">
        <v>46</v>
      </c>
      <c r="L6">
        <v>4</v>
      </c>
      <c r="M6">
        <v>2</v>
      </c>
      <c r="N6" t="s">
        <v>23</v>
      </c>
      <c r="O6" t="s">
        <v>22</v>
      </c>
      <c r="P6" t="s">
        <v>47</v>
      </c>
      <c r="Q6" s="9" t="str">
        <f t="shared" si="0"/>
        <v>Valid</v>
      </c>
      <c r="R6">
        <v>9579258498</v>
      </c>
      <c r="S6" s="7" t="str">
        <f t="shared" si="1"/>
        <v>Valid</v>
      </c>
      <c r="T6" t="str">
        <f>IF(Table1[[#This Row],[Age]]&lt;25,"18-24",IF(Table1[[#This Row],[Age]]&lt;30,"25-29",IF(Table1[[#This Row],[Age]]&lt;35,"30-34",IF(Table1[[#This Row],[Age]]&lt;40,"35-39",IF(Table1[[#This Row],[Age]]&lt;50,"40-49","50+")))))</f>
        <v>50+</v>
      </c>
    </row>
    <row r="7" spans="1:20" x14ac:dyDescent="0.35">
      <c r="A7">
        <v>1006</v>
      </c>
      <c r="B7" t="s">
        <v>15</v>
      </c>
      <c r="C7" t="s">
        <v>43</v>
      </c>
      <c r="D7" t="s">
        <v>27</v>
      </c>
      <c r="E7">
        <v>24</v>
      </c>
      <c r="F7" t="s">
        <v>69</v>
      </c>
      <c r="G7" t="s">
        <v>19</v>
      </c>
      <c r="H7" t="s">
        <v>44</v>
      </c>
      <c r="I7" s="1">
        <v>94014</v>
      </c>
      <c r="J7" t="s">
        <v>48</v>
      </c>
      <c r="K7" t="s">
        <v>49</v>
      </c>
      <c r="L7">
        <v>6</v>
      </c>
      <c r="M7">
        <v>4</v>
      </c>
      <c r="N7" t="s">
        <v>22</v>
      </c>
      <c r="O7" t="s">
        <v>22</v>
      </c>
      <c r="P7" t="s">
        <v>50</v>
      </c>
      <c r="Q7" s="9" t="str">
        <f t="shared" si="0"/>
        <v>Valid</v>
      </c>
      <c r="R7">
        <v>9271151874</v>
      </c>
      <c r="S7" s="7" t="str">
        <f t="shared" si="1"/>
        <v>Valid</v>
      </c>
      <c r="T7" t="str">
        <f>IF(Table1[[#This Row],[Age]]&lt;25,"18-24",IF(Table1[[#This Row],[Age]]&lt;30,"25-29",IF(Table1[[#This Row],[Age]]&lt;35,"30-34",IF(Table1[[#This Row],[Age]]&lt;40,"35-39",IF(Table1[[#This Row],[Age]]&lt;50,"40-49","50+")))))</f>
        <v>18-24</v>
      </c>
    </row>
    <row r="8" spans="1:20" x14ac:dyDescent="0.35">
      <c r="A8">
        <v>1007</v>
      </c>
      <c r="B8" t="s">
        <v>25</v>
      </c>
      <c r="C8" t="s">
        <v>43</v>
      </c>
      <c r="D8" t="s">
        <v>27</v>
      </c>
      <c r="E8">
        <v>58</v>
      </c>
      <c r="F8" t="s">
        <v>38</v>
      </c>
      <c r="G8" t="s">
        <v>34</v>
      </c>
      <c r="H8" t="s">
        <v>20</v>
      </c>
      <c r="I8" s="1">
        <v>69224</v>
      </c>
      <c r="J8" t="s">
        <v>1323</v>
      </c>
      <c r="K8" t="s">
        <v>30</v>
      </c>
      <c r="L8">
        <v>12</v>
      </c>
      <c r="M8">
        <v>5</v>
      </c>
      <c r="N8" t="s">
        <v>23</v>
      </c>
      <c r="O8" t="s">
        <v>22</v>
      </c>
      <c r="P8" t="s">
        <v>51</v>
      </c>
      <c r="Q8" s="9" t="str">
        <f t="shared" si="0"/>
        <v>Valid</v>
      </c>
      <c r="R8">
        <v>9019714735</v>
      </c>
      <c r="S8" s="7" t="str">
        <f t="shared" si="1"/>
        <v>Valid</v>
      </c>
      <c r="T8" t="str">
        <f>IF(Table1[[#This Row],[Age]]&lt;25,"18-24",IF(Table1[[#This Row],[Age]]&lt;30,"25-29",IF(Table1[[#This Row],[Age]]&lt;35,"30-34",IF(Table1[[#This Row],[Age]]&lt;40,"35-39",IF(Table1[[#This Row],[Age]]&lt;50,"40-49","50+")))))</f>
        <v>50+</v>
      </c>
    </row>
    <row r="9" spans="1:20" x14ac:dyDescent="0.35">
      <c r="A9">
        <v>1008</v>
      </c>
      <c r="B9" t="s">
        <v>25</v>
      </c>
      <c r="C9" t="s">
        <v>32</v>
      </c>
      <c r="D9" t="s">
        <v>27</v>
      </c>
      <c r="E9">
        <v>53</v>
      </c>
      <c r="F9" t="s">
        <v>33</v>
      </c>
      <c r="G9" t="s">
        <v>19</v>
      </c>
      <c r="H9" t="s">
        <v>28</v>
      </c>
      <c r="I9" s="1">
        <v>117157</v>
      </c>
      <c r="J9" t="s">
        <v>1324</v>
      </c>
      <c r="K9" t="s">
        <v>21</v>
      </c>
      <c r="L9">
        <v>11</v>
      </c>
      <c r="M9">
        <v>2</v>
      </c>
      <c r="N9" t="s">
        <v>22</v>
      </c>
      <c r="O9" t="s">
        <v>23</v>
      </c>
      <c r="P9" t="s">
        <v>52</v>
      </c>
      <c r="Q9" s="9" t="str">
        <f t="shared" si="0"/>
        <v>Valid</v>
      </c>
      <c r="R9">
        <v>94674922</v>
      </c>
      <c r="S9" s="7" t="str">
        <f t="shared" si="1"/>
        <v>Invalid</v>
      </c>
      <c r="T9" t="str">
        <f>IF(Table1[[#This Row],[Age]]&lt;25,"18-24",IF(Table1[[#This Row],[Age]]&lt;30,"25-29",IF(Table1[[#This Row],[Age]]&lt;35,"30-34",IF(Table1[[#This Row],[Age]]&lt;40,"35-39",IF(Table1[[#This Row],[Age]]&lt;50,"40-49","50+")))))</f>
        <v>50+</v>
      </c>
    </row>
    <row r="10" spans="1:20" x14ac:dyDescent="0.35">
      <c r="A10">
        <v>1009</v>
      </c>
      <c r="B10" t="s">
        <v>25</v>
      </c>
      <c r="C10" t="s">
        <v>43</v>
      </c>
      <c r="D10" t="s">
        <v>17</v>
      </c>
      <c r="E10">
        <v>47</v>
      </c>
      <c r="F10" t="s">
        <v>18</v>
      </c>
      <c r="G10" t="s">
        <v>34</v>
      </c>
      <c r="H10" t="s">
        <v>35</v>
      </c>
      <c r="I10" s="1">
        <v>69507</v>
      </c>
      <c r="J10" t="s">
        <v>1325</v>
      </c>
      <c r="K10" t="s">
        <v>30</v>
      </c>
      <c r="L10">
        <v>16</v>
      </c>
      <c r="M10">
        <v>4</v>
      </c>
      <c r="N10" t="s">
        <v>22</v>
      </c>
      <c r="O10" t="s">
        <v>23</v>
      </c>
      <c r="P10" t="s">
        <v>53</v>
      </c>
      <c r="Q10" s="9" t="str">
        <f t="shared" si="0"/>
        <v>Valid</v>
      </c>
      <c r="R10">
        <v>9382199093</v>
      </c>
      <c r="S10" s="7" t="str">
        <f t="shared" si="1"/>
        <v>Valid</v>
      </c>
      <c r="T10" t="str">
        <f>IF(Table1[[#This Row],[Age]]&lt;25,"18-24",IF(Table1[[#This Row],[Age]]&lt;30,"25-29",IF(Table1[[#This Row],[Age]]&lt;35,"30-34",IF(Table1[[#This Row],[Age]]&lt;40,"35-39",IF(Table1[[#This Row],[Age]]&lt;50,"40-49","50+")))))</f>
        <v>40-49</v>
      </c>
    </row>
    <row r="11" spans="1:20" x14ac:dyDescent="0.35">
      <c r="A11">
        <v>1010</v>
      </c>
      <c r="B11" t="s">
        <v>54</v>
      </c>
      <c r="C11" t="s">
        <v>32</v>
      </c>
      <c r="D11" t="s">
        <v>17</v>
      </c>
      <c r="E11">
        <v>57</v>
      </c>
      <c r="F11" t="s">
        <v>33</v>
      </c>
      <c r="G11" t="s">
        <v>55</v>
      </c>
      <c r="H11" t="s">
        <v>56</v>
      </c>
      <c r="I11" s="1">
        <v>39894</v>
      </c>
      <c r="J11" t="s">
        <v>1326</v>
      </c>
      <c r="K11" t="s">
        <v>40</v>
      </c>
      <c r="L11">
        <v>0</v>
      </c>
      <c r="M11">
        <v>3</v>
      </c>
      <c r="N11" t="s">
        <v>23</v>
      </c>
      <c r="O11" t="s">
        <v>23</v>
      </c>
      <c r="P11" t="s">
        <v>57</v>
      </c>
      <c r="Q11" s="9" t="str">
        <f t="shared" si="0"/>
        <v>Valid</v>
      </c>
      <c r="R11">
        <v>9003273805</v>
      </c>
      <c r="S11" s="7" t="str">
        <f t="shared" si="1"/>
        <v>Valid</v>
      </c>
      <c r="T11" t="str">
        <f>IF(Table1[[#This Row],[Age]]&lt;25,"18-24",IF(Table1[[#This Row],[Age]]&lt;30,"25-29",IF(Table1[[#This Row],[Age]]&lt;35,"30-34",IF(Table1[[#This Row],[Age]]&lt;40,"35-39",IF(Table1[[#This Row],[Age]]&lt;50,"40-49","50+")))))</f>
        <v>50+</v>
      </c>
    </row>
    <row r="12" spans="1:20" x14ac:dyDescent="0.35">
      <c r="A12">
        <v>1011</v>
      </c>
      <c r="B12" t="s">
        <v>58</v>
      </c>
      <c r="C12" t="s">
        <v>26</v>
      </c>
      <c r="D12" t="s">
        <v>17</v>
      </c>
      <c r="E12">
        <v>53</v>
      </c>
      <c r="F12" t="s">
        <v>38</v>
      </c>
      <c r="G12" t="s">
        <v>19</v>
      </c>
      <c r="H12" t="s">
        <v>28</v>
      </c>
      <c r="I12" s="1">
        <v>56812</v>
      </c>
      <c r="J12" t="s">
        <v>1327</v>
      </c>
      <c r="K12" t="s">
        <v>21</v>
      </c>
      <c r="L12">
        <v>16</v>
      </c>
      <c r="M12">
        <v>2</v>
      </c>
      <c r="N12" t="s">
        <v>22</v>
      </c>
      <c r="O12" t="s">
        <v>23</v>
      </c>
      <c r="P12" t="s">
        <v>59</v>
      </c>
      <c r="Q12" s="9" t="str">
        <f t="shared" si="0"/>
        <v>Valid</v>
      </c>
      <c r="R12">
        <v>9889625352</v>
      </c>
      <c r="S12" s="7" t="str">
        <f t="shared" si="1"/>
        <v>Valid</v>
      </c>
      <c r="T12" t="str">
        <f>IF(Table1[[#This Row],[Age]]&lt;25,"18-24",IF(Table1[[#This Row],[Age]]&lt;30,"25-29",IF(Table1[[#This Row],[Age]]&lt;35,"30-34",IF(Table1[[#This Row],[Age]]&lt;40,"35-39",IF(Table1[[#This Row],[Age]]&lt;50,"40-49","50+")))))</f>
        <v>50+</v>
      </c>
    </row>
    <row r="13" spans="1:20" x14ac:dyDescent="0.35">
      <c r="A13">
        <v>1012</v>
      </c>
      <c r="B13" t="s">
        <v>60</v>
      </c>
      <c r="C13" t="s">
        <v>43</v>
      </c>
      <c r="D13" t="s">
        <v>17</v>
      </c>
      <c r="E13">
        <v>50</v>
      </c>
      <c r="F13" t="s">
        <v>38</v>
      </c>
      <c r="G13" t="s">
        <v>55</v>
      </c>
      <c r="H13" t="s">
        <v>28</v>
      </c>
      <c r="I13" s="1">
        <v>108971</v>
      </c>
      <c r="J13" t="s">
        <v>1328</v>
      </c>
      <c r="K13" t="s">
        <v>21</v>
      </c>
      <c r="L13">
        <v>9</v>
      </c>
      <c r="M13">
        <v>4</v>
      </c>
      <c r="N13" t="s">
        <v>22</v>
      </c>
      <c r="O13" t="s">
        <v>23</v>
      </c>
      <c r="P13" s="3" t="s">
        <v>1318</v>
      </c>
      <c r="Q13" s="9" t="str">
        <f t="shared" si="0"/>
        <v>Invalid</v>
      </c>
      <c r="R13">
        <v>9377211667</v>
      </c>
      <c r="S13" s="7" t="str">
        <f t="shared" si="1"/>
        <v>Valid</v>
      </c>
      <c r="T13" t="str">
        <f>IF(Table1[[#This Row],[Age]]&lt;25,"18-24",IF(Table1[[#This Row],[Age]]&lt;30,"25-29",IF(Table1[[#This Row],[Age]]&lt;35,"30-34",IF(Table1[[#This Row],[Age]]&lt;40,"35-39",IF(Table1[[#This Row],[Age]]&lt;50,"40-49","50+")))))</f>
        <v>50+</v>
      </c>
    </row>
    <row r="14" spans="1:20" x14ac:dyDescent="0.35">
      <c r="A14">
        <v>1013</v>
      </c>
      <c r="B14" t="s">
        <v>58</v>
      </c>
      <c r="C14" t="s">
        <v>61</v>
      </c>
      <c r="D14" t="s">
        <v>27</v>
      </c>
      <c r="E14">
        <v>46</v>
      </c>
      <c r="F14" t="s">
        <v>62</v>
      </c>
      <c r="G14" t="s">
        <v>55</v>
      </c>
      <c r="H14" t="s">
        <v>28</v>
      </c>
      <c r="I14" s="1">
        <v>-38930</v>
      </c>
      <c r="J14" t="s">
        <v>1329</v>
      </c>
      <c r="K14" t="s">
        <v>30</v>
      </c>
      <c r="L14">
        <v>9</v>
      </c>
      <c r="M14">
        <v>2</v>
      </c>
      <c r="N14" t="s">
        <v>22</v>
      </c>
      <c r="O14" t="s">
        <v>22</v>
      </c>
      <c r="P14" t="s">
        <v>63</v>
      </c>
      <c r="Q14" s="9" t="str">
        <f t="shared" si="0"/>
        <v>Valid</v>
      </c>
      <c r="R14">
        <v>9396233220</v>
      </c>
      <c r="S14" s="7" t="str">
        <f t="shared" si="1"/>
        <v>Valid</v>
      </c>
      <c r="T14" t="str">
        <f>IF(Table1[[#This Row],[Age]]&lt;25,"18-24",IF(Table1[[#This Row],[Age]]&lt;30,"25-29",IF(Table1[[#This Row],[Age]]&lt;35,"30-34",IF(Table1[[#This Row],[Age]]&lt;40,"35-39",IF(Table1[[#This Row],[Age]]&lt;50,"40-49","50+")))))</f>
        <v>40-49</v>
      </c>
    </row>
    <row r="15" spans="1:20" x14ac:dyDescent="0.35">
      <c r="A15">
        <v>1014</v>
      </c>
      <c r="B15" t="s">
        <v>64</v>
      </c>
      <c r="C15" t="s">
        <v>26</v>
      </c>
      <c r="D15" t="s">
        <v>27</v>
      </c>
      <c r="E15">
        <v>43</v>
      </c>
      <c r="F15" t="s">
        <v>62</v>
      </c>
      <c r="G15" t="s">
        <v>19</v>
      </c>
      <c r="H15" t="s">
        <v>28</v>
      </c>
      <c r="I15" s="1">
        <v>117689</v>
      </c>
      <c r="J15" t="s">
        <v>1330</v>
      </c>
      <c r="K15" t="s">
        <v>49</v>
      </c>
      <c r="L15">
        <v>22</v>
      </c>
      <c r="M15">
        <v>1</v>
      </c>
      <c r="N15" t="s">
        <v>22</v>
      </c>
      <c r="O15" t="s">
        <v>23</v>
      </c>
      <c r="P15" t="s">
        <v>65</v>
      </c>
      <c r="Q15" s="9" t="str">
        <f t="shared" si="0"/>
        <v>Invalid</v>
      </c>
      <c r="R15">
        <v>9072849426</v>
      </c>
      <c r="S15" s="7" t="str">
        <f t="shared" si="1"/>
        <v>Valid</v>
      </c>
      <c r="T15" t="str">
        <f>IF(Table1[[#This Row],[Age]]&lt;25,"18-24",IF(Table1[[#This Row],[Age]]&lt;30,"25-29",IF(Table1[[#This Row],[Age]]&lt;35,"30-34",IF(Table1[[#This Row],[Age]]&lt;40,"35-39",IF(Table1[[#This Row],[Age]]&lt;50,"40-49","50+")))))</f>
        <v>40-49</v>
      </c>
    </row>
    <row r="16" spans="1:20" x14ac:dyDescent="0.35">
      <c r="A16">
        <v>1015</v>
      </c>
      <c r="B16" t="s">
        <v>42</v>
      </c>
      <c r="C16" t="s">
        <v>32</v>
      </c>
      <c r="D16" t="s">
        <v>17</v>
      </c>
      <c r="E16">
        <v>24</v>
      </c>
      <c r="F16" t="s">
        <v>33</v>
      </c>
      <c r="G16" t="s">
        <v>34</v>
      </c>
      <c r="H16" t="s">
        <v>44</v>
      </c>
      <c r="I16" s="1">
        <v>102638</v>
      </c>
      <c r="J16" t="s">
        <v>1331</v>
      </c>
      <c r="K16" t="s">
        <v>46</v>
      </c>
      <c r="L16">
        <v>25</v>
      </c>
      <c r="M16">
        <v>4</v>
      </c>
      <c r="N16" t="s">
        <v>23</v>
      </c>
      <c r="O16" t="s">
        <v>22</v>
      </c>
      <c r="P16" t="s">
        <v>66</v>
      </c>
      <c r="Q16" s="9" t="str">
        <f t="shared" si="0"/>
        <v>Valid</v>
      </c>
      <c r="R16">
        <v>9752032324</v>
      </c>
      <c r="S16" s="7" t="str">
        <f t="shared" si="1"/>
        <v>Valid</v>
      </c>
      <c r="T16" t="str">
        <f>IF(Table1[[#This Row],[Age]]&lt;25,"18-24",IF(Table1[[#This Row],[Age]]&lt;30,"25-29",IF(Table1[[#This Row],[Age]]&lt;35,"30-34",IF(Table1[[#This Row],[Age]]&lt;40,"35-39",IF(Table1[[#This Row],[Age]]&lt;50,"40-49","50+")))))</f>
        <v>18-24</v>
      </c>
    </row>
    <row r="17" spans="1:20" x14ac:dyDescent="0.35">
      <c r="A17">
        <v>1016</v>
      </c>
      <c r="B17" t="s">
        <v>67</v>
      </c>
      <c r="C17" t="s">
        <v>43</v>
      </c>
      <c r="D17" t="s">
        <v>27</v>
      </c>
      <c r="E17">
        <v>43</v>
      </c>
      <c r="F17" t="s">
        <v>33</v>
      </c>
      <c r="G17" t="s">
        <v>19</v>
      </c>
      <c r="H17" t="s">
        <v>35</v>
      </c>
      <c r="I17" s="1">
        <v>97275</v>
      </c>
      <c r="J17" t="s">
        <v>1332</v>
      </c>
      <c r="K17" t="s">
        <v>49</v>
      </c>
      <c r="L17">
        <v>20</v>
      </c>
      <c r="M17">
        <v>2</v>
      </c>
      <c r="N17" t="s">
        <v>22</v>
      </c>
      <c r="O17" t="s">
        <v>23</v>
      </c>
      <c r="P17" t="s">
        <v>68</v>
      </c>
      <c r="Q17" s="9" t="str">
        <f t="shared" si="0"/>
        <v>Valid</v>
      </c>
      <c r="R17">
        <v>9525609981</v>
      </c>
      <c r="S17" s="7" t="str">
        <f t="shared" si="1"/>
        <v>Valid</v>
      </c>
      <c r="T17" t="str">
        <f>IF(Table1[[#This Row],[Age]]&lt;25,"18-24",IF(Table1[[#This Row],[Age]]&lt;30,"25-29",IF(Table1[[#This Row],[Age]]&lt;35,"30-34",IF(Table1[[#This Row],[Age]]&lt;40,"35-39",IF(Table1[[#This Row],[Age]]&lt;50,"40-49","50+")))))</f>
        <v>40-49</v>
      </c>
    </row>
    <row r="18" spans="1:20" x14ac:dyDescent="0.35">
      <c r="A18">
        <v>1017</v>
      </c>
      <c r="B18" t="s">
        <v>25</v>
      </c>
      <c r="C18" t="s">
        <v>26</v>
      </c>
      <c r="D18" t="s">
        <v>17</v>
      </c>
      <c r="E18">
        <v>44</v>
      </c>
      <c r="F18" t="s">
        <v>69</v>
      </c>
      <c r="G18" t="s">
        <v>39</v>
      </c>
      <c r="H18" t="s">
        <v>35</v>
      </c>
      <c r="I18" s="1">
        <v>103491</v>
      </c>
      <c r="J18" t="s">
        <v>70</v>
      </c>
      <c r="K18" t="s">
        <v>46</v>
      </c>
      <c r="L18">
        <v>21</v>
      </c>
      <c r="M18">
        <v>3</v>
      </c>
      <c r="N18" t="s">
        <v>23</v>
      </c>
      <c r="O18" t="s">
        <v>22</v>
      </c>
      <c r="P18" t="s">
        <v>71</v>
      </c>
      <c r="Q18" s="9" t="str">
        <f t="shared" si="0"/>
        <v>Valid</v>
      </c>
      <c r="R18">
        <v>9336018239</v>
      </c>
      <c r="S18" s="7" t="str">
        <f t="shared" si="1"/>
        <v>Valid</v>
      </c>
      <c r="T18" t="str">
        <f>IF(Table1[[#This Row],[Age]]&lt;25,"18-24",IF(Table1[[#This Row],[Age]]&lt;30,"25-29",IF(Table1[[#This Row],[Age]]&lt;35,"30-34",IF(Table1[[#This Row],[Age]]&lt;40,"35-39",IF(Table1[[#This Row],[Age]]&lt;50,"40-49","50+")))))</f>
        <v>40-49</v>
      </c>
    </row>
    <row r="19" spans="1:20" x14ac:dyDescent="0.35">
      <c r="A19">
        <v>1018</v>
      </c>
      <c r="B19" t="s">
        <v>58</v>
      </c>
      <c r="C19" t="s">
        <v>26</v>
      </c>
      <c r="D19" t="s">
        <v>27</v>
      </c>
      <c r="E19">
        <v>39</v>
      </c>
      <c r="F19" t="s">
        <v>33</v>
      </c>
      <c r="G19" t="s">
        <v>55</v>
      </c>
      <c r="H19" t="s">
        <v>35</v>
      </c>
      <c r="I19" s="1">
        <v>26806</v>
      </c>
      <c r="J19" t="s">
        <v>1333</v>
      </c>
      <c r="K19" t="s">
        <v>40</v>
      </c>
      <c r="L19">
        <v>14</v>
      </c>
      <c r="M19">
        <v>1</v>
      </c>
      <c r="N19" t="s">
        <v>22</v>
      </c>
      <c r="O19" t="s">
        <v>22</v>
      </c>
      <c r="P19" s="3" t="s">
        <v>1318</v>
      </c>
      <c r="Q19" s="9" t="str">
        <f t="shared" si="0"/>
        <v>Invalid</v>
      </c>
      <c r="R19">
        <v>9732946627</v>
      </c>
      <c r="S19" s="7" t="str">
        <f t="shared" si="1"/>
        <v>Valid</v>
      </c>
      <c r="T19" t="str">
        <f>IF(Table1[[#This Row],[Age]]&lt;25,"18-24",IF(Table1[[#This Row],[Age]]&lt;30,"25-29",IF(Table1[[#This Row],[Age]]&lt;35,"30-34",IF(Table1[[#This Row],[Age]]&lt;40,"35-39",IF(Table1[[#This Row],[Age]]&lt;50,"40-49","50+")))))</f>
        <v>35-39</v>
      </c>
    </row>
    <row r="20" spans="1:20" x14ac:dyDescent="0.35">
      <c r="A20">
        <v>1019</v>
      </c>
      <c r="B20" t="s">
        <v>15</v>
      </c>
      <c r="C20" t="s">
        <v>32</v>
      </c>
      <c r="D20" t="s">
        <v>27</v>
      </c>
      <c r="E20">
        <v>46</v>
      </c>
      <c r="F20" t="s">
        <v>38</v>
      </c>
      <c r="G20" t="s">
        <v>34</v>
      </c>
      <c r="H20" t="s">
        <v>20</v>
      </c>
      <c r="I20" s="1">
        <v>57367</v>
      </c>
      <c r="J20" t="s">
        <v>72</v>
      </c>
      <c r="K20" t="s">
        <v>46</v>
      </c>
      <c r="L20">
        <v>10</v>
      </c>
      <c r="M20">
        <v>4</v>
      </c>
      <c r="N20" t="s">
        <v>22</v>
      </c>
      <c r="O20" t="s">
        <v>23</v>
      </c>
      <c r="P20" t="s">
        <v>73</v>
      </c>
      <c r="Q20" s="9" t="str">
        <f t="shared" si="0"/>
        <v>Valid</v>
      </c>
      <c r="R20">
        <v>9188598203</v>
      </c>
      <c r="S20" s="7" t="str">
        <f t="shared" si="1"/>
        <v>Valid</v>
      </c>
      <c r="T20" t="str">
        <f>IF(Table1[[#This Row],[Age]]&lt;25,"18-24",IF(Table1[[#This Row],[Age]]&lt;30,"25-29",IF(Table1[[#This Row],[Age]]&lt;35,"30-34",IF(Table1[[#This Row],[Age]]&lt;40,"35-39",IF(Table1[[#This Row],[Age]]&lt;50,"40-49","50+")))))</f>
        <v>40-49</v>
      </c>
    </row>
    <row r="21" spans="1:20" x14ac:dyDescent="0.35">
      <c r="A21">
        <v>1020</v>
      </c>
      <c r="B21" t="s">
        <v>15</v>
      </c>
      <c r="C21" t="s">
        <v>32</v>
      </c>
      <c r="D21" t="s">
        <v>17</v>
      </c>
      <c r="E21">
        <v>35</v>
      </c>
      <c r="F21" t="s">
        <v>69</v>
      </c>
      <c r="G21" t="s">
        <v>34</v>
      </c>
      <c r="H21" t="s">
        <v>20</v>
      </c>
      <c r="I21" s="1">
        <v>70237</v>
      </c>
      <c r="J21" t="s">
        <v>74</v>
      </c>
      <c r="K21" t="s">
        <v>30</v>
      </c>
      <c r="L21">
        <v>7</v>
      </c>
      <c r="M21">
        <v>2</v>
      </c>
      <c r="N21" t="s">
        <v>23</v>
      </c>
      <c r="O21" t="s">
        <v>23</v>
      </c>
      <c r="P21" t="s">
        <v>75</v>
      </c>
      <c r="Q21" s="9" t="str">
        <f t="shared" si="0"/>
        <v>Valid</v>
      </c>
      <c r="R21">
        <v>9548408922</v>
      </c>
      <c r="S21" s="7" t="str">
        <f t="shared" si="1"/>
        <v>Valid</v>
      </c>
      <c r="T21" t="str">
        <f>IF(Table1[[#This Row],[Age]]&lt;25,"18-24",IF(Table1[[#This Row],[Age]]&lt;30,"25-29",IF(Table1[[#This Row],[Age]]&lt;35,"30-34",IF(Table1[[#This Row],[Age]]&lt;40,"35-39",IF(Table1[[#This Row],[Age]]&lt;50,"40-49","50+")))))</f>
        <v>35-39</v>
      </c>
    </row>
    <row r="22" spans="1:20" x14ac:dyDescent="0.35">
      <c r="A22">
        <v>1021</v>
      </c>
      <c r="B22" t="s">
        <v>25</v>
      </c>
      <c r="C22" t="s">
        <v>26</v>
      </c>
      <c r="D22" t="s">
        <v>27</v>
      </c>
      <c r="E22">
        <v>36</v>
      </c>
      <c r="F22" t="s">
        <v>18</v>
      </c>
      <c r="G22" t="s">
        <v>39</v>
      </c>
      <c r="H22" t="s">
        <v>28</v>
      </c>
      <c r="I22" s="2" t="s">
        <v>1316</v>
      </c>
      <c r="J22" t="s">
        <v>1334</v>
      </c>
      <c r="K22" t="s">
        <v>49</v>
      </c>
      <c r="L22">
        <v>2</v>
      </c>
      <c r="M22">
        <v>5</v>
      </c>
      <c r="N22" t="s">
        <v>22</v>
      </c>
      <c r="O22" t="s">
        <v>22</v>
      </c>
      <c r="P22" t="s">
        <v>76</v>
      </c>
      <c r="Q22" s="9" t="str">
        <f t="shared" si="0"/>
        <v>Valid</v>
      </c>
      <c r="R22">
        <v>9669715052</v>
      </c>
      <c r="S22" s="7" t="str">
        <f t="shared" si="1"/>
        <v>Valid</v>
      </c>
      <c r="T22" t="str">
        <f>IF(Table1[[#This Row],[Age]]&lt;25,"18-24",IF(Table1[[#This Row],[Age]]&lt;30,"25-29",IF(Table1[[#This Row],[Age]]&lt;35,"30-34",IF(Table1[[#This Row],[Age]]&lt;40,"35-39",IF(Table1[[#This Row],[Age]]&lt;50,"40-49","50+")))))</f>
        <v>35-39</v>
      </c>
    </row>
    <row r="23" spans="1:20" x14ac:dyDescent="0.35">
      <c r="A23">
        <v>1022</v>
      </c>
      <c r="B23" t="s">
        <v>42</v>
      </c>
      <c r="C23" t="s">
        <v>26</v>
      </c>
      <c r="D23" t="s">
        <v>27</v>
      </c>
      <c r="E23">
        <v>46</v>
      </c>
      <c r="F23" t="s">
        <v>62</v>
      </c>
      <c r="G23" t="s">
        <v>77</v>
      </c>
      <c r="H23" t="s">
        <v>20</v>
      </c>
      <c r="I23" s="1">
        <v>114184</v>
      </c>
      <c r="J23" t="s">
        <v>1335</v>
      </c>
      <c r="K23" t="s">
        <v>40</v>
      </c>
      <c r="L23">
        <v>9</v>
      </c>
      <c r="M23">
        <v>5</v>
      </c>
      <c r="N23" t="s">
        <v>23</v>
      </c>
      <c r="O23" t="s">
        <v>22</v>
      </c>
      <c r="P23" t="s">
        <v>78</v>
      </c>
      <c r="Q23" s="9" t="str">
        <f t="shared" si="0"/>
        <v>Valid</v>
      </c>
      <c r="R23">
        <v>9958043093</v>
      </c>
      <c r="S23" s="7" t="str">
        <f t="shared" si="1"/>
        <v>Valid</v>
      </c>
      <c r="T23" t="str">
        <f>IF(Table1[[#This Row],[Age]]&lt;25,"18-24",IF(Table1[[#This Row],[Age]]&lt;30,"25-29",IF(Table1[[#This Row],[Age]]&lt;35,"30-34",IF(Table1[[#This Row],[Age]]&lt;40,"35-39",IF(Table1[[#This Row],[Age]]&lt;50,"40-49","50+")))))</f>
        <v>40-49</v>
      </c>
    </row>
    <row r="24" spans="1:20" x14ac:dyDescent="0.35">
      <c r="A24">
        <v>1023</v>
      </c>
      <c r="B24" t="s">
        <v>58</v>
      </c>
      <c r="C24" t="s">
        <v>43</v>
      </c>
      <c r="D24" t="s">
        <v>17</v>
      </c>
      <c r="E24">
        <v>55</v>
      </c>
      <c r="F24" t="s">
        <v>62</v>
      </c>
      <c r="G24" t="s">
        <v>34</v>
      </c>
      <c r="H24" t="s">
        <v>28</v>
      </c>
      <c r="I24" s="1">
        <v>119630</v>
      </c>
      <c r="J24" t="s">
        <v>1336</v>
      </c>
      <c r="K24" t="s">
        <v>46</v>
      </c>
      <c r="L24">
        <v>19</v>
      </c>
      <c r="M24">
        <v>5</v>
      </c>
      <c r="N24" t="s">
        <v>23</v>
      </c>
      <c r="O24" t="s">
        <v>22</v>
      </c>
      <c r="P24" t="s">
        <v>79</v>
      </c>
      <c r="Q24" s="9" t="str">
        <f t="shared" si="0"/>
        <v>Valid</v>
      </c>
      <c r="R24">
        <v>9035916432</v>
      </c>
      <c r="S24" s="7" t="str">
        <f t="shared" si="1"/>
        <v>Valid</v>
      </c>
      <c r="T24" t="str">
        <f>IF(Table1[[#This Row],[Age]]&lt;25,"18-24",IF(Table1[[#This Row],[Age]]&lt;30,"25-29",IF(Table1[[#This Row],[Age]]&lt;35,"30-34",IF(Table1[[#This Row],[Age]]&lt;40,"35-39",IF(Table1[[#This Row],[Age]]&lt;50,"40-49","50+")))))</f>
        <v>50+</v>
      </c>
    </row>
    <row r="25" spans="1:20" x14ac:dyDescent="0.35">
      <c r="A25">
        <v>1024</v>
      </c>
      <c r="B25" t="s">
        <v>54</v>
      </c>
      <c r="C25" t="s">
        <v>61</v>
      </c>
      <c r="D25" t="s">
        <v>27</v>
      </c>
      <c r="E25">
        <v>56</v>
      </c>
      <c r="F25" t="s">
        <v>62</v>
      </c>
      <c r="G25" t="s">
        <v>34</v>
      </c>
      <c r="H25" t="s">
        <v>20</v>
      </c>
      <c r="I25" s="1">
        <v>46795</v>
      </c>
      <c r="J25" t="s">
        <v>80</v>
      </c>
      <c r="K25" t="s">
        <v>40</v>
      </c>
      <c r="L25">
        <v>8</v>
      </c>
      <c r="M25">
        <v>5</v>
      </c>
      <c r="N25" t="s">
        <v>23</v>
      </c>
      <c r="O25" t="s">
        <v>23</v>
      </c>
      <c r="P25" t="s">
        <v>81</v>
      </c>
      <c r="Q25" s="9" t="str">
        <f t="shared" si="0"/>
        <v>Valid</v>
      </c>
      <c r="R25">
        <v>9447205864</v>
      </c>
      <c r="S25" s="7" t="str">
        <f t="shared" si="1"/>
        <v>Valid</v>
      </c>
      <c r="T25" t="str">
        <f>IF(Table1[[#This Row],[Age]]&lt;25,"18-24",IF(Table1[[#This Row],[Age]]&lt;30,"25-29",IF(Table1[[#This Row],[Age]]&lt;35,"30-34",IF(Table1[[#This Row],[Age]]&lt;40,"35-39",IF(Table1[[#This Row],[Age]]&lt;50,"40-49","50+")))))</f>
        <v>50+</v>
      </c>
    </row>
    <row r="26" spans="1:20" x14ac:dyDescent="0.35">
      <c r="A26">
        <v>1025</v>
      </c>
      <c r="B26" t="s">
        <v>82</v>
      </c>
      <c r="C26" t="s">
        <v>26</v>
      </c>
      <c r="D26" t="s">
        <v>17</v>
      </c>
      <c r="E26">
        <v>33</v>
      </c>
      <c r="F26" t="s">
        <v>18</v>
      </c>
      <c r="G26" t="s">
        <v>34</v>
      </c>
      <c r="H26" t="s">
        <v>44</v>
      </c>
      <c r="I26" s="1">
        <v>64904</v>
      </c>
      <c r="J26" t="s">
        <v>83</v>
      </c>
      <c r="K26" t="s">
        <v>30</v>
      </c>
      <c r="L26">
        <v>2</v>
      </c>
      <c r="M26">
        <v>1</v>
      </c>
      <c r="N26" t="s">
        <v>23</v>
      </c>
      <c r="O26" t="s">
        <v>23</v>
      </c>
      <c r="P26" t="s">
        <v>84</v>
      </c>
      <c r="Q26" s="9" t="str">
        <f t="shared" si="0"/>
        <v>Valid</v>
      </c>
      <c r="R26">
        <v>9671037953</v>
      </c>
      <c r="S26" s="7" t="str">
        <f t="shared" si="1"/>
        <v>Valid</v>
      </c>
      <c r="T26" t="str">
        <f>IF(Table1[[#This Row],[Age]]&lt;25,"18-24",IF(Table1[[#This Row],[Age]]&lt;30,"25-29",IF(Table1[[#This Row],[Age]]&lt;35,"30-34",IF(Table1[[#This Row],[Age]]&lt;40,"35-39",IF(Table1[[#This Row],[Age]]&lt;50,"40-49","50+")))))</f>
        <v>30-34</v>
      </c>
    </row>
    <row r="27" spans="1:20" x14ac:dyDescent="0.35">
      <c r="A27">
        <v>1026</v>
      </c>
      <c r="B27" t="s">
        <v>54</v>
      </c>
      <c r="C27" t="s">
        <v>16</v>
      </c>
      <c r="D27" t="s">
        <v>17</v>
      </c>
      <c r="E27">
        <v>32</v>
      </c>
      <c r="F27" t="s">
        <v>33</v>
      </c>
      <c r="G27" t="s">
        <v>39</v>
      </c>
      <c r="H27" t="s">
        <v>20</v>
      </c>
      <c r="I27" s="1">
        <v>86083</v>
      </c>
      <c r="J27" t="s">
        <v>1337</v>
      </c>
      <c r="K27" t="s">
        <v>21</v>
      </c>
      <c r="L27">
        <v>20</v>
      </c>
      <c r="M27">
        <v>2</v>
      </c>
      <c r="N27" t="s">
        <v>22</v>
      </c>
      <c r="O27" t="s">
        <v>23</v>
      </c>
      <c r="P27" t="s">
        <v>85</v>
      </c>
      <c r="Q27" s="9" t="str">
        <f t="shared" si="0"/>
        <v>Valid</v>
      </c>
      <c r="R27">
        <v>9602880214</v>
      </c>
      <c r="S27" s="7" t="str">
        <f t="shared" si="1"/>
        <v>Valid</v>
      </c>
      <c r="T27" t="str">
        <f>IF(Table1[[#This Row],[Age]]&lt;25,"18-24",IF(Table1[[#This Row],[Age]]&lt;30,"25-29",IF(Table1[[#This Row],[Age]]&lt;35,"30-34",IF(Table1[[#This Row],[Age]]&lt;40,"35-39",IF(Table1[[#This Row],[Age]]&lt;50,"40-49","50+")))))</f>
        <v>30-34</v>
      </c>
    </row>
    <row r="28" spans="1:20" x14ac:dyDescent="0.35">
      <c r="A28">
        <v>1027</v>
      </c>
      <c r="B28" t="s">
        <v>58</v>
      </c>
      <c r="C28" t="s">
        <v>61</v>
      </c>
      <c r="D28" t="s">
        <v>17</v>
      </c>
      <c r="E28">
        <v>28</v>
      </c>
      <c r="F28" t="s">
        <v>69</v>
      </c>
      <c r="G28" t="s">
        <v>39</v>
      </c>
      <c r="H28" t="s">
        <v>20</v>
      </c>
      <c r="I28" s="1">
        <v>48416</v>
      </c>
      <c r="J28" t="s">
        <v>1338</v>
      </c>
      <c r="K28" t="s">
        <v>30</v>
      </c>
      <c r="L28">
        <v>6</v>
      </c>
      <c r="M28">
        <v>3</v>
      </c>
      <c r="N28" t="s">
        <v>22</v>
      </c>
      <c r="O28" t="s">
        <v>22</v>
      </c>
      <c r="P28" t="s">
        <v>86</v>
      </c>
      <c r="Q28" s="9" t="str">
        <f t="shared" si="0"/>
        <v>Valid</v>
      </c>
      <c r="R28">
        <v>9500771552</v>
      </c>
      <c r="S28" s="7" t="str">
        <f t="shared" si="1"/>
        <v>Valid</v>
      </c>
      <c r="T28" t="str">
        <f>IF(Table1[[#This Row],[Age]]&lt;25,"18-24",IF(Table1[[#This Row],[Age]]&lt;30,"25-29",IF(Table1[[#This Row],[Age]]&lt;35,"30-34",IF(Table1[[#This Row],[Age]]&lt;40,"35-39",IF(Table1[[#This Row],[Age]]&lt;50,"40-49","50+")))))</f>
        <v>25-29</v>
      </c>
    </row>
    <row r="29" spans="1:20" x14ac:dyDescent="0.35">
      <c r="A29">
        <v>1028</v>
      </c>
      <c r="B29" t="s">
        <v>64</v>
      </c>
      <c r="C29" t="s">
        <v>16</v>
      </c>
      <c r="D29" t="s">
        <v>27</v>
      </c>
      <c r="E29">
        <v>47</v>
      </c>
      <c r="F29" t="s">
        <v>33</v>
      </c>
      <c r="G29" t="s">
        <v>39</v>
      </c>
      <c r="H29" t="s">
        <v>35</v>
      </c>
      <c r="I29" s="1">
        <v>104456</v>
      </c>
      <c r="J29" t="s">
        <v>1339</v>
      </c>
      <c r="K29" t="s">
        <v>21</v>
      </c>
      <c r="L29">
        <v>23</v>
      </c>
      <c r="M29">
        <v>2</v>
      </c>
      <c r="N29" t="s">
        <v>23</v>
      </c>
      <c r="O29" t="s">
        <v>22</v>
      </c>
      <c r="P29" t="s">
        <v>87</v>
      </c>
      <c r="Q29" s="9" t="str">
        <f t="shared" si="0"/>
        <v>Valid</v>
      </c>
      <c r="R29">
        <v>9037380452</v>
      </c>
      <c r="S29" s="7" t="str">
        <f t="shared" si="1"/>
        <v>Valid</v>
      </c>
      <c r="T29" t="str">
        <f>IF(Table1[[#This Row],[Age]]&lt;25,"18-24",IF(Table1[[#This Row],[Age]]&lt;30,"25-29",IF(Table1[[#This Row],[Age]]&lt;35,"30-34",IF(Table1[[#This Row],[Age]]&lt;40,"35-39",IF(Table1[[#This Row],[Age]]&lt;50,"40-49","50+")))))</f>
        <v>40-49</v>
      </c>
    </row>
    <row r="30" spans="1:20" x14ac:dyDescent="0.35">
      <c r="A30">
        <v>1029</v>
      </c>
      <c r="B30" t="s">
        <v>82</v>
      </c>
      <c r="C30" t="s">
        <v>16</v>
      </c>
      <c r="D30" t="s">
        <v>17</v>
      </c>
      <c r="E30">
        <v>42</v>
      </c>
      <c r="F30" t="s">
        <v>33</v>
      </c>
      <c r="G30" t="s">
        <v>55</v>
      </c>
      <c r="H30" t="s">
        <v>56</v>
      </c>
      <c r="I30" s="1">
        <v>89069</v>
      </c>
      <c r="J30" t="s">
        <v>1340</v>
      </c>
      <c r="K30" t="s">
        <v>46</v>
      </c>
      <c r="L30">
        <v>10</v>
      </c>
      <c r="M30">
        <v>5</v>
      </c>
      <c r="N30" t="s">
        <v>22</v>
      </c>
      <c r="O30" t="s">
        <v>22</v>
      </c>
      <c r="P30" t="s">
        <v>88</v>
      </c>
      <c r="Q30" s="9" t="str">
        <f t="shared" si="0"/>
        <v>Valid</v>
      </c>
      <c r="R30">
        <v>9137726368</v>
      </c>
      <c r="S30" s="7" t="str">
        <f t="shared" si="1"/>
        <v>Valid</v>
      </c>
      <c r="T30" t="str">
        <f>IF(Table1[[#This Row],[Age]]&lt;25,"18-24",IF(Table1[[#This Row],[Age]]&lt;30,"25-29",IF(Table1[[#This Row],[Age]]&lt;35,"30-34",IF(Table1[[#This Row],[Age]]&lt;40,"35-39",IF(Table1[[#This Row],[Age]]&lt;50,"40-49","50+")))))</f>
        <v>40-49</v>
      </c>
    </row>
    <row r="31" spans="1:20" x14ac:dyDescent="0.35">
      <c r="A31">
        <v>1030</v>
      </c>
      <c r="B31" t="s">
        <v>58</v>
      </c>
      <c r="C31" t="s">
        <v>43</v>
      </c>
      <c r="D31" t="s">
        <v>17</v>
      </c>
      <c r="E31">
        <v>27</v>
      </c>
      <c r="F31" t="s">
        <v>69</v>
      </c>
      <c r="G31" t="s">
        <v>77</v>
      </c>
      <c r="H31" t="s">
        <v>44</v>
      </c>
      <c r="I31" s="1">
        <v>62778</v>
      </c>
      <c r="J31" t="s">
        <v>89</v>
      </c>
      <c r="K31" t="s">
        <v>30</v>
      </c>
      <c r="L31">
        <v>13</v>
      </c>
      <c r="M31">
        <v>3</v>
      </c>
      <c r="N31" t="s">
        <v>22</v>
      </c>
      <c r="O31" t="s">
        <v>23</v>
      </c>
      <c r="P31" t="s">
        <v>90</v>
      </c>
      <c r="Q31" s="9" t="str">
        <f t="shared" si="0"/>
        <v>Valid</v>
      </c>
      <c r="R31">
        <v>9528881772</v>
      </c>
      <c r="S31" s="7" t="str">
        <f t="shared" si="1"/>
        <v>Valid</v>
      </c>
      <c r="T31" t="str">
        <f>IF(Table1[[#This Row],[Age]]&lt;25,"18-24",IF(Table1[[#This Row],[Age]]&lt;30,"25-29",IF(Table1[[#This Row],[Age]]&lt;35,"30-34",IF(Table1[[#This Row],[Age]]&lt;40,"35-39",IF(Table1[[#This Row],[Age]]&lt;50,"40-49","50+")))))</f>
        <v>25-29</v>
      </c>
    </row>
    <row r="32" spans="1:20" x14ac:dyDescent="0.35">
      <c r="A32">
        <v>1031</v>
      </c>
      <c r="B32" t="s">
        <v>64</v>
      </c>
      <c r="C32" t="s">
        <v>16</v>
      </c>
      <c r="D32" t="s">
        <v>17</v>
      </c>
      <c r="E32">
        <v>53</v>
      </c>
      <c r="F32" t="s">
        <v>18</v>
      </c>
      <c r="G32" t="s">
        <v>77</v>
      </c>
      <c r="H32" t="s">
        <v>28</v>
      </c>
      <c r="I32" s="2" t="s">
        <v>1317</v>
      </c>
      <c r="J32" t="s">
        <v>1341</v>
      </c>
      <c r="K32" t="s">
        <v>21</v>
      </c>
      <c r="L32">
        <v>8</v>
      </c>
      <c r="M32">
        <v>3</v>
      </c>
      <c r="N32" t="s">
        <v>23</v>
      </c>
      <c r="O32" t="s">
        <v>23</v>
      </c>
      <c r="P32" t="s">
        <v>91</v>
      </c>
      <c r="Q32" s="9" t="str">
        <f t="shared" si="0"/>
        <v>Valid</v>
      </c>
      <c r="R32">
        <v>9366562331</v>
      </c>
      <c r="S32" s="7" t="str">
        <f t="shared" si="1"/>
        <v>Valid</v>
      </c>
      <c r="T32" t="str">
        <f>IF(Table1[[#This Row],[Age]]&lt;25,"18-24",IF(Table1[[#This Row],[Age]]&lt;30,"25-29",IF(Table1[[#This Row],[Age]]&lt;35,"30-34",IF(Table1[[#This Row],[Age]]&lt;40,"35-39",IF(Table1[[#This Row],[Age]]&lt;50,"40-49","50+")))))</f>
        <v>50+</v>
      </c>
    </row>
    <row r="33" spans="1:20" x14ac:dyDescent="0.35">
      <c r="A33">
        <v>1032</v>
      </c>
      <c r="B33" t="s">
        <v>58</v>
      </c>
      <c r="C33" t="s">
        <v>16</v>
      </c>
      <c r="D33" t="s">
        <v>17</v>
      </c>
      <c r="E33">
        <v>24</v>
      </c>
      <c r="F33" t="s">
        <v>38</v>
      </c>
      <c r="G33" t="s">
        <v>19</v>
      </c>
      <c r="H33" t="s">
        <v>44</v>
      </c>
      <c r="I33" s="1">
        <v>74416</v>
      </c>
      <c r="J33" t="s">
        <v>1342</v>
      </c>
      <c r="K33" t="s">
        <v>49</v>
      </c>
      <c r="L33">
        <v>12</v>
      </c>
      <c r="M33">
        <v>4</v>
      </c>
      <c r="N33" t="s">
        <v>23</v>
      </c>
      <c r="O33" t="s">
        <v>22</v>
      </c>
      <c r="P33" t="s">
        <v>92</v>
      </c>
      <c r="Q33" s="9" t="str">
        <f t="shared" si="0"/>
        <v>Valid</v>
      </c>
      <c r="R33">
        <v>9057147612</v>
      </c>
      <c r="S33" s="7" t="str">
        <f t="shared" si="1"/>
        <v>Valid</v>
      </c>
      <c r="T33" t="str">
        <f>IF(Table1[[#This Row],[Age]]&lt;25,"18-24",IF(Table1[[#This Row],[Age]]&lt;30,"25-29",IF(Table1[[#This Row],[Age]]&lt;35,"30-34",IF(Table1[[#This Row],[Age]]&lt;40,"35-39",IF(Table1[[#This Row],[Age]]&lt;50,"40-49","50+")))))</f>
        <v>18-24</v>
      </c>
    </row>
    <row r="34" spans="1:20" x14ac:dyDescent="0.35">
      <c r="A34">
        <v>1033</v>
      </c>
      <c r="B34" t="s">
        <v>37</v>
      </c>
      <c r="C34" t="s">
        <v>61</v>
      </c>
      <c r="D34" t="s">
        <v>27</v>
      </c>
      <c r="E34">
        <v>41</v>
      </c>
      <c r="F34" t="s">
        <v>18</v>
      </c>
      <c r="G34" t="s">
        <v>39</v>
      </c>
      <c r="H34" t="s">
        <v>35</v>
      </c>
      <c r="I34" s="1">
        <v>44635</v>
      </c>
      <c r="J34" t="s">
        <v>126</v>
      </c>
      <c r="K34" t="s">
        <v>49</v>
      </c>
      <c r="L34">
        <v>6</v>
      </c>
      <c r="M34">
        <v>5</v>
      </c>
      <c r="N34" t="s">
        <v>22</v>
      </c>
      <c r="O34" t="s">
        <v>23</v>
      </c>
      <c r="P34" t="s">
        <v>93</v>
      </c>
      <c r="Q34" s="9" t="str">
        <f t="shared" si="0"/>
        <v>Valid</v>
      </c>
      <c r="R34">
        <v>9103453861</v>
      </c>
      <c r="S34" s="7" t="str">
        <f t="shared" si="1"/>
        <v>Valid</v>
      </c>
      <c r="T34" t="str">
        <f>IF(Table1[[#This Row],[Age]]&lt;25,"18-24",IF(Table1[[#This Row],[Age]]&lt;30,"25-29",IF(Table1[[#This Row],[Age]]&lt;35,"30-34",IF(Table1[[#This Row],[Age]]&lt;40,"35-39",IF(Table1[[#This Row],[Age]]&lt;50,"40-49","50+")))))</f>
        <v>40-49</v>
      </c>
    </row>
    <row r="35" spans="1:20" x14ac:dyDescent="0.35">
      <c r="A35">
        <v>1034</v>
      </c>
      <c r="B35" t="s">
        <v>58</v>
      </c>
      <c r="C35" t="s">
        <v>61</v>
      </c>
      <c r="D35" t="s">
        <v>27</v>
      </c>
      <c r="E35">
        <v>37</v>
      </c>
      <c r="F35" t="s">
        <v>33</v>
      </c>
      <c r="G35" t="s">
        <v>39</v>
      </c>
      <c r="H35" t="s">
        <v>20</v>
      </c>
      <c r="I35" s="1">
        <v>38076</v>
      </c>
      <c r="J35" t="s">
        <v>94</v>
      </c>
      <c r="K35" t="s">
        <v>21</v>
      </c>
      <c r="L35">
        <v>7</v>
      </c>
      <c r="M35">
        <v>3</v>
      </c>
      <c r="N35" t="s">
        <v>22</v>
      </c>
      <c r="O35" t="s">
        <v>22</v>
      </c>
      <c r="P35" t="s">
        <v>95</v>
      </c>
      <c r="Q35" s="9" t="str">
        <f t="shared" si="0"/>
        <v>Valid</v>
      </c>
      <c r="R35">
        <v>9852667897</v>
      </c>
      <c r="S35" s="7" t="str">
        <f t="shared" si="1"/>
        <v>Valid</v>
      </c>
      <c r="T35" t="str">
        <f>IF(Table1[[#This Row],[Age]]&lt;25,"18-24",IF(Table1[[#This Row],[Age]]&lt;30,"25-29",IF(Table1[[#This Row],[Age]]&lt;35,"30-34",IF(Table1[[#This Row],[Age]]&lt;40,"35-39",IF(Table1[[#This Row],[Age]]&lt;50,"40-49","50+")))))</f>
        <v>35-39</v>
      </c>
    </row>
    <row r="36" spans="1:20" x14ac:dyDescent="0.35">
      <c r="A36">
        <v>1035</v>
      </c>
      <c r="B36" t="s">
        <v>58</v>
      </c>
      <c r="C36" t="s">
        <v>32</v>
      </c>
      <c r="D36" t="s">
        <v>17</v>
      </c>
      <c r="E36">
        <v>48</v>
      </c>
      <c r="F36" t="s">
        <v>18</v>
      </c>
      <c r="G36" t="s">
        <v>39</v>
      </c>
      <c r="H36" t="s">
        <v>28</v>
      </c>
      <c r="I36" s="2" t="s">
        <v>1316</v>
      </c>
      <c r="J36" t="s">
        <v>1343</v>
      </c>
      <c r="K36" t="s">
        <v>21</v>
      </c>
      <c r="L36">
        <v>10</v>
      </c>
      <c r="M36">
        <v>3</v>
      </c>
      <c r="N36" t="s">
        <v>23</v>
      </c>
      <c r="O36" t="s">
        <v>23</v>
      </c>
      <c r="P36" t="s">
        <v>96</v>
      </c>
      <c r="Q36" s="9" t="str">
        <f t="shared" si="0"/>
        <v>Valid</v>
      </c>
      <c r="R36">
        <v>9107981498</v>
      </c>
      <c r="S36" s="7" t="str">
        <f t="shared" si="1"/>
        <v>Valid</v>
      </c>
      <c r="T36" t="str">
        <f>IF(Table1[[#This Row],[Age]]&lt;25,"18-24",IF(Table1[[#This Row],[Age]]&lt;30,"25-29",IF(Table1[[#This Row],[Age]]&lt;35,"30-34",IF(Table1[[#This Row],[Age]]&lt;40,"35-39",IF(Table1[[#This Row],[Age]]&lt;50,"40-49","50+")))))</f>
        <v>40-49</v>
      </c>
    </row>
    <row r="37" spans="1:20" x14ac:dyDescent="0.35">
      <c r="A37">
        <v>1036</v>
      </c>
      <c r="B37" t="s">
        <v>64</v>
      </c>
      <c r="C37" t="s">
        <v>26</v>
      </c>
      <c r="D37" t="s">
        <v>17</v>
      </c>
      <c r="E37">
        <v>43</v>
      </c>
      <c r="F37" t="s">
        <v>38</v>
      </c>
      <c r="G37" t="s">
        <v>34</v>
      </c>
      <c r="H37" t="s">
        <v>44</v>
      </c>
      <c r="I37" s="1">
        <v>80948</v>
      </c>
      <c r="J37" t="s">
        <v>1175</v>
      </c>
      <c r="K37" t="s">
        <v>46</v>
      </c>
      <c r="L37">
        <v>21</v>
      </c>
      <c r="M37">
        <v>3</v>
      </c>
      <c r="N37" t="s">
        <v>22</v>
      </c>
      <c r="O37" t="s">
        <v>22</v>
      </c>
      <c r="P37" t="s">
        <v>97</v>
      </c>
      <c r="Q37" s="9" t="str">
        <f t="shared" si="0"/>
        <v>Valid</v>
      </c>
      <c r="R37">
        <v>9005971090</v>
      </c>
      <c r="S37" s="7" t="str">
        <f t="shared" si="1"/>
        <v>Valid</v>
      </c>
      <c r="T37" t="str">
        <f>IF(Table1[[#This Row],[Age]]&lt;25,"18-24",IF(Table1[[#This Row],[Age]]&lt;30,"25-29",IF(Table1[[#This Row],[Age]]&lt;35,"30-34",IF(Table1[[#This Row],[Age]]&lt;40,"35-39",IF(Table1[[#This Row],[Age]]&lt;50,"40-49","50+")))))</f>
        <v>40-49</v>
      </c>
    </row>
    <row r="38" spans="1:20" x14ac:dyDescent="0.35">
      <c r="A38">
        <v>1037</v>
      </c>
      <c r="B38" t="s">
        <v>54</v>
      </c>
      <c r="C38" t="s">
        <v>32</v>
      </c>
      <c r="D38" t="s">
        <v>17</v>
      </c>
      <c r="E38">
        <v>47</v>
      </c>
      <c r="F38" t="s">
        <v>69</v>
      </c>
      <c r="G38" t="s">
        <v>55</v>
      </c>
      <c r="H38" t="s">
        <v>44</v>
      </c>
      <c r="I38" s="1">
        <v>63047</v>
      </c>
      <c r="J38" t="s">
        <v>98</v>
      </c>
      <c r="K38" t="s">
        <v>49</v>
      </c>
      <c r="L38">
        <v>23</v>
      </c>
      <c r="M38">
        <v>4</v>
      </c>
      <c r="N38" t="s">
        <v>22</v>
      </c>
      <c r="O38" t="s">
        <v>22</v>
      </c>
      <c r="P38" t="s">
        <v>99</v>
      </c>
      <c r="Q38" s="9" t="str">
        <f t="shared" si="0"/>
        <v>Valid</v>
      </c>
      <c r="R38">
        <v>9110210118</v>
      </c>
      <c r="S38" s="7" t="str">
        <f t="shared" si="1"/>
        <v>Valid</v>
      </c>
      <c r="T38" t="str">
        <f>IF(Table1[[#This Row],[Age]]&lt;25,"18-24",IF(Table1[[#This Row],[Age]]&lt;30,"25-29",IF(Table1[[#This Row],[Age]]&lt;35,"30-34",IF(Table1[[#This Row],[Age]]&lt;40,"35-39",IF(Table1[[#This Row],[Age]]&lt;50,"40-49","50+")))))</f>
        <v>40-49</v>
      </c>
    </row>
    <row r="39" spans="1:20" x14ac:dyDescent="0.35">
      <c r="A39">
        <v>1038</v>
      </c>
      <c r="B39" t="s">
        <v>42</v>
      </c>
      <c r="C39" t="s">
        <v>26</v>
      </c>
      <c r="D39" t="s">
        <v>17</v>
      </c>
      <c r="E39">
        <v>35</v>
      </c>
      <c r="F39" t="s">
        <v>33</v>
      </c>
      <c r="G39" t="s">
        <v>34</v>
      </c>
      <c r="H39" t="s">
        <v>20</v>
      </c>
      <c r="I39" s="1">
        <v>97292</v>
      </c>
      <c r="J39" t="s">
        <v>1344</v>
      </c>
      <c r="K39" t="s">
        <v>46</v>
      </c>
      <c r="L39">
        <v>22</v>
      </c>
      <c r="M39">
        <v>4</v>
      </c>
      <c r="N39" t="s">
        <v>22</v>
      </c>
      <c r="O39" t="s">
        <v>22</v>
      </c>
      <c r="P39" t="s">
        <v>100</v>
      </c>
      <c r="Q39" s="9" t="str">
        <f t="shared" si="0"/>
        <v>Valid</v>
      </c>
      <c r="R39">
        <v>9999541790</v>
      </c>
      <c r="S39" s="7" t="str">
        <f t="shared" si="1"/>
        <v>Valid</v>
      </c>
      <c r="T39" t="str">
        <f>IF(Table1[[#This Row],[Age]]&lt;25,"18-24",IF(Table1[[#This Row],[Age]]&lt;30,"25-29",IF(Table1[[#This Row],[Age]]&lt;35,"30-34",IF(Table1[[#This Row],[Age]]&lt;40,"35-39",IF(Table1[[#This Row],[Age]]&lt;50,"40-49","50+")))))</f>
        <v>35-39</v>
      </c>
    </row>
    <row r="40" spans="1:20" x14ac:dyDescent="0.35">
      <c r="A40">
        <v>1039</v>
      </c>
      <c r="B40" t="s">
        <v>82</v>
      </c>
      <c r="C40" t="s">
        <v>26</v>
      </c>
      <c r="D40" t="s">
        <v>17</v>
      </c>
      <c r="E40">
        <v>33</v>
      </c>
      <c r="F40" t="s">
        <v>33</v>
      </c>
      <c r="G40" t="s">
        <v>77</v>
      </c>
      <c r="H40" t="s">
        <v>35</v>
      </c>
      <c r="I40" s="1">
        <v>114903</v>
      </c>
      <c r="J40" t="s">
        <v>101</v>
      </c>
      <c r="K40" t="s">
        <v>21</v>
      </c>
      <c r="L40">
        <v>4</v>
      </c>
      <c r="M40">
        <v>2</v>
      </c>
      <c r="N40" t="s">
        <v>22</v>
      </c>
      <c r="O40" t="s">
        <v>22</v>
      </c>
      <c r="P40" t="s">
        <v>102</v>
      </c>
      <c r="Q40" s="9" t="str">
        <f t="shared" si="0"/>
        <v>Valid</v>
      </c>
      <c r="R40">
        <v>9378364764</v>
      </c>
      <c r="S40" s="7" t="str">
        <f t="shared" si="1"/>
        <v>Valid</v>
      </c>
      <c r="T40" t="str">
        <f>IF(Table1[[#This Row],[Age]]&lt;25,"18-24",IF(Table1[[#This Row],[Age]]&lt;30,"25-29",IF(Table1[[#This Row],[Age]]&lt;35,"30-34",IF(Table1[[#This Row],[Age]]&lt;40,"35-39",IF(Table1[[#This Row],[Age]]&lt;50,"40-49","50+")))))</f>
        <v>30-34</v>
      </c>
    </row>
    <row r="41" spans="1:20" x14ac:dyDescent="0.35">
      <c r="A41">
        <v>1040</v>
      </c>
      <c r="B41" t="s">
        <v>67</v>
      </c>
      <c r="C41" t="s">
        <v>43</v>
      </c>
      <c r="D41" t="s">
        <v>17</v>
      </c>
      <c r="E41">
        <v>43</v>
      </c>
      <c r="F41" t="s">
        <v>38</v>
      </c>
      <c r="G41" t="s">
        <v>34</v>
      </c>
      <c r="H41" t="s">
        <v>28</v>
      </c>
      <c r="I41" s="1">
        <v>89851</v>
      </c>
      <c r="J41" t="s">
        <v>1345</v>
      </c>
      <c r="K41" t="s">
        <v>30</v>
      </c>
      <c r="L41">
        <v>19</v>
      </c>
      <c r="M41">
        <v>1</v>
      </c>
      <c r="N41" t="s">
        <v>22</v>
      </c>
      <c r="O41" t="s">
        <v>23</v>
      </c>
      <c r="P41" t="s">
        <v>103</v>
      </c>
      <c r="Q41" s="9" t="str">
        <f t="shared" si="0"/>
        <v>Valid</v>
      </c>
      <c r="R41">
        <v>93008205</v>
      </c>
      <c r="S41" s="7" t="str">
        <f t="shared" si="1"/>
        <v>Invalid</v>
      </c>
      <c r="T41" t="str">
        <f>IF(Table1[[#This Row],[Age]]&lt;25,"18-24",IF(Table1[[#This Row],[Age]]&lt;30,"25-29",IF(Table1[[#This Row],[Age]]&lt;35,"30-34",IF(Table1[[#This Row],[Age]]&lt;40,"35-39",IF(Table1[[#This Row],[Age]]&lt;50,"40-49","50+")))))</f>
        <v>40-49</v>
      </c>
    </row>
    <row r="42" spans="1:20" x14ac:dyDescent="0.35">
      <c r="A42">
        <v>1041</v>
      </c>
      <c r="B42" t="s">
        <v>64</v>
      </c>
      <c r="C42" t="s">
        <v>32</v>
      </c>
      <c r="D42" t="s">
        <v>17</v>
      </c>
      <c r="E42">
        <v>45</v>
      </c>
      <c r="F42" t="s">
        <v>33</v>
      </c>
      <c r="G42" t="s">
        <v>34</v>
      </c>
      <c r="H42" t="s">
        <v>35</v>
      </c>
      <c r="I42" s="1">
        <v>106954</v>
      </c>
      <c r="J42" t="s">
        <v>1346</v>
      </c>
      <c r="K42" t="s">
        <v>49</v>
      </c>
      <c r="L42">
        <v>11</v>
      </c>
      <c r="M42">
        <v>1</v>
      </c>
      <c r="N42" t="s">
        <v>22</v>
      </c>
      <c r="O42" t="s">
        <v>22</v>
      </c>
      <c r="P42" t="s">
        <v>104</v>
      </c>
      <c r="Q42" s="9" t="str">
        <f t="shared" si="0"/>
        <v>Valid</v>
      </c>
      <c r="R42">
        <v>9274358325</v>
      </c>
      <c r="S42" s="7" t="str">
        <f t="shared" si="1"/>
        <v>Valid</v>
      </c>
      <c r="T42" t="str">
        <f>IF(Table1[[#This Row],[Age]]&lt;25,"18-24",IF(Table1[[#This Row],[Age]]&lt;30,"25-29",IF(Table1[[#This Row],[Age]]&lt;35,"30-34",IF(Table1[[#This Row],[Age]]&lt;40,"35-39",IF(Table1[[#This Row],[Age]]&lt;50,"40-49","50+")))))</f>
        <v>40-49</v>
      </c>
    </row>
    <row r="43" spans="1:20" x14ac:dyDescent="0.35">
      <c r="A43">
        <v>1042</v>
      </c>
      <c r="B43" t="s">
        <v>60</v>
      </c>
      <c r="C43" t="s">
        <v>61</v>
      </c>
      <c r="D43" t="s">
        <v>27</v>
      </c>
      <c r="E43">
        <v>29</v>
      </c>
      <c r="F43" t="s">
        <v>69</v>
      </c>
      <c r="G43" t="s">
        <v>39</v>
      </c>
      <c r="H43" t="s">
        <v>28</v>
      </c>
      <c r="I43" s="1">
        <v>86649</v>
      </c>
      <c r="J43" t="s">
        <v>1347</v>
      </c>
      <c r="K43" t="s">
        <v>46</v>
      </c>
      <c r="L43">
        <v>18</v>
      </c>
      <c r="M43">
        <v>1</v>
      </c>
      <c r="N43" t="s">
        <v>23</v>
      </c>
      <c r="O43" t="s">
        <v>23</v>
      </c>
      <c r="P43" t="s">
        <v>105</v>
      </c>
      <c r="Q43" s="9" t="str">
        <f t="shared" si="0"/>
        <v>Valid</v>
      </c>
      <c r="R43">
        <v>9569334230</v>
      </c>
      <c r="S43" s="7" t="str">
        <f t="shared" si="1"/>
        <v>Valid</v>
      </c>
      <c r="T43" t="str">
        <f>IF(Table1[[#This Row],[Age]]&lt;25,"18-24",IF(Table1[[#This Row],[Age]]&lt;30,"25-29",IF(Table1[[#This Row],[Age]]&lt;35,"30-34",IF(Table1[[#This Row],[Age]]&lt;40,"35-39",IF(Table1[[#This Row],[Age]]&lt;50,"40-49","50+")))))</f>
        <v>25-29</v>
      </c>
    </row>
    <row r="44" spans="1:20" x14ac:dyDescent="0.35">
      <c r="A44">
        <v>1043</v>
      </c>
      <c r="B44" t="s">
        <v>67</v>
      </c>
      <c r="C44" t="s">
        <v>16</v>
      </c>
      <c r="D44" t="s">
        <v>17</v>
      </c>
      <c r="E44">
        <v>25</v>
      </c>
      <c r="F44" t="s">
        <v>38</v>
      </c>
      <c r="G44" t="s">
        <v>55</v>
      </c>
      <c r="H44" t="s">
        <v>28</v>
      </c>
      <c r="I44" s="1">
        <v>56319</v>
      </c>
      <c r="J44" t="s">
        <v>106</v>
      </c>
      <c r="K44" t="s">
        <v>21</v>
      </c>
      <c r="L44">
        <v>7</v>
      </c>
      <c r="M44">
        <v>5</v>
      </c>
      <c r="N44" t="s">
        <v>23</v>
      </c>
      <c r="O44" t="s">
        <v>22</v>
      </c>
      <c r="P44" t="s">
        <v>107</v>
      </c>
      <c r="Q44" s="9" t="str">
        <f t="shared" si="0"/>
        <v>Valid</v>
      </c>
      <c r="R44">
        <v>9432629075</v>
      </c>
      <c r="S44" s="7" t="str">
        <f t="shared" si="1"/>
        <v>Valid</v>
      </c>
      <c r="T44" t="str">
        <f>IF(Table1[[#This Row],[Age]]&lt;25,"18-24",IF(Table1[[#This Row],[Age]]&lt;30,"25-29",IF(Table1[[#This Row],[Age]]&lt;35,"30-34",IF(Table1[[#This Row],[Age]]&lt;40,"35-39",IF(Table1[[#This Row],[Age]]&lt;50,"40-49","50+")))))</f>
        <v>25-29</v>
      </c>
    </row>
    <row r="45" spans="1:20" x14ac:dyDescent="0.35">
      <c r="A45">
        <v>1044</v>
      </c>
      <c r="B45" t="s">
        <v>64</v>
      </c>
      <c r="C45" t="s">
        <v>61</v>
      </c>
      <c r="D45" t="s">
        <v>17</v>
      </c>
      <c r="E45">
        <v>46</v>
      </c>
      <c r="F45" t="s">
        <v>62</v>
      </c>
      <c r="G45" t="s">
        <v>77</v>
      </c>
      <c r="H45" t="s">
        <v>44</v>
      </c>
      <c r="I45" s="1">
        <v>46549</v>
      </c>
      <c r="J45" t="s">
        <v>1348</v>
      </c>
      <c r="K45" t="s">
        <v>40</v>
      </c>
      <c r="L45">
        <v>16</v>
      </c>
      <c r="M45">
        <v>3</v>
      </c>
      <c r="N45" t="s">
        <v>22</v>
      </c>
      <c r="O45" t="s">
        <v>23</v>
      </c>
      <c r="P45" t="s">
        <v>108</v>
      </c>
      <c r="Q45" s="9" t="str">
        <f t="shared" si="0"/>
        <v>Valid</v>
      </c>
      <c r="R45">
        <v>9414538825</v>
      </c>
      <c r="S45" s="7" t="str">
        <f t="shared" si="1"/>
        <v>Valid</v>
      </c>
      <c r="T45" t="str">
        <f>IF(Table1[[#This Row],[Age]]&lt;25,"18-24",IF(Table1[[#This Row],[Age]]&lt;30,"25-29",IF(Table1[[#This Row],[Age]]&lt;35,"30-34",IF(Table1[[#This Row],[Age]]&lt;40,"35-39",IF(Table1[[#This Row],[Age]]&lt;50,"40-49","50+")))))</f>
        <v>40-49</v>
      </c>
    </row>
    <row r="46" spans="1:20" x14ac:dyDescent="0.35">
      <c r="A46">
        <v>1045</v>
      </c>
      <c r="B46" t="s">
        <v>42</v>
      </c>
      <c r="C46" t="s">
        <v>43</v>
      </c>
      <c r="D46" t="s">
        <v>27</v>
      </c>
      <c r="E46">
        <v>66</v>
      </c>
      <c r="F46" t="s">
        <v>62</v>
      </c>
      <c r="G46" t="s">
        <v>77</v>
      </c>
      <c r="H46" t="s">
        <v>20</v>
      </c>
      <c r="I46" s="1">
        <v>115266</v>
      </c>
      <c r="J46" t="s">
        <v>109</v>
      </c>
      <c r="K46" t="s">
        <v>49</v>
      </c>
      <c r="L46">
        <v>3</v>
      </c>
      <c r="M46">
        <v>2</v>
      </c>
      <c r="N46" t="s">
        <v>22</v>
      </c>
      <c r="O46" t="s">
        <v>23</v>
      </c>
      <c r="P46" t="s">
        <v>110</v>
      </c>
      <c r="Q46" s="9" t="str">
        <f t="shared" si="0"/>
        <v>Valid</v>
      </c>
      <c r="R46">
        <v>9083103100</v>
      </c>
      <c r="S46" s="7" t="str">
        <f t="shared" si="1"/>
        <v>Valid</v>
      </c>
      <c r="T46" t="str">
        <f>IF(Table1[[#This Row],[Age]]&lt;25,"18-24",IF(Table1[[#This Row],[Age]]&lt;30,"25-29",IF(Table1[[#This Row],[Age]]&lt;35,"30-34",IF(Table1[[#This Row],[Age]]&lt;40,"35-39",IF(Table1[[#This Row],[Age]]&lt;50,"40-49","50+")))))</f>
        <v>50+</v>
      </c>
    </row>
    <row r="47" spans="1:20" x14ac:dyDescent="0.35">
      <c r="A47">
        <v>1046</v>
      </c>
      <c r="B47" t="s">
        <v>25</v>
      </c>
      <c r="C47" t="s">
        <v>16</v>
      </c>
      <c r="D47" t="s">
        <v>27</v>
      </c>
      <c r="E47">
        <v>35</v>
      </c>
      <c r="F47" t="s">
        <v>38</v>
      </c>
      <c r="G47" t="s">
        <v>55</v>
      </c>
      <c r="H47" t="s">
        <v>28</v>
      </c>
      <c r="I47" s="1">
        <v>-65488</v>
      </c>
      <c r="J47" t="s">
        <v>1225</v>
      </c>
      <c r="K47" t="s">
        <v>49</v>
      </c>
      <c r="L47">
        <v>9</v>
      </c>
      <c r="M47">
        <v>3</v>
      </c>
      <c r="N47" t="s">
        <v>23</v>
      </c>
      <c r="O47" t="s">
        <v>23</v>
      </c>
      <c r="P47" t="s">
        <v>111</v>
      </c>
      <c r="Q47" s="9" t="str">
        <f t="shared" si="0"/>
        <v>Valid</v>
      </c>
      <c r="R47">
        <v>9493475285</v>
      </c>
      <c r="S47" s="7" t="str">
        <f t="shared" si="1"/>
        <v>Valid</v>
      </c>
      <c r="T47" t="str">
        <f>IF(Table1[[#This Row],[Age]]&lt;25,"18-24",IF(Table1[[#This Row],[Age]]&lt;30,"25-29",IF(Table1[[#This Row],[Age]]&lt;35,"30-34",IF(Table1[[#This Row],[Age]]&lt;40,"35-39",IF(Table1[[#This Row],[Age]]&lt;50,"40-49","50+")))))</f>
        <v>35-39</v>
      </c>
    </row>
    <row r="48" spans="1:20" x14ac:dyDescent="0.35">
      <c r="A48">
        <v>1047</v>
      </c>
      <c r="B48" t="s">
        <v>60</v>
      </c>
      <c r="C48" t="s">
        <v>43</v>
      </c>
      <c r="D48" t="s">
        <v>17</v>
      </c>
      <c r="E48">
        <v>41</v>
      </c>
      <c r="F48" t="s">
        <v>33</v>
      </c>
      <c r="G48" t="s">
        <v>77</v>
      </c>
      <c r="H48" t="s">
        <v>28</v>
      </c>
      <c r="I48" s="1">
        <v>32206</v>
      </c>
      <c r="J48" t="s">
        <v>1349</v>
      </c>
      <c r="K48" t="s">
        <v>49</v>
      </c>
      <c r="L48">
        <v>7</v>
      </c>
      <c r="M48">
        <v>2</v>
      </c>
      <c r="N48" t="s">
        <v>22</v>
      </c>
      <c r="O48" t="s">
        <v>23</v>
      </c>
      <c r="P48" t="s">
        <v>112</v>
      </c>
      <c r="Q48" s="9" t="str">
        <f t="shared" si="0"/>
        <v>Valid</v>
      </c>
      <c r="R48">
        <v>9211149529</v>
      </c>
      <c r="S48" s="7" t="str">
        <f t="shared" si="1"/>
        <v>Valid</v>
      </c>
      <c r="T48" t="str">
        <f>IF(Table1[[#This Row],[Age]]&lt;25,"18-24",IF(Table1[[#This Row],[Age]]&lt;30,"25-29",IF(Table1[[#This Row],[Age]]&lt;35,"30-34",IF(Table1[[#This Row],[Age]]&lt;40,"35-39",IF(Table1[[#This Row],[Age]]&lt;50,"40-49","50+")))))</f>
        <v>40-49</v>
      </c>
    </row>
    <row r="49" spans="1:20" x14ac:dyDescent="0.35">
      <c r="A49">
        <v>1048</v>
      </c>
      <c r="B49" t="s">
        <v>37</v>
      </c>
      <c r="C49" t="s">
        <v>26</v>
      </c>
      <c r="D49" t="s">
        <v>27</v>
      </c>
      <c r="E49">
        <v>55</v>
      </c>
      <c r="F49" t="s">
        <v>18</v>
      </c>
      <c r="G49" t="s">
        <v>19</v>
      </c>
      <c r="H49" t="s">
        <v>44</v>
      </c>
      <c r="I49" s="1">
        <v>39986</v>
      </c>
      <c r="J49" t="s">
        <v>113</v>
      </c>
      <c r="K49" t="s">
        <v>21</v>
      </c>
      <c r="L49">
        <v>17</v>
      </c>
      <c r="M49">
        <v>3</v>
      </c>
      <c r="N49" t="s">
        <v>23</v>
      </c>
      <c r="O49" t="s">
        <v>23</v>
      </c>
      <c r="P49" t="s">
        <v>114</v>
      </c>
      <c r="Q49" s="9" t="str">
        <f t="shared" si="0"/>
        <v>Valid</v>
      </c>
      <c r="R49">
        <v>9786970332</v>
      </c>
      <c r="S49" s="7" t="str">
        <f t="shared" si="1"/>
        <v>Valid</v>
      </c>
      <c r="T49" t="str">
        <f>IF(Table1[[#This Row],[Age]]&lt;25,"18-24",IF(Table1[[#This Row],[Age]]&lt;30,"25-29",IF(Table1[[#This Row],[Age]]&lt;35,"30-34",IF(Table1[[#This Row],[Age]]&lt;40,"35-39",IF(Table1[[#This Row],[Age]]&lt;50,"40-49","50+")))))</f>
        <v>50+</v>
      </c>
    </row>
    <row r="50" spans="1:20" x14ac:dyDescent="0.35">
      <c r="A50">
        <v>1049</v>
      </c>
      <c r="B50" t="s">
        <v>64</v>
      </c>
      <c r="C50" t="s">
        <v>61</v>
      </c>
      <c r="D50" t="s">
        <v>17</v>
      </c>
      <c r="E50">
        <v>41</v>
      </c>
      <c r="F50" t="s">
        <v>62</v>
      </c>
      <c r="G50" t="s">
        <v>77</v>
      </c>
      <c r="H50" t="s">
        <v>28</v>
      </c>
      <c r="I50" s="1">
        <v>80809</v>
      </c>
      <c r="J50" t="s">
        <v>115</v>
      </c>
      <c r="K50" t="s">
        <v>21</v>
      </c>
      <c r="L50">
        <v>3</v>
      </c>
      <c r="M50">
        <v>4</v>
      </c>
      <c r="N50" t="s">
        <v>23</v>
      </c>
      <c r="O50" t="s">
        <v>22</v>
      </c>
      <c r="P50" t="s">
        <v>116</v>
      </c>
      <c r="Q50" s="9" t="str">
        <f t="shared" si="0"/>
        <v>Valid</v>
      </c>
      <c r="R50">
        <v>9637960467</v>
      </c>
      <c r="S50" s="7" t="str">
        <f t="shared" si="1"/>
        <v>Valid</v>
      </c>
      <c r="T50" t="str">
        <f>IF(Table1[[#This Row],[Age]]&lt;25,"18-24",IF(Table1[[#This Row],[Age]]&lt;30,"25-29",IF(Table1[[#This Row],[Age]]&lt;35,"30-34",IF(Table1[[#This Row],[Age]]&lt;40,"35-39",IF(Table1[[#This Row],[Age]]&lt;50,"40-49","50+")))))</f>
        <v>40-49</v>
      </c>
    </row>
    <row r="51" spans="1:20" x14ac:dyDescent="0.35">
      <c r="A51">
        <v>1050</v>
      </c>
      <c r="B51" t="s">
        <v>67</v>
      </c>
      <c r="C51" t="s">
        <v>26</v>
      </c>
      <c r="D51" t="s">
        <v>17</v>
      </c>
      <c r="E51">
        <v>29</v>
      </c>
      <c r="F51" t="s">
        <v>62</v>
      </c>
      <c r="G51" t="s">
        <v>55</v>
      </c>
      <c r="H51" t="s">
        <v>35</v>
      </c>
      <c r="I51" s="1">
        <v>37088</v>
      </c>
      <c r="J51" t="s">
        <v>1350</v>
      </c>
      <c r="K51" t="s">
        <v>49</v>
      </c>
      <c r="L51">
        <v>22</v>
      </c>
      <c r="M51">
        <v>5</v>
      </c>
      <c r="N51" t="s">
        <v>23</v>
      </c>
      <c r="O51" t="s">
        <v>22</v>
      </c>
      <c r="P51" t="s">
        <v>117</v>
      </c>
      <c r="Q51" s="9" t="str">
        <f t="shared" si="0"/>
        <v>Valid</v>
      </c>
      <c r="R51">
        <v>9238043482</v>
      </c>
      <c r="S51" s="7" t="str">
        <f t="shared" si="1"/>
        <v>Valid</v>
      </c>
      <c r="T51" t="str">
        <f>IF(Table1[[#This Row],[Age]]&lt;25,"18-24",IF(Table1[[#This Row],[Age]]&lt;30,"25-29",IF(Table1[[#This Row],[Age]]&lt;35,"30-34",IF(Table1[[#This Row],[Age]]&lt;40,"35-39",IF(Table1[[#This Row],[Age]]&lt;50,"40-49","50+")))))</f>
        <v>25-29</v>
      </c>
    </row>
    <row r="52" spans="1:20" x14ac:dyDescent="0.35">
      <c r="A52">
        <v>1051</v>
      </c>
      <c r="B52" t="s">
        <v>54</v>
      </c>
      <c r="C52" t="s">
        <v>43</v>
      </c>
      <c r="D52" t="s">
        <v>27</v>
      </c>
      <c r="E52">
        <v>36</v>
      </c>
      <c r="F52" t="s">
        <v>62</v>
      </c>
      <c r="G52" t="s">
        <v>34</v>
      </c>
      <c r="H52" t="s">
        <v>56</v>
      </c>
      <c r="I52" s="1">
        <v>40831</v>
      </c>
      <c r="J52" t="s">
        <v>1351</v>
      </c>
      <c r="K52" t="s">
        <v>30</v>
      </c>
      <c r="L52">
        <v>20</v>
      </c>
      <c r="M52">
        <v>3</v>
      </c>
      <c r="N52" t="s">
        <v>23</v>
      </c>
      <c r="O52" t="s">
        <v>23</v>
      </c>
      <c r="P52" t="s">
        <v>118</v>
      </c>
      <c r="Q52" s="9" t="str">
        <f t="shared" si="0"/>
        <v>Valid</v>
      </c>
      <c r="R52">
        <v>9006070899</v>
      </c>
      <c r="S52" s="7" t="str">
        <f t="shared" si="1"/>
        <v>Valid</v>
      </c>
      <c r="T52" t="str">
        <f>IF(Table1[[#This Row],[Age]]&lt;25,"18-24",IF(Table1[[#This Row],[Age]]&lt;30,"25-29",IF(Table1[[#This Row],[Age]]&lt;35,"30-34",IF(Table1[[#This Row],[Age]]&lt;40,"35-39",IF(Table1[[#This Row],[Age]]&lt;50,"40-49","50+")))))</f>
        <v>35-39</v>
      </c>
    </row>
    <row r="53" spans="1:20" x14ac:dyDescent="0.35">
      <c r="A53">
        <v>1052</v>
      </c>
      <c r="B53" t="s">
        <v>37</v>
      </c>
      <c r="C53" t="s">
        <v>26</v>
      </c>
      <c r="D53" t="s">
        <v>17</v>
      </c>
      <c r="E53">
        <v>33</v>
      </c>
      <c r="F53" t="s">
        <v>33</v>
      </c>
      <c r="G53" t="s">
        <v>34</v>
      </c>
      <c r="H53" t="s">
        <v>35</v>
      </c>
      <c r="I53" s="1">
        <v>85353</v>
      </c>
      <c r="J53" t="s">
        <v>1352</v>
      </c>
      <c r="K53" t="s">
        <v>30</v>
      </c>
      <c r="L53">
        <v>9</v>
      </c>
      <c r="M53">
        <v>1</v>
      </c>
      <c r="N53" t="s">
        <v>22</v>
      </c>
      <c r="O53" t="s">
        <v>23</v>
      </c>
      <c r="P53" t="s">
        <v>119</v>
      </c>
      <c r="Q53" s="9" t="str">
        <f t="shared" si="0"/>
        <v>Valid</v>
      </c>
      <c r="R53">
        <v>9851865535</v>
      </c>
      <c r="S53" s="7" t="str">
        <f t="shared" si="1"/>
        <v>Valid</v>
      </c>
      <c r="T53" t="str">
        <f>IF(Table1[[#This Row],[Age]]&lt;25,"18-24",IF(Table1[[#This Row],[Age]]&lt;30,"25-29",IF(Table1[[#This Row],[Age]]&lt;35,"30-34",IF(Table1[[#This Row],[Age]]&lt;40,"35-39",IF(Table1[[#This Row],[Age]]&lt;50,"40-49","50+")))))</f>
        <v>30-34</v>
      </c>
    </row>
    <row r="54" spans="1:20" x14ac:dyDescent="0.35">
      <c r="A54">
        <v>1053</v>
      </c>
      <c r="B54" t="s">
        <v>82</v>
      </c>
      <c r="C54" t="s">
        <v>26</v>
      </c>
      <c r="D54" t="s">
        <v>17</v>
      </c>
      <c r="E54">
        <v>24</v>
      </c>
      <c r="F54" t="s">
        <v>18</v>
      </c>
      <c r="G54" t="s">
        <v>39</v>
      </c>
      <c r="H54" t="s">
        <v>35</v>
      </c>
      <c r="I54" s="1">
        <v>63169</v>
      </c>
      <c r="J54" t="s">
        <v>1353</v>
      </c>
      <c r="K54" t="s">
        <v>40</v>
      </c>
      <c r="L54">
        <v>1</v>
      </c>
      <c r="M54">
        <v>3</v>
      </c>
      <c r="N54" t="s">
        <v>23</v>
      </c>
      <c r="O54" t="s">
        <v>22</v>
      </c>
      <c r="P54" t="s">
        <v>120</v>
      </c>
      <c r="Q54" s="9" t="str">
        <f t="shared" si="0"/>
        <v>Valid</v>
      </c>
      <c r="R54">
        <v>9934732614</v>
      </c>
      <c r="S54" s="7" t="str">
        <f t="shared" si="1"/>
        <v>Valid</v>
      </c>
      <c r="T54" t="str">
        <f>IF(Table1[[#This Row],[Age]]&lt;25,"18-24",IF(Table1[[#This Row],[Age]]&lt;30,"25-29",IF(Table1[[#This Row],[Age]]&lt;35,"30-34",IF(Table1[[#This Row],[Age]]&lt;40,"35-39",IF(Table1[[#This Row],[Age]]&lt;50,"40-49","50+")))))</f>
        <v>18-24</v>
      </c>
    </row>
    <row r="55" spans="1:20" x14ac:dyDescent="0.35">
      <c r="A55">
        <v>1054</v>
      </c>
      <c r="B55" t="s">
        <v>37</v>
      </c>
      <c r="C55" t="s">
        <v>32</v>
      </c>
      <c r="D55" t="s">
        <v>17</v>
      </c>
      <c r="E55">
        <v>41</v>
      </c>
      <c r="F55" t="s">
        <v>38</v>
      </c>
      <c r="G55" t="s">
        <v>77</v>
      </c>
      <c r="H55" t="s">
        <v>56</v>
      </c>
      <c r="I55" s="1">
        <v>28004</v>
      </c>
      <c r="J55" t="s">
        <v>121</v>
      </c>
      <c r="K55" t="s">
        <v>40</v>
      </c>
      <c r="L55">
        <v>25</v>
      </c>
      <c r="M55">
        <v>2</v>
      </c>
      <c r="N55" t="s">
        <v>23</v>
      </c>
      <c r="O55" t="s">
        <v>22</v>
      </c>
      <c r="P55" t="s">
        <v>122</v>
      </c>
      <c r="Q55" s="9" t="str">
        <f t="shared" si="0"/>
        <v>Valid</v>
      </c>
      <c r="R55">
        <v>9237026067</v>
      </c>
      <c r="S55" s="7" t="str">
        <f t="shared" si="1"/>
        <v>Valid</v>
      </c>
      <c r="T55" t="str">
        <f>IF(Table1[[#This Row],[Age]]&lt;25,"18-24",IF(Table1[[#This Row],[Age]]&lt;30,"25-29",IF(Table1[[#This Row],[Age]]&lt;35,"30-34",IF(Table1[[#This Row],[Age]]&lt;40,"35-39",IF(Table1[[#This Row],[Age]]&lt;50,"40-49","50+")))))</f>
        <v>40-49</v>
      </c>
    </row>
    <row r="56" spans="1:20" x14ac:dyDescent="0.35">
      <c r="A56">
        <v>1055</v>
      </c>
      <c r="B56" t="s">
        <v>25</v>
      </c>
      <c r="C56" t="s">
        <v>32</v>
      </c>
      <c r="D56" t="s">
        <v>17</v>
      </c>
      <c r="E56">
        <v>57</v>
      </c>
      <c r="F56" t="s">
        <v>18</v>
      </c>
      <c r="G56" t="s">
        <v>39</v>
      </c>
      <c r="H56" t="s">
        <v>56</v>
      </c>
      <c r="I56" s="1">
        <v>70804</v>
      </c>
      <c r="J56" t="s">
        <v>1354</v>
      </c>
      <c r="K56" t="s">
        <v>46</v>
      </c>
      <c r="L56">
        <v>16</v>
      </c>
      <c r="M56">
        <v>3</v>
      </c>
      <c r="N56" t="s">
        <v>23</v>
      </c>
      <c r="O56" t="s">
        <v>23</v>
      </c>
      <c r="P56" t="s">
        <v>123</v>
      </c>
      <c r="Q56" s="9" t="str">
        <f t="shared" si="0"/>
        <v>Valid</v>
      </c>
      <c r="R56">
        <v>9765992107</v>
      </c>
      <c r="S56" s="7" t="str">
        <f t="shared" si="1"/>
        <v>Valid</v>
      </c>
      <c r="T56" t="str">
        <f>IF(Table1[[#This Row],[Age]]&lt;25,"18-24",IF(Table1[[#This Row],[Age]]&lt;30,"25-29",IF(Table1[[#This Row],[Age]]&lt;35,"30-34",IF(Table1[[#This Row],[Age]]&lt;40,"35-39",IF(Table1[[#This Row],[Age]]&lt;50,"40-49","50+")))))</f>
        <v>50+</v>
      </c>
    </row>
    <row r="57" spans="1:20" x14ac:dyDescent="0.35">
      <c r="A57">
        <v>1056</v>
      </c>
      <c r="B57" t="s">
        <v>54</v>
      </c>
      <c r="C57" t="s">
        <v>32</v>
      </c>
      <c r="D57" t="s">
        <v>27</v>
      </c>
      <c r="E57">
        <v>58</v>
      </c>
      <c r="F57" t="s">
        <v>18</v>
      </c>
      <c r="G57" t="s">
        <v>55</v>
      </c>
      <c r="H57" t="s">
        <v>20</v>
      </c>
      <c r="I57" s="1">
        <v>119637</v>
      </c>
      <c r="J57" t="s">
        <v>1355</v>
      </c>
      <c r="K57" t="s">
        <v>40</v>
      </c>
      <c r="L57">
        <v>20</v>
      </c>
      <c r="M57">
        <v>1</v>
      </c>
      <c r="N57" t="s">
        <v>23</v>
      </c>
      <c r="O57" t="s">
        <v>22</v>
      </c>
      <c r="P57" t="s">
        <v>124</v>
      </c>
      <c r="Q57" s="9" t="str">
        <f t="shared" si="0"/>
        <v>Valid</v>
      </c>
      <c r="R57">
        <v>9106626608</v>
      </c>
      <c r="S57" s="7" t="str">
        <f t="shared" si="1"/>
        <v>Valid</v>
      </c>
      <c r="T57" t="str">
        <f>IF(Table1[[#This Row],[Age]]&lt;25,"18-24",IF(Table1[[#This Row],[Age]]&lt;30,"25-29",IF(Table1[[#This Row],[Age]]&lt;35,"30-34",IF(Table1[[#This Row],[Age]]&lt;40,"35-39",IF(Table1[[#This Row],[Age]]&lt;50,"40-49","50+")))))</f>
        <v>50+</v>
      </c>
    </row>
    <row r="58" spans="1:20" x14ac:dyDescent="0.35">
      <c r="A58">
        <v>1057</v>
      </c>
      <c r="B58" t="s">
        <v>37</v>
      </c>
      <c r="C58" t="s">
        <v>26</v>
      </c>
      <c r="D58" t="s">
        <v>17</v>
      </c>
      <c r="E58">
        <v>50</v>
      </c>
      <c r="F58" t="s">
        <v>33</v>
      </c>
      <c r="G58" t="s">
        <v>19</v>
      </c>
      <c r="H58" t="s">
        <v>35</v>
      </c>
      <c r="I58" s="1">
        <v>41374</v>
      </c>
      <c r="J58" t="s">
        <v>1092</v>
      </c>
      <c r="K58" t="s">
        <v>46</v>
      </c>
      <c r="L58">
        <v>20</v>
      </c>
      <c r="M58">
        <v>4</v>
      </c>
      <c r="N58" t="s">
        <v>22</v>
      </c>
      <c r="O58" t="s">
        <v>23</v>
      </c>
      <c r="P58" t="s">
        <v>125</v>
      </c>
      <c r="Q58" s="9" t="str">
        <f t="shared" si="0"/>
        <v>Valid</v>
      </c>
      <c r="R58">
        <v>93643516</v>
      </c>
      <c r="S58" s="7" t="str">
        <f t="shared" si="1"/>
        <v>Invalid</v>
      </c>
      <c r="T58" t="str">
        <f>IF(Table1[[#This Row],[Age]]&lt;25,"18-24",IF(Table1[[#This Row],[Age]]&lt;30,"25-29",IF(Table1[[#This Row],[Age]]&lt;35,"30-34",IF(Table1[[#This Row],[Age]]&lt;40,"35-39",IF(Table1[[#This Row],[Age]]&lt;50,"40-49","50+")))))</f>
        <v>50+</v>
      </c>
    </row>
    <row r="59" spans="1:20" x14ac:dyDescent="0.35">
      <c r="A59">
        <v>1058</v>
      </c>
      <c r="B59" t="s">
        <v>54</v>
      </c>
      <c r="C59" t="s">
        <v>61</v>
      </c>
      <c r="D59" t="s">
        <v>17</v>
      </c>
      <c r="E59">
        <v>42</v>
      </c>
      <c r="F59" t="s">
        <v>69</v>
      </c>
      <c r="G59" t="s">
        <v>77</v>
      </c>
      <c r="H59" t="s">
        <v>28</v>
      </c>
      <c r="I59" s="1">
        <v>118851</v>
      </c>
      <c r="J59" t="s">
        <v>1356</v>
      </c>
      <c r="K59" t="s">
        <v>49</v>
      </c>
      <c r="L59">
        <v>12</v>
      </c>
      <c r="M59">
        <v>2</v>
      </c>
      <c r="N59" t="s">
        <v>23</v>
      </c>
      <c r="O59" t="s">
        <v>22</v>
      </c>
      <c r="P59" s="3" t="s">
        <v>1318</v>
      </c>
      <c r="Q59" s="9" t="str">
        <f t="shared" si="0"/>
        <v>Invalid</v>
      </c>
      <c r="R59">
        <v>9420886842</v>
      </c>
      <c r="S59" s="7" t="str">
        <f t="shared" si="1"/>
        <v>Valid</v>
      </c>
      <c r="T59" t="str">
        <f>IF(Table1[[#This Row],[Age]]&lt;25,"18-24",IF(Table1[[#This Row],[Age]]&lt;30,"25-29",IF(Table1[[#This Row],[Age]]&lt;35,"30-34",IF(Table1[[#This Row],[Age]]&lt;40,"35-39",IF(Table1[[#This Row],[Age]]&lt;50,"40-49","50+")))))</f>
        <v>40-49</v>
      </c>
    </row>
    <row r="60" spans="1:20" x14ac:dyDescent="0.35">
      <c r="A60">
        <v>1059</v>
      </c>
      <c r="B60" t="s">
        <v>60</v>
      </c>
      <c r="C60" t="s">
        <v>16</v>
      </c>
      <c r="D60" t="s">
        <v>17</v>
      </c>
      <c r="E60">
        <v>45</v>
      </c>
      <c r="F60" t="s">
        <v>62</v>
      </c>
      <c r="G60" t="s">
        <v>19</v>
      </c>
      <c r="H60" t="s">
        <v>20</v>
      </c>
      <c r="I60" s="1">
        <v>88783</v>
      </c>
      <c r="J60" t="s">
        <v>126</v>
      </c>
      <c r="K60" t="s">
        <v>49</v>
      </c>
      <c r="L60">
        <v>21</v>
      </c>
      <c r="M60">
        <v>5</v>
      </c>
      <c r="N60" t="s">
        <v>23</v>
      </c>
      <c r="O60" t="s">
        <v>23</v>
      </c>
      <c r="P60" t="s">
        <v>127</v>
      </c>
      <c r="Q60" s="9" t="str">
        <f t="shared" si="0"/>
        <v>Valid</v>
      </c>
      <c r="R60">
        <v>9168951188</v>
      </c>
      <c r="S60" s="7" t="str">
        <f t="shared" si="1"/>
        <v>Valid</v>
      </c>
      <c r="T60" t="str">
        <f>IF(Table1[[#This Row],[Age]]&lt;25,"18-24",IF(Table1[[#This Row],[Age]]&lt;30,"25-29",IF(Table1[[#This Row],[Age]]&lt;35,"30-34",IF(Table1[[#This Row],[Age]]&lt;40,"35-39",IF(Table1[[#This Row],[Age]]&lt;50,"40-49","50+")))))</f>
        <v>40-49</v>
      </c>
    </row>
    <row r="61" spans="1:20" x14ac:dyDescent="0.35">
      <c r="A61">
        <v>1060</v>
      </c>
      <c r="B61" t="s">
        <v>37</v>
      </c>
      <c r="C61" t="s">
        <v>61</v>
      </c>
      <c r="D61" t="s">
        <v>27</v>
      </c>
      <c r="E61">
        <v>55</v>
      </c>
      <c r="F61" t="s">
        <v>69</v>
      </c>
      <c r="G61" t="s">
        <v>34</v>
      </c>
      <c r="H61" t="s">
        <v>35</v>
      </c>
      <c r="I61" s="1">
        <v>78145</v>
      </c>
      <c r="J61" t="s">
        <v>1357</v>
      </c>
      <c r="K61" t="s">
        <v>30</v>
      </c>
      <c r="L61">
        <v>24</v>
      </c>
      <c r="M61">
        <v>4</v>
      </c>
      <c r="N61" t="s">
        <v>23</v>
      </c>
      <c r="O61" t="s">
        <v>22</v>
      </c>
      <c r="P61" t="s">
        <v>128</v>
      </c>
      <c r="Q61" s="9" t="str">
        <f t="shared" si="0"/>
        <v>Valid</v>
      </c>
      <c r="R61">
        <v>9833916179</v>
      </c>
      <c r="S61" s="7" t="str">
        <f t="shared" si="1"/>
        <v>Valid</v>
      </c>
      <c r="T61" t="str">
        <f>IF(Table1[[#This Row],[Age]]&lt;25,"18-24",IF(Table1[[#This Row],[Age]]&lt;30,"25-29",IF(Table1[[#This Row],[Age]]&lt;35,"30-34",IF(Table1[[#This Row],[Age]]&lt;40,"35-39",IF(Table1[[#This Row],[Age]]&lt;50,"40-49","50+")))))</f>
        <v>50+</v>
      </c>
    </row>
    <row r="62" spans="1:20" x14ac:dyDescent="0.35">
      <c r="A62">
        <v>1061</v>
      </c>
      <c r="B62" t="s">
        <v>58</v>
      </c>
      <c r="C62" t="s">
        <v>32</v>
      </c>
      <c r="D62" t="s">
        <v>27</v>
      </c>
      <c r="E62">
        <v>49</v>
      </c>
      <c r="F62" t="s">
        <v>69</v>
      </c>
      <c r="G62" t="s">
        <v>19</v>
      </c>
      <c r="H62" t="s">
        <v>56</v>
      </c>
      <c r="I62" s="1">
        <v>51890</v>
      </c>
      <c r="J62" t="s">
        <v>1358</v>
      </c>
      <c r="K62" t="s">
        <v>46</v>
      </c>
      <c r="L62">
        <v>0</v>
      </c>
      <c r="M62">
        <v>4</v>
      </c>
      <c r="N62" t="s">
        <v>23</v>
      </c>
      <c r="O62" t="s">
        <v>23</v>
      </c>
      <c r="P62" t="s">
        <v>129</v>
      </c>
      <c r="Q62" s="9" t="str">
        <f t="shared" si="0"/>
        <v>Valid</v>
      </c>
      <c r="R62">
        <v>9974688329</v>
      </c>
      <c r="S62" s="7" t="str">
        <f t="shared" si="1"/>
        <v>Valid</v>
      </c>
      <c r="T62" t="str">
        <f>IF(Table1[[#This Row],[Age]]&lt;25,"18-24",IF(Table1[[#This Row],[Age]]&lt;30,"25-29",IF(Table1[[#This Row],[Age]]&lt;35,"30-34",IF(Table1[[#This Row],[Age]]&lt;40,"35-39",IF(Table1[[#This Row],[Age]]&lt;50,"40-49","50+")))))</f>
        <v>40-49</v>
      </c>
    </row>
    <row r="63" spans="1:20" x14ac:dyDescent="0.35">
      <c r="A63">
        <v>1062</v>
      </c>
      <c r="B63" t="s">
        <v>67</v>
      </c>
      <c r="C63" t="s">
        <v>26</v>
      </c>
      <c r="D63" t="s">
        <v>27</v>
      </c>
      <c r="E63">
        <v>31</v>
      </c>
      <c r="F63" t="s">
        <v>38</v>
      </c>
      <c r="G63" t="s">
        <v>77</v>
      </c>
      <c r="H63" t="s">
        <v>28</v>
      </c>
      <c r="I63" s="1">
        <v>92434</v>
      </c>
      <c r="J63" t="s">
        <v>751</v>
      </c>
      <c r="K63" t="s">
        <v>40</v>
      </c>
      <c r="L63">
        <v>2</v>
      </c>
      <c r="M63">
        <v>4</v>
      </c>
      <c r="N63" t="s">
        <v>22</v>
      </c>
      <c r="O63" t="s">
        <v>22</v>
      </c>
      <c r="P63" t="s">
        <v>130</v>
      </c>
      <c r="Q63" s="9" t="str">
        <f t="shared" si="0"/>
        <v>Valid</v>
      </c>
      <c r="R63">
        <v>9148354846</v>
      </c>
      <c r="S63" s="7" t="str">
        <f t="shared" si="1"/>
        <v>Valid</v>
      </c>
      <c r="T63" t="str">
        <f>IF(Table1[[#This Row],[Age]]&lt;25,"18-24",IF(Table1[[#This Row],[Age]]&lt;30,"25-29",IF(Table1[[#This Row],[Age]]&lt;35,"30-34",IF(Table1[[#This Row],[Age]]&lt;40,"35-39",IF(Table1[[#This Row],[Age]]&lt;50,"40-49","50+")))))</f>
        <v>30-34</v>
      </c>
    </row>
    <row r="64" spans="1:20" x14ac:dyDescent="0.35">
      <c r="A64">
        <v>1063</v>
      </c>
      <c r="B64" t="s">
        <v>82</v>
      </c>
      <c r="C64" t="s">
        <v>43</v>
      </c>
      <c r="D64" t="s">
        <v>17</v>
      </c>
      <c r="E64">
        <v>41</v>
      </c>
      <c r="F64" t="s">
        <v>62</v>
      </c>
      <c r="G64" t="s">
        <v>19</v>
      </c>
      <c r="H64" t="s">
        <v>35</v>
      </c>
      <c r="I64" s="1">
        <v>75275</v>
      </c>
      <c r="J64" t="s">
        <v>1029</v>
      </c>
      <c r="K64" t="s">
        <v>40</v>
      </c>
      <c r="L64">
        <v>3</v>
      </c>
      <c r="M64">
        <v>2</v>
      </c>
      <c r="N64" t="s">
        <v>22</v>
      </c>
      <c r="O64" t="s">
        <v>22</v>
      </c>
      <c r="P64" t="s">
        <v>131</v>
      </c>
      <c r="Q64" s="9" t="str">
        <f t="shared" si="0"/>
        <v>Valid</v>
      </c>
      <c r="R64">
        <v>9610359309</v>
      </c>
      <c r="S64" s="7" t="str">
        <f t="shared" si="1"/>
        <v>Valid</v>
      </c>
      <c r="T64" t="str">
        <f>IF(Table1[[#This Row],[Age]]&lt;25,"18-24",IF(Table1[[#This Row],[Age]]&lt;30,"25-29",IF(Table1[[#This Row],[Age]]&lt;35,"30-34",IF(Table1[[#This Row],[Age]]&lt;40,"35-39",IF(Table1[[#This Row],[Age]]&lt;50,"40-49","50+")))))</f>
        <v>40-49</v>
      </c>
    </row>
    <row r="65" spans="1:20" x14ac:dyDescent="0.35">
      <c r="A65">
        <v>1064</v>
      </c>
      <c r="B65" t="s">
        <v>58</v>
      </c>
      <c r="C65" t="s">
        <v>43</v>
      </c>
      <c r="D65" t="s">
        <v>17</v>
      </c>
      <c r="E65">
        <v>50</v>
      </c>
      <c r="F65" t="s">
        <v>62</v>
      </c>
      <c r="G65" t="s">
        <v>55</v>
      </c>
      <c r="H65" t="s">
        <v>56</v>
      </c>
      <c r="I65" s="1">
        <v>77718</v>
      </c>
      <c r="J65" t="s">
        <v>1359</v>
      </c>
      <c r="K65" t="s">
        <v>49</v>
      </c>
      <c r="L65">
        <v>25</v>
      </c>
      <c r="M65">
        <v>2</v>
      </c>
      <c r="N65" t="s">
        <v>23</v>
      </c>
      <c r="O65" t="s">
        <v>22</v>
      </c>
      <c r="P65" t="s">
        <v>132</v>
      </c>
      <c r="Q65" s="9" t="str">
        <f t="shared" si="0"/>
        <v>Valid</v>
      </c>
      <c r="R65">
        <v>9027841826</v>
      </c>
      <c r="S65" s="7" t="str">
        <f t="shared" si="1"/>
        <v>Valid</v>
      </c>
      <c r="T65" t="str">
        <f>IF(Table1[[#This Row],[Age]]&lt;25,"18-24",IF(Table1[[#This Row],[Age]]&lt;30,"25-29",IF(Table1[[#This Row],[Age]]&lt;35,"30-34",IF(Table1[[#This Row],[Age]]&lt;40,"35-39",IF(Table1[[#This Row],[Age]]&lt;50,"40-49","50+")))))</f>
        <v>50+</v>
      </c>
    </row>
    <row r="66" spans="1:20" x14ac:dyDescent="0.35">
      <c r="A66">
        <v>1065</v>
      </c>
      <c r="B66" t="s">
        <v>82</v>
      </c>
      <c r="C66" t="s">
        <v>26</v>
      </c>
      <c r="D66" t="s">
        <v>17</v>
      </c>
      <c r="E66">
        <v>52</v>
      </c>
      <c r="F66" t="s">
        <v>38</v>
      </c>
      <c r="G66" t="s">
        <v>34</v>
      </c>
      <c r="H66" t="s">
        <v>44</v>
      </c>
      <c r="I66" s="1">
        <v>32648</v>
      </c>
      <c r="J66" t="s">
        <v>1027</v>
      </c>
      <c r="K66" t="s">
        <v>40</v>
      </c>
      <c r="L66">
        <v>6</v>
      </c>
      <c r="M66">
        <v>4</v>
      </c>
      <c r="N66" t="s">
        <v>22</v>
      </c>
      <c r="O66" t="s">
        <v>22</v>
      </c>
      <c r="P66" t="s">
        <v>133</v>
      </c>
      <c r="Q66" s="9" t="str">
        <f t="shared" si="0"/>
        <v>Valid</v>
      </c>
      <c r="R66">
        <v>9628489277</v>
      </c>
      <c r="S66" s="7" t="str">
        <f t="shared" ref="S66:S129" si="2">IF(AND(ISNUMBER(R66),LEN(R66)=10),"Valid","Invalid")</f>
        <v>Valid</v>
      </c>
      <c r="T66" t="str">
        <f>IF(Table1[[#This Row],[Age]]&lt;25,"18-24",IF(Table1[[#This Row],[Age]]&lt;30,"25-29",IF(Table1[[#This Row],[Age]]&lt;35,"30-34",IF(Table1[[#This Row],[Age]]&lt;40,"35-39",IF(Table1[[#This Row],[Age]]&lt;50,"40-49","50+")))))</f>
        <v>50+</v>
      </c>
    </row>
    <row r="67" spans="1:20" x14ac:dyDescent="0.35">
      <c r="A67">
        <v>1066</v>
      </c>
      <c r="B67" t="s">
        <v>15</v>
      </c>
      <c r="C67" t="s">
        <v>32</v>
      </c>
      <c r="D67" t="s">
        <v>27</v>
      </c>
      <c r="E67">
        <v>38</v>
      </c>
      <c r="F67" t="s">
        <v>69</v>
      </c>
      <c r="G67" t="s">
        <v>77</v>
      </c>
      <c r="H67" t="s">
        <v>44</v>
      </c>
      <c r="I67" s="1">
        <v>90265</v>
      </c>
      <c r="J67" t="s">
        <v>1360</v>
      </c>
      <c r="K67" t="s">
        <v>49</v>
      </c>
      <c r="L67">
        <v>16</v>
      </c>
      <c r="M67">
        <v>2</v>
      </c>
      <c r="N67" t="s">
        <v>23</v>
      </c>
      <c r="O67" t="s">
        <v>23</v>
      </c>
      <c r="P67" t="s">
        <v>134</v>
      </c>
      <c r="Q67" s="9" t="str">
        <f t="shared" ref="Q67:Q130" si="3">IF(AND(ISNUMBER(SEARCH("@",P67)),ISNUMBER(SEARCH(".",P67))),"Valid","Invalid")</f>
        <v>Valid</v>
      </c>
      <c r="R67">
        <v>9951294527</v>
      </c>
      <c r="S67" s="7" t="str">
        <f t="shared" si="2"/>
        <v>Valid</v>
      </c>
      <c r="T67" t="str">
        <f>IF(Table1[[#This Row],[Age]]&lt;25,"18-24",IF(Table1[[#This Row],[Age]]&lt;30,"25-29",IF(Table1[[#This Row],[Age]]&lt;35,"30-34",IF(Table1[[#This Row],[Age]]&lt;40,"35-39",IF(Table1[[#This Row],[Age]]&lt;50,"40-49","50+")))))</f>
        <v>35-39</v>
      </c>
    </row>
    <row r="68" spans="1:20" x14ac:dyDescent="0.35">
      <c r="A68">
        <v>1067</v>
      </c>
      <c r="B68" t="s">
        <v>25</v>
      </c>
      <c r="C68" t="s">
        <v>26</v>
      </c>
      <c r="D68" t="s">
        <v>27</v>
      </c>
      <c r="E68">
        <v>55</v>
      </c>
      <c r="F68" t="s">
        <v>18</v>
      </c>
      <c r="G68" t="s">
        <v>34</v>
      </c>
      <c r="H68" t="s">
        <v>20</v>
      </c>
      <c r="I68" s="1">
        <v>106395</v>
      </c>
      <c r="J68" t="s">
        <v>1361</v>
      </c>
      <c r="K68" t="s">
        <v>40</v>
      </c>
      <c r="L68">
        <v>5</v>
      </c>
      <c r="M68">
        <v>5</v>
      </c>
      <c r="N68" t="s">
        <v>23</v>
      </c>
      <c r="O68" t="s">
        <v>23</v>
      </c>
      <c r="P68" t="s">
        <v>135</v>
      </c>
      <c r="Q68" s="9" t="str">
        <f t="shared" si="3"/>
        <v>Valid</v>
      </c>
      <c r="R68">
        <v>9520274191</v>
      </c>
      <c r="S68" s="7" t="str">
        <f t="shared" si="2"/>
        <v>Valid</v>
      </c>
      <c r="T68" t="str">
        <f>IF(Table1[[#This Row],[Age]]&lt;25,"18-24",IF(Table1[[#This Row],[Age]]&lt;30,"25-29",IF(Table1[[#This Row],[Age]]&lt;35,"30-34",IF(Table1[[#This Row],[Age]]&lt;40,"35-39",IF(Table1[[#This Row],[Age]]&lt;50,"40-49","50+")))))</f>
        <v>50+</v>
      </c>
    </row>
    <row r="69" spans="1:20" x14ac:dyDescent="0.35">
      <c r="A69">
        <v>1068</v>
      </c>
      <c r="B69" t="s">
        <v>60</v>
      </c>
      <c r="C69" t="s">
        <v>61</v>
      </c>
      <c r="D69" t="s">
        <v>17</v>
      </c>
      <c r="E69">
        <v>36</v>
      </c>
      <c r="F69" t="s">
        <v>38</v>
      </c>
      <c r="G69" t="s">
        <v>77</v>
      </c>
      <c r="H69" t="s">
        <v>44</v>
      </c>
      <c r="I69" s="1">
        <v>114852</v>
      </c>
      <c r="J69" t="s">
        <v>1362</v>
      </c>
      <c r="K69" t="s">
        <v>40</v>
      </c>
      <c r="L69">
        <v>2</v>
      </c>
      <c r="M69">
        <v>2</v>
      </c>
      <c r="N69" t="s">
        <v>22</v>
      </c>
      <c r="O69" t="s">
        <v>22</v>
      </c>
      <c r="P69" t="s">
        <v>136</v>
      </c>
      <c r="Q69" s="9" t="str">
        <f t="shared" si="3"/>
        <v>Valid</v>
      </c>
      <c r="R69">
        <v>9086384583</v>
      </c>
      <c r="S69" s="7" t="str">
        <f t="shared" si="2"/>
        <v>Valid</v>
      </c>
      <c r="T69" t="str">
        <f>IF(Table1[[#This Row],[Age]]&lt;25,"18-24",IF(Table1[[#This Row],[Age]]&lt;30,"25-29",IF(Table1[[#This Row],[Age]]&lt;35,"30-34",IF(Table1[[#This Row],[Age]]&lt;40,"35-39",IF(Table1[[#This Row],[Age]]&lt;50,"40-49","50+")))))</f>
        <v>35-39</v>
      </c>
    </row>
    <row r="70" spans="1:20" x14ac:dyDescent="0.35">
      <c r="A70">
        <v>1069</v>
      </c>
      <c r="B70" t="s">
        <v>58</v>
      </c>
      <c r="C70" t="s">
        <v>32</v>
      </c>
      <c r="D70" t="s">
        <v>17</v>
      </c>
      <c r="E70">
        <v>23</v>
      </c>
      <c r="F70" t="s">
        <v>62</v>
      </c>
      <c r="G70" t="s">
        <v>55</v>
      </c>
      <c r="H70" t="s">
        <v>35</v>
      </c>
      <c r="I70" s="1">
        <v>45019</v>
      </c>
      <c r="J70" t="s">
        <v>139</v>
      </c>
      <c r="K70" t="s">
        <v>46</v>
      </c>
      <c r="L70">
        <v>20</v>
      </c>
      <c r="M70">
        <v>2</v>
      </c>
      <c r="N70" t="s">
        <v>22</v>
      </c>
      <c r="O70" t="s">
        <v>22</v>
      </c>
      <c r="P70" t="s">
        <v>137</v>
      </c>
      <c r="Q70" s="9" t="str">
        <f t="shared" si="3"/>
        <v>Valid</v>
      </c>
      <c r="R70">
        <v>9638267500</v>
      </c>
      <c r="S70" s="7" t="str">
        <f t="shared" si="2"/>
        <v>Valid</v>
      </c>
      <c r="T70" t="str">
        <f>IF(Table1[[#This Row],[Age]]&lt;25,"18-24",IF(Table1[[#This Row],[Age]]&lt;30,"25-29",IF(Table1[[#This Row],[Age]]&lt;35,"30-34",IF(Table1[[#This Row],[Age]]&lt;40,"35-39",IF(Table1[[#This Row],[Age]]&lt;50,"40-49","50+")))))</f>
        <v>18-24</v>
      </c>
    </row>
    <row r="71" spans="1:20" x14ac:dyDescent="0.35">
      <c r="A71">
        <v>1070</v>
      </c>
      <c r="B71" t="s">
        <v>58</v>
      </c>
      <c r="C71" t="s">
        <v>32</v>
      </c>
      <c r="D71" t="s">
        <v>17</v>
      </c>
      <c r="E71">
        <v>42</v>
      </c>
      <c r="F71" t="s">
        <v>33</v>
      </c>
      <c r="G71" t="s">
        <v>34</v>
      </c>
      <c r="H71" t="s">
        <v>35</v>
      </c>
      <c r="I71" s="1">
        <v>85824</v>
      </c>
      <c r="J71" t="s">
        <v>1363</v>
      </c>
      <c r="K71" t="s">
        <v>46</v>
      </c>
      <c r="L71">
        <v>4</v>
      </c>
      <c r="M71">
        <v>5</v>
      </c>
      <c r="N71" t="s">
        <v>22</v>
      </c>
      <c r="O71" t="s">
        <v>23</v>
      </c>
      <c r="P71" t="s">
        <v>138</v>
      </c>
      <c r="Q71" s="9" t="str">
        <f t="shared" si="3"/>
        <v>Valid</v>
      </c>
      <c r="R71">
        <v>9106503280</v>
      </c>
      <c r="S71" s="7" t="str">
        <f t="shared" si="2"/>
        <v>Valid</v>
      </c>
      <c r="T71" t="str">
        <f>IF(Table1[[#This Row],[Age]]&lt;25,"18-24",IF(Table1[[#This Row],[Age]]&lt;30,"25-29",IF(Table1[[#This Row],[Age]]&lt;35,"30-34",IF(Table1[[#This Row],[Age]]&lt;40,"35-39",IF(Table1[[#This Row],[Age]]&lt;50,"40-49","50+")))))</f>
        <v>40-49</v>
      </c>
    </row>
    <row r="72" spans="1:20" x14ac:dyDescent="0.35">
      <c r="A72">
        <v>1071</v>
      </c>
      <c r="B72" t="s">
        <v>15</v>
      </c>
      <c r="C72" t="s">
        <v>16</v>
      </c>
      <c r="D72" t="s">
        <v>27</v>
      </c>
      <c r="E72">
        <v>37</v>
      </c>
      <c r="F72" t="s">
        <v>38</v>
      </c>
      <c r="G72" t="s">
        <v>19</v>
      </c>
      <c r="H72" t="s">
        <v>20</v>
      </c>
      <c r="I72" s="1">
        <v>28697</v>
      </c>
      <c r="J72" t="s">
        <v>139</v>
      </c>
      <c r="K72" t="s">
        <v>30</v>
      </c>
      <c r="L72">
        <v>14</v>
      </c>
      <c r="M72">
        <v>3</v>
      </c>
      <c r="N72" t="s">
        <v>22</v>
      </c>
      <c r="O72" t="s">
        <v>23</v>
      </c>
      <c r="P72" t="s">
        <v>140</v>
      </c>
      <c r="Q72" s="9" t="str">
        <f t="shared" si="3"/>
        <v>Valid</v>
      </c>
      <c r="R72">
        <v>9530996533</v>
      </c>
      <c r="S72" s="7" t="str">
        <f t="shared" si="2"/>
        <v>Valid</v>
      </c>
      <c r="T72" t="str">
        <f>IF(Table1[[#This Row],[Age]]&lt;25,"18-24",IF(Table1[[#This Row],[Age]]&lt;30,"25-29",IF(Table1[[#This Row],[Age]]&lt;35,"30-34",IF(Table1[[#This Row],[Age]]&lt;40,"35-39",IF(Table1[[#This Row],[Age]]&lt;50,"40-49","50+")))))</f>
        <v>35-39</v>
      </c>
    </row>
    <row r="73" spans="1:20" x14ac:dyDescent="0.35">
      <c r="A73">
        <v>1072</v>
      </c>
      <c r="B73" t="s">
        <v>64</v>
      </c>
      <c r="C73" t="s">
        <v>32</v>
      </c>
      <c r="D73" t="s">
        <v>27</v>
      </c>
      <c r="E73">
        <v>58</v>
      </c>
      <c r="F73" t="s">
        <v>18</v>
      </c>
      <c r="G73" t="s">
        <v>39</v>
      </c>
      <c r="H73" t="s">
        <v>44</v>
      </c>
      <c r="I73" s="1">
        <v>90385</v>
      </c>
      <c r="J73" t="s">
        <v>1364</v>
      </c>
      <c r="K73" t="s">
        <v>46</v>
      </c>
      <c r="L73">
        <v>24</v>
      </c>
      <c r="M73">
        <v>1</v>
      </c>
      <c r="N73" t="s">
        <v>23</v>
      </c>
      <c r="O73" t="s">
        <v>22</v>
      </c>
      <c r="P73" t="s">
        <v>141</v>
      </c>
      <c r="Q73" s="9" t="str">
        <f t="shared" si="3"/>
        <v>Valid</v>
      </c>
      <c r="R73">
        <v>9304795075</v>
      </c>
      <c r="S73" s="7" t="str">
        <f t="shared" si="2"/>
        <v>Valid</v>
      </c>
      <c r="T73" t="str">
        <f>IF(Table1[[#This Row],[Age]]&lt;25,"18-24",IF(Table1[[#This Row],[Age]]&lt;30,"25-29",IF(Table1[[#This Row],[Age]]&lt;35,"30-34",IF(Table1[[#This Row],[Age]]&lt;40,"35-39",IF(Table1[[#This Row],[Age]]&lt;50,"40-49","50+")))))</f>
        <v>50+</v>
      </c>
    </row>
    <row r="74" spans="1:20" x14ac:dyDescent="0.35">
      <c r="A74">
        <v>1073</v>
      </c>
      <c r="B74" t="s">
        <v>58</v>
      </c>
      <c r="C74" t="s">
        <v>32</v>
      </c>
      <c r="D74" t="s">
        <v>17</v>
      </c>
      <c r="E74">
        <v>49</v>
      </c>
      <c r="F74" t="s">
        <v>33</v>
      </c>
      <c r="G74" t="s">
        <v>34</v>
      </c>
      <c r="H74" t="s">
        <v>35</v>
      </c>
      <c r="I74" s="1">
        <v>44674</v>
      </c>
      <c r="J74" t="s">
        <v>1365</v>
      </c>
      <c r="K74" t="s">
        <v>21</v>
      </c>
      <c r="L74">
        <v>11</v>
      </c>
      <c r="M74">
        <v>1</v>
      </c>
      <c r="N74" t="s">
        <v>22</v>
      </c>
      <c r="O74" t="s">
        <v>22</v>
      </c>
      <c r="P74" t="s">
        <v>142</v>
      </c>
      <c r="Q74" s="9" t="str">
        <f t="shared" si="3"/>
        <v>Valid</v>
      </c>
      <c r="R74">
        <v>9533907212</v>
      </c>
      <c r="S74" s="7" t="str">
        <f t="shared" si="2"/>
        <v>Valid</v>
      </c>
      <c r="T74" t="str">
        <f>IF(Table1[[#This Row],[Age]]&lt;25,"18-24",IF(Table1[[#This Row],[Age]]&lt;30,"25-29",IF(Table1[[#This Row],[Age]]&lt;35,"30-34",IF(Table1[[#This Row],[Age]]&lt;40,"35-39",IF(Table1[[#This Row],[Age]]&lt;50,"40-49","50+")))))</f>
        <v>40-49</v>
      </c>
    </row>
    <row r="75" spans="1:20" x14ac:dyDescent="0.35">
      <c r="A75">
        <v>1074</v>
      </c>
      <c r="B75" t="s">
        <v>64</v>
      </c>
      <c r="C75" t="s">
        <v>61</v>
      </c>
      <c r="D75" t="s">
        <v>17</v>
      </c>
      <c r="E75">
        <v>26</v>
      </c>
      <c r="F75" t="s">
        <v>69</v>
      </c>
      <c r="G75" t="s">
        <v>19</v>
      </c>
      <c r="H75" t="s">
        <v>44</v>
      </c>
      <c r="I75" s="1">
        <v>77718</v>
      </c>
      <c r="J75" t="s">
        <v>143</v>
      </c>
      <c r="K75" t="s">
        <v>21</v>
      </c>
      <c r="L75">
        <v>17</v>
      </c>
      <c r="M75">
        <v>4</v>
      </c>
      <c r="N75" t="s">
        <v>23</v>
      </c>
      <c r="O75" t="s">
        <v>22</v>
      </c>
      <c r="P75" t="s">
        <v>144</v>
      </c>
      <c r="Q75" s="9" t="str">
        <f t="shared" si="3"/>
        <v>Valid</v>
      </c>
      <c r="R75">
        <v>9025539945</v>
      </c>
      <c r="S75" s="7" t="str">
        <f t="shared" si="2"/>
        <v>Valid</v>
      </c>
      <c r="T75" t="str">
        <f>IF(Table1[[#This Row],[Age]]&lt;25,"18-24",IF(Table1[[#This Row],[Age]]&lt;30,"25-29",IF(Table1[[#This Row],[Age]]&lt;35,"30-34",IF(Table1[[#This Row],[Age]]&lt;40,"35-39",IF(Table1[[#This Row],[Age]]&lt;50,"40-49","50+")))))</f>
        <v>25-29</v>
      </c>
    </row>
    <row r="76" spans="1:20" x14ac:dyDescent="0.35">
      <c r="A76">
        <v>1075</v>
      </c>
      <c r="B76" t="s">
        <v>54</v>
      </c>
      <c r="C76" t="s">
        <v>32</v>
      </c>
      <c r="D76" t="s">
        <v>17</v>
      </c>
      <c r="E76">
        <v>42</v>
      </c>
      <c r="F76" t="s">
        <v>33</v>
      </c>
      <c r="G76" t="s">
        <v>34</v>
      </c>
      <c r="H76" t="s">
        <v>35</v>
      </c>
      <c r="I76" s="1">
        <v>59800</v>
      </c>
      <c r="J76" t="s">
        <v>1366</v>
      </c>
      <c r="K76" t="s">
        <v>46</v>
      </c>
      <c r="L76">
        <v>25</v>
      </c>
      <c r="M76">
        <v>5</v>
      </c>
      <c r="N76" t="s">
        <v>23</v>
      </c>
      <c r="O76" t="s">
        <v>23</v>
      </c>
      <c r="P76" t="s">
        <v>145</v>
      </c>
      <c r="Q76" s="9" t="str">
        <f t="shared" si="3"/>
        <v>Valid</v>
      </c>
      <c r="R76">
        <v>9402743743</v>
      </c>
      <c r="S76" s="7" t="str">
        <f t="shared" si="2"/>
        <v>Valid</v>
      </c>
      <c r="T76" t="str">
        <f>IF(Table1[[#This Row],[Age]]&lt;25,"18-24",IF(Table1[[#This Row],[Age]]&lt;30,"25-29",IF(Table1[[#This Row],[Age]]&lt;35,"30-34",IF(Table1[[#This Row],[Age]]&lt;40,"35-39",IF(Table1[[#This Row],[Age]]&lt;50,"40-49","50+")))))</f>
        <v>40-49</v>
      </c>
    </row>
    <row r="77" spans="1:20" x14ac:dyDescent="0.35">
      <c r="A77">
        <v>1076</v>
      </c>
      <c r="B77" t="s">
        <v>58</v>
      </c>
      <c r="C77" t="s">
        <v>61</v>
      </c>
      <c r="D77" t="s">
        <v>17</v>
      </c>
      <c r="E77">
        <v>56</v>
      </c>
      <c r="F77" t="s">
        <v>33</v>
      </c>
      <c r="G77" t="s">
        <v>39</v>
      </c>
      <c r="H77" t="s">
        <v>20</v>
      </c>
      <c r="I77" s="1">
        <v>64756</v>
      </c>
      <c r="J77" t="s">
        <v>1367</v>
      </c>
      <c r="K77" t="s">
        <v>49</v>
      </c>
      <c r="L77">
        <v>15</v>
      </c>
      <c r="M77">
        <v>5</v>
      </c>
      <c r="N77" t="s">
        <v>23</v>
      </c>
      <c r="O77" t="s">
        <v>23</v>
      </c>
      <c r="P77" t="s">
        <v>146</v>
      </c>
      <c r="Q77" s="9" t="str">
        <f t="shared" si="3"/>
        <v>Valid</v>
      </c>
      <c r="R77">
        <v>9795600415</v>
      </c>
      <c r="S77" s="7" t="str">
        <f t="shared" si="2"/>
        <v>Valid</v>
      </c>
      <c r="T77" t="str">
        <f>IF(Table1[[#This Row],[Age]]&lt;25,"18-24",IF(Table1[[#This Row],[Age]]&lt;30,"25-29",IF(Table1[[#This Row],[Age]]&lt;35,"30-34",IF(Table1[[#This Row],[Age]]&lt;40,"35-39",IF(Table1[[#This Row],[Age]]&lt;50,"40-49","50+")))))</f>
        <v>50+</v>
      </c>
    </row>
    <row r="78" spans="1:20" x14ac:dyDescent="0.35">
      <c r="A78">
        <v>1077</v>
      </c>
      <c r="B78" t="s">
        <v>60</v>
      </c>
      <c r="C78" t="s">
        <v>61</v>
      </c>
      <c r="D78" t="s">
        <v>17</v>
      </c>
      <c r="E78">
        <v>45</v>
      </c>
      <c r="F78" t="s">
        <v>33</v>
      </c>
      <c r="G78" t="s">
        <v>77</v>
      </c>
      <c r="H78" t="s">
        <v>56</v>
      </c>
      <c r="I78" s="1">
        <v>40676</v>
      </c>
      <c r="J78" t="s">
        <v>1368</v>
      </c>
      <c r="K78" t="s">
        <v>40</v>
      </c>
      <c r="L78">
        <v>12</v>
      </c>
      <c r="M78">
        <v>4</v>
      </c>
      <c r="N78" t="s">
        <v>22</v>
      </c>
      <c r="O78" t="s">
        <v>23</v>
      </c>
      <c r="P78" t="s">
        <v>147</v>
      </c>
      <c r="Q78" s="9" t="str">
        <f t="shared" si="3"/>
        <v>Valid</v>
      </c>
      <c r="R78">
        <v>9637239735</v>
      </c>
      <c r="S78" s="7" t="str">
        <f t="shared" si="2"/>
        <v>Valid</v>
      </c>
      <c r="T78" t="str">
        <f>IF(Table1[[#This Row],[Age]]&lt;25,"18-24",IF(Table1[[#This Row],[Age]]&lt;30,"25-29",IF(Table1[[#This Row],[Age]]&lt;35,"30-34",IF(Table1[[#This Row],[Age]]&lt;40,"35-39",IF(Table1[[#This Row],[Age]]&lt;50,"40-49","50+")))))</f>
        <v>40-49</v>
      </c>
    </row>
    <row r="79" spans="1:20" x14ac:dyDescent="0.35">
      <c r="A79">
        <v>1078</v>
      </c>
      <c r="B79" t="s">
        <v>58</v>
      </c>
      <c r="C79" t="s">
        <v>26</v>
      </c>
      <c r="D79" t="s">
        <v>27</v>
      </c>
      <c r="E79">
        <v>42</v>
      </c>
      <c r="F79" t="s">
        <v>38</v>
      </c>
      <c r="G79" t="s">
        <v>39</v>
      </c>
      <c r="H79" t="s">
        <v>44</v>
      </c>
      <c r="I79" s="1">
        <v>92627</v>
      </c>
      <c r="J79" t="s">
        <v>1369</v>
      </c>
      <c r="K79" t="s">
        <v>46</v>
      </c>
      <c r="L79">
        <v>25</v>
      </c>
      <c r="M79">
        <v>1</v>
      </c>
      <c r="N79" t="s">
        <v>23</v>
      </c>
      <c r="O79" t="s">
        <v>23</v>
      </c>
      <c r="P79" t="s">
        <v>148</v>
      </c>
      <c r="Q79" s="9" t="str">
        <f t="shared" si="3"/>
        <v>Valid</v>
      </c>
      <c r="R79">
        <v>9390034512</v>
      </c>
      <c r="S79" s="7" t="str">
        <f t="shared" si="2"/>
        <v>Valid</v>
      </c>
      <c r="T79" t="str">
        <f>IF(Table1[[#This Row],[Age]]&lt;25,"18-24",IF(Table1[[#This Row],[Age]]&lt;30,"25-29",IF(Table1[[#This Row],[Age]]&lt;35,"30-34",IF(Table1[[#This Row],[Age]]&lt;40,"35-39",IF(Table1[[#This Row],[Age]]&lt;50,"40-49","50+")))))</f>
        <v>40-49</v>
      </c>
    </row>
    <row r="80" spans="1:20" x14ac:dyDescent="0.35">
      <c r="A80">
        <v>1079</v>
      </c>
      <c r="B80" t="s">
        <v>60</v>
      </c>
      <c r="C80" t="s">
        <v>26</v>
      </c>
      <c r="D80" t="s">
        <v>27</v>
      </c>
      <c r="E80">
        <v>54</v>
      </c>
      <c r="F80" t="s">
        <v>33</v>
      </c>
      <c r="G80" t="s">
        <v>55</v>
      </c>
      <c r="H80" t="s">
        <v>28</v>
      </c>
      <c r="I80" s="1">
        <v>34799</v>
      </c>
      <c r="J80" t="s">
        <v>1370</v>
      </c>
      <c r="K80" t="s">
        <v>46</v>
      </c>
      <c r="L80">
        <v>3</v>
      </c>
      <c r="M80">
        <v>4</v>
      </c>
      <c r="N80" t="s">
        <v>23</v>
      </c>
      <c r="O80" t="s">
        <v>23</v>
      </c>
      <c r="P80" t="s">
        <v>149</v>
      </c>
      <c r="Q80" s="9" t="str">
        <f t="shared" si="3"/>
        <v>Valid</v>
      </c>
      <c r="R80">
        <v>9155896821</v>
      </c>
      <c r="S80" s="7" t="str">
        <f t="shared" si="2"/>
        <v>Valid</v>
      </c>
      <c r="T80" t="str">
        <f>IF(Table1[[#This Row],[Age]]&lt;25,"18-24",IF(Table1[[#This Row],[Age]]&lt;30,"25-29",IF(Table1[[#This Row],[Age]]&lt;35,"30-34",IF(Table1[[#This Row],[Age]]&lt;40,"35-39",IF(Table1[[#This Row],[Age]]&lt;50,"40-49","50+")))))</f>
        <v>50+</v>
      </c>
    </row>
    <row r="81" spans="1:20" x14ac:dyDescent="0.35">
      <c r="A81">
        <v>1080</v>
      </c>
      <c r="B81" t="s">
        <v>64</v>
      </c>
      <c r="C81" t="s">
        <v>26</v>
      </c>
      <c r="D81" t="s">
        <v>27</v>
      </c>
      <c r="E81">
        <v>54</v>
      </c>
      <c r="F81" t="s">
        <v>69</v>
      </c>
      <c r="G81" t="s">
        <v>77</v>
      </c>
      <c r="H81" t="s">
        <v>35</v>
      </c>
      <c r="I81" s="1">
        <v>29271</v>
      </c>
      <c r="J81" t="s">
        <v>1371</v>
      </c>
      <c r="K81" t="s">
        <v>40</v>
      </c>
      <c r="L81">
        <v>10</v>
      </c>
      <c r="M81">
        <v>3</v>
      </c>
      <c r="N81" t="s">
        <v>23</v>
      </c>
      <c r="O81" t="s">
        <v>22</v>
      </c>
      <c r="P81" t="s">
        <v>150</v>
      </c>
      <c r="Q81" s="9" t="str">
        <f t="shared" si="3"/>
        <v>Valid</v>
      </c>
      <c r="R81">
        <v>9424616555</v>
      </c>
      <c r="S81" s="7" t="str">
        <f t="shared" si="2"/>
        <v>Valid</v>
      </c>
      <c r="T81" t="str">
        <f>IF(Table1[[#This Row],[Age]]&lt;25,"18-24",IF(Table1[[#This Row],[Age]]&lt;30,"25-29",IF(Table1[[#This Row],[Age]]&lt;35,"30-34",IF(Table1[[#This Row],[Age]]&lt;40,"35-39",IF(Table1[[#This Row],[Age]]&lt;50,"40-49","50+")))))</f>
        <v>50+</v>
      </c>
    </row>
    <row r="82" spans="1:20" x14ac:dyDescent="0.35">
      <c r="A82">
        <v>1081</v>
      </c>
      <c r="B82" t="s">
        <v>58</v>
      </c>
      <c r="C82" t="s">
        <v>32</v>
      </c>
      <c r="D82" t="s">
        <v>27</v>
      </c>
      <c r="E82">
        <v>39</v>
      </c>
      <c r="F82" t="s">
        <v>18</v>
      </c>
      <c r="G82" t="s">
        <v>34</v>
      </c>
      <c r="H82" t="s">
        <v>35</v>
      </c>
      <c r="I82" s="1">
        <v>40618</v>
      </c>
      <c r="J82" t="s">
        <v>1372</v>
      </c>
      <c r="K82" t="s">
        <v>46</v>
      </c>
      <c r="L82">
        <v>24</v>
      </c>
      <c r="M82">
        <v>4</v>
      </c>
      <c r="N82" t="s">
        <v>22</v>
      </c>
      <c r="O82" t="s">
        <v>23</v>
      </c>
      <c r="P82" t="s">
        <v>151</v>
      </c>
      <c r="Q82" s="9" t="str">
        <f t="shared" si="3"/>
        <v>Valid</v>
      </c>
      <c r="R82">
        <v>9298217912</v>
      </c>
      <c r="S82" s="7" t="str">
        <f t="shared" si="2"/>
        <v>Valid</v>
      </c>
      <c r="T82" t="str">
        <f>IF(Table1[[#This Row],[Age]]&lt;25,"18-24",IF(Table1[[#This Row],[Age]]&lt;30,"25-29",IF(Table1[[#This Row],[Age]]&lt;35,"30-34",IF(Table1[[#This Row],[Age]]&lt;40,"35-39",IF(Table1[[#This Row],[Age]]&lt;50,"40-49","50+")))))</f>
        <v>35-39</v>
      </c>
    </row>
    <row r="83" spans="1:20" x14ac:dyDescent="0.35">
      <c r="A83">
        <v>1082</v>
      </c>
      <c r="B83" t="s">
        <v>64</v>
      </c>
      <c r="C83" t="s">
        <v>61</v>
      </c>
      <c r="D83" t="s">
        <v>17</v>
      </c>
      <c r="E83">
        <v>22</v>
      </c>
      <c r="F83" t="s">
        <v>33</v>
      </c>
      <c r="G83" t="s">
        <v>77</v>
      </c>
      <c r="H83" t="s">
        <v>56</v>
      </c>
      <c r="I83" s="1">
        <v>102008</v>
      </c>
      <c r="J83" t="s">
        <v>1373</v>
      </c>
      <c r="K83" t="s">
        <v>21</v>
      </c>
      <c r="L83">
        <v>11</v>
      </c>
      <c r="M83">
        <v>3</v>
      </c>
      <c r="N83" t="s">
        <v>22</v>
      </c>
      <c r="O83" t="s">
        <v>22</v>
      </c>
      <c r="P83" t="s">
        <v>152</v>
      </c>
      <c r="Q83" s="9" t="str">
        <f t="shared" si="3"/>
        <v>Invalid</v>
      </c>
      <c r="R83">
        <v>9986482953</v>
      </c>
      <c r="S83" s="7" t="str">
        <f t="shared" si="2"/>
        <v>Valid</v>
      </c>
      <c r="T83" t="str">
        <f>IF(Table1[[#This Row],[Age]]&lt;25,"18-24",IF(Table1[[#This Row],[Age]]&lt;30,"25-29",IF(Table1[[#This Row],[Age]]&lt;35,"30-34",IF(Table1[[#This Row],[Age]]&lt;40,"35-39",IF(Table1[[#This Row],[Age]]&lt;50,"40-49","50+")))))</f>
        <v>18-24</v>
      </c>
    </row>
    <row r="84" spans="1:20" x14ac:dyDescent="0.35">
      <c r="A84">
        <v>1083</v>
      </c>
      <c r="B84" t="s">
        <v>67</v>
      </c>
      <c r="C84" t="s">
        <v>43</v>
      </c>
      <c r="D84" t="s">
        <v>17</v>
      </c>
      <c r="E84">
        <v>47</v>
      </c>
      <c r="F84" t="s">
        <v>18</v>
      </c>
      <c r="G84" t="s">
        <v>34</v>
      </c>
      <c r="H84" t="s">
        <v>28</v>
      </c>
      <c r="I84" s="1">
        <v>111673</v>
      </c>
      <c r="J84" t="s">
        <v>1374</v>
      </c>
      <c r="K84" t="s">
        <v>49</v>
      </c>
      <c r="L84">
        <v>15</v>
      </c>
      <c r="M84">
        <v>2</v>
      </c>
      <c r="N84" t="s">
        <v>23</v>
      </c>
      <c r="O84" t="s">
        <v>23</v>
      </c>
      <c r="P84" t="s">
        <v>153</v>
      </c>
      <c r="Q84" s="9" t="str">
        <f t="shared" si="3"/>
        <v>Valid</v>
      </c>
      <c r="R84">
        <v>9007814218</v>
      </c>
      <c r="S84" s="7" t="str">
        <f t="shared" si="2"/>
        <v>Valid</v>
      </c>
      <c r="T84" t="str">
        <f>IF(Table1[[#This Row],[Age]]&lt;25,"18-24",IF(Table1[[#This Row],[Age]]&lt;30,"25-29",IF(Table1[[#This Row],[Age]]&lt;35,"30-34",IF(Table1[[#This Row],[Age]]&lt;40,"35-39",IF(Table1[[#This Row],[Age]]&lt;50,"40-49","50+")))))</f>
        <v>40-49</v>
      </c>
    </row>
    <row r="85" spans="1:20" x14ac:dyDescent="0.35">
      <c r="A85">
        <v>1084</v>
      </c>
      <c r="B85" t="s">
        <v>37</v>
      </c>
      <c r="C85" t="s">
        <v>43</v>
      </c>
      <c r="D85" t="s">
        <v>27</v>
      </c>
      <c r="E85">
        <v>49</v>
      </c>
      <c r="F85" t="s">
        <v>62</v>
      </c>
      <c r="G85" t="s">
        <v>77</v>
      </c>
      <c r="H85" t="s">
        <v>20</v>
      </c>
      <c r="I85" s="1">
        <v>90908</v>
      </c>
      <c r="J85" t="s">
        <v>1375</v>
      </c>
      <c r="K85" t="s">
        <v>49</v>
      </c>
      <c r="L85">
        <v>10</v>
      </c>
      <c r="M85">
        <v>3</v>
      </c>
      <c r="N85" t="s">
        <v>22</v>
      </c>
      <c r="O85" t="s">
        <v>23</v>
      </c>
      <c r="P85" t="s">
        <v>154</v>
      </c>
      <c r="Q85" s="9" t="str">
        <f t="shared" si="3"/>
        <v>Valid</v>
      </c>
      <c r="R85">
        <v>9684127129</v>
      </c>
      <c r="S85" s="7" t="str">
        <f t="shared" si="2"/>
        <v>Valid</v>
      </c>
      <c r="T85" t="str">
        <f>IF(Table1[[#This Row],[Age]]&lt;25,"18-24",IF(Table1[[#This Row],[Age]]&lt;30,"25-29",IF(Table1[[#This Row],[Age]]&lt;35,"30-34",IF(Table1[[#This Row],[Age]]&lt;40,"35-39",IF(Table1[[#This Row],[Age]]&lt;50,"40-49","50+")))))</f>
        <v>40-49</v>
      </c>
    </row>
    <row r="86" spans="1:20" x14ac:dyDescent="0.35">
      <c r="A86">
        <v>1085</v>
      </c>
      <c r="B86" t="s">
        <v>64</v>
      </c>
      <c r="C86" t="s">
        <v>32</v>
      </c>
      <c r="D86" t="s">
        <v>17</v>
      </c>
      <c r="E86">
        <v>49</v>
      </c>
      <c r="F86" t="s">
        <v>33</v>
      </c>
      <c r="G86" t="s">
        <v>55</v>
      </c>
      <c r="H86" t="s">
        <v>35</v>
      </c>
      <c r="I86" s="1">
        <v>100229</v>
      </c>
      <c r="J86" t="s">
        <v>1376</v>
      </c>
      <c r="K86" t="s">
        <v>21</v>
      </c>
      <c r="L86">
        <v>7</v>
      </c>
      <c r="M86">
        <v>1</v>
      </c>
      <c r="N86" t="s">
        <v>22</v>
      </c>
      <c r="O86" t="s">
        <v>23</v>
      </c>
      <c r="P86" t="s">
        <v>155</v>
      </c>
      <c r="Q86" s="9" t="str">
        <f t="shared" si="3"/>
        <v>Valid</v>
      </c>
      <c r="R86">
        <v>9256557723</v>
      </c>
      <c r="S86" s="7" t="str">
        <f t="shared" si="2"/>
        <v>Valid</v>
      </c>
      <c r="T86" t="str">
        <f>IF(Table1[[#This Row],[Age]]&lt;25,"18-24",IF(Table1[[#This Row],[Age]]&lt;30,"25-29",IF(Table1[[#This Row],[Age]]&lt;35,"30-34",IF(Table1[[#This Row],[Age]]&lt;40,"35-39",IF(Table1[[#This Row],[Age]]&lt;50,"40-49","50+")))))</f>
        <v>40-49</v>
      </c>
    </row>
    <row r="87" spans="1:20" x14ac:dyDescent="0.35">
      <c r="A87">
        <v>1086</v>
      </c>
      <c r="B87" t="s">
        <v>60</v>
      </c>
      <c r="C87" t="s">
        <v>26</v>
      </c>
      <c r="D87" t="s">
        <v>27</v>
      </c>
      <c r="E87">
        <v>37</v>
      </c>
      <c r="F87" t="s">
        <v>69</v>
      </c>
      <c r="G87" t="s">
        <v>34</v>
      </c>
      <c r="H87" t="s">
        <v>56</v>
      </c>
      <c r="I87" s="1">
        <v>93085</v>
      </c>
      <c r="J87" t="s">
        <v>156</v>
      </c>
      <c r="K87" t="s">
        <v>46</v>
      </c>
      <c r="L87">
        <v>18</v>
      </c>
      <c r="M87">
        <v>1</v>
      </c>
      <c r="N87" t="s">
        <v>22</v>
      </c>
      <c r="O87" t="s">
        <v>22</v>
      </c>
      <c r="P87" t="s">
        <v>157</v>
      </c>
      <c r="Q87" s="9" t="str">
        <f t="shared" si="3"/>
        <v>Valid</v>
      </c>
      <c r="R87">
        <v>9884263116</v>
      </c>
      <c r="S87" s="7" t="str">
        <f t="shared" si="2"/>
        <v>Valid</v>
      </c>
      <c r="T87" t="str">
        <f>IF(Table1[[#This Row],[Age]]&lt;25,"18-24",IF(Table1[[#This Row],[Age]]&lt;30,"25-29",IF(Table1[[#This Row],[Age]]&lt;35,"30-34",IF(Table1[[#This Row],[Age]]&lt;40,"35-39",IF(Table1[[#This Row],[Age]]&lt;50,"40-49","50+")))))</f>
        <v>35-39</v>
      </c>
    </row>
    <row r="88" spans="1:20" x14ac:dyDescent="0.35">
      <c r="A88">
        <v>1087</v>
      </c>
      <c r="B88" t="s">
        <v>64</v>
      </c>
      <c r="C88" t="s">
        <v>26</v>
      </c>
      <c r="D88" t="s">
        <v>27</v>
      </c>
      <c r="E88">
        <v>29</v>
      </c>
      <c r="F88" t="s">
        <v>33</v>
      </c>
      <c r="G88" t="s">
        <v>19</v>
      </c>
      <c r="H88" t="s">
        <v>44</v>
      </c>
      <c r="I88" s="1">
        <v>84976</v>
      </c>
      <c r="J88" t="s">
        <v>158</v>
      </c>
      <c r="K88" t="s">
        <v>46</v>
      </c>
      <c r="L88">
        <v>21</v>
      </c>
      <c r="M88">
        <v>4</v>
      </c>
      <c r="N88" t="s">
        <v>22</v>
      </c>
      <c r="O88" t="s">
        <v>23</v>
      </c>
      <c r="P88" t="s">
        <v>159</v>
      </c>
      <c r="Q88" s="9" t="str">
        <f t="shared" si="3"/>
        <v>Valid</v>
      </c>
      <c r="R88">
        <v>9501283339</v>
      </c>
      <c r="S88" s="7" t="str">
        <f t="shared" si="2"/>
        <v>Valid</v>
      </c>
      <c r="T88" t="str">
        <f>IF(Table1[[#This Row],[Age]]&lt;25,"18-24",IF(Table1[[#This Row],[Age]]&lt;30,"25-29",IF(Table1[[#This Row],[Age]]&lt;35,"30-34",IF(Table1[[#This Row],[Age]]&lt;40,"35-39",IF(Table1[[#This Row],[Age]]&lt;50,"40-49","50+")))))</f>
        <v>25-29</v>
      </c>
    </row>
    <row r="89" spans="1:20" x14ac:dyDescent="0.35">
      <c r="A89">
        <v>1088</v>
      </c>
      <c r="B89" t="s">
        <v>42</v>
      </c>
      <c r="C89" t="s">
        <v>61</v>
      </c>
      <c r="D89" t="s">
        <v>17</v>
      </c>
      <c r="E89">
        <v>40</v>
      </c>
      <c r="F89" t="s">
        <v>69</v>
      </c>
      <c r="G89" t="s">
        <v>55</v>
      </c>
      <c r="H89" t="s">
        <v>56</v>
      </c>
      <c r="I89" s="1">
        <v>29428</v>
      </c>
      <c r="J89" t="s">
        <v>1377</v>
      </c>
      <c r="K89" t="s">
        <v>40</v>
      </c>
      <c r="L89">
        <v>20</v>
      </c>
      <c r="M89">
        <v>5</v>
      </c>
      <c r="N89" t="s">
        <v>23</v>
      </c>
      <c r="O89" t="s">
        <v>23</v>
      </c>
      <c r="P89" t="s">
        <v>160</v>
      </c>
      <c r="Q89" s="9" t="str">
        <f t="shared" si="3"/>
        <v>Valid</v>
      </c>
      <c r="R89">
        <v>9231213998</v>
      </c>
      <c r="S89" s="7" t="str">
        <f t="shared" si="2"/>
        <v>Valid</v>
      </c>
      <c r="T89" t="str">
        <f>IF(Table1[[#This Row],[Age]]&lt;25,"18-24",IF(Table1[[#This Row],[Age]]&lt;30,"25-29",IF(Table1[[#This Row],[Age]]&lt;35,"30-34",IF(Table1[[#This Row],[Age]]&lt;40,"35-39",IF(Table1[[#This Row],[Age]]&lt;50,"40-49","50+")))))</f>
        <v>40-49</v>
      </c>
    </row>
    <row r="90" spans="1:20" x14ac:dyDescent="0.35">
      <c r="A90">
        <v>1089</v>
      </c>
      <c r="B90" t="s">
        <v>15</v>
      </c>
      <c r="C90" t="s">
        <v>26</v>
      </c>
      <c r="D90" t="s">
        <v>17</v>
      </c>
      <c r="E90">
        <v>38</v>
      </c>
      <c r="F90" t="s">
        <v>18</v>
      </c>
      <c r="G90" t="s">
        <v>39</v>
      </c>
      <c r="H90" t="s">
        <v>44</v>
      </c>
      <c r="I90" s="1">
        <v>30682</v>
      </c>
      <c r="J90" t="s">
        <v>1378</v>
      </c>
      <c r="K90" t="s">
        <v>46</v>
      </c>
      <c r="L90">
        <v>24</v>
      </c>
      <c r="M90">
        <v>3</v>
      </c>
      <c r="N90" t="s">
        <v>23</v>
      </c>
      <c r="O90" t="s">
        <v>22</v>
      </c>
      <c r="P90" t="s">
        <v>161</v>
      </c>
      <c r="Q90" s="9" t="str">
        <f t="shared" si="3"/>
        <v>Valid</v>
      </c>
      <c r="R90">
        <v>9311615681</v>
      </c>
      <c r="S90" s="7" t="str">
        <f t="shared" si="2"/>
        <v>Valid</v>
      </c>
      <c r="T90" t="str">
        <f>IF(Table1[[#This Row],[Age]]&lt;25,"18-24",IF(Table1[[#This Row],[Age]]&lt;30,"25-29",IF(Table1[[#This Row],[Age]]&lt;35,"30-34",IF(Table1[[#This Row],[Age]]&lt;40,"35-39",IF(Table1[[#This Row],[Age]]&lt;50,"40-49","50+")))))</f>
        <v>35-39</v>
      </c>
    </row>
    <row r="91" spans="1:20" x14ac:dyDescent="0.35">
      <c r="A91">
        <v>1090</v>
      </c>
      <c r="B91" t="s">
        <v>42</v>
      </c>
      <c r="C91" t="s">
        <v>43</v>
      </c>
      <c r="D91" t="s">
        <v>17</v>
      </c>
      <c r="E91">
        <v>38</v>
      </c>
      <c r="F91" t="s">
        <v>62</v>
      </c>
      <c r="G91" t="s">
        <v>19</v>
      </c>
      <c r="H91" t="s">
        <v>44</v>
      </c>
      <c r="I91" s="1">
        <v>55657</v>
      </c>
      <c r="J91" t="s">
        <v>1379</v>
      </c>
      <c r="K91" t="s">
        <v>40</v>
      </c>
      <c r="L91">
        <v>2</v>
      </c>
      <c r="M91">
        <v>1</v>
      </c>
      <c r="N91" t="s">
        <v>22</v>
      </c>
      <c r="O91" t="s">
        <v>23</v>
      </c>
      <c r="P91" t="s">
        <v>162</v>
      </c>
      <c r="Q91" s="9" t="str">
        <f t="shared" si="3"/>
        <v>Valid</v>
      </c>
      <c r="R91">
        <v>9624151082</v>
      </c>
      <c r="S91" s="7" t="str">
        <f t="shared" si="2"/>
        <v>Valid</v>
      </c>
      <c r="T91" t="str">
        <f>IF(Table1[[#This Row],[Age]]&lt;25,"18-24",IF(Table1[[#This Row],[Age]]&lt;30,"25-29",IF(Table1[[#This Row],[Age]]&lt;35,"30-34",IF(Table1[[#This Row],[Age]]&lt;40,"35-39",IF(Table1[[#This Row],[Age]]&lt;50,"40-49","50+")))))</f>
        <v>35-39</v>
      </c>
    </row>
    <row r="92" spans="1:20" x14ac:dyDescent="0.35">
      <c r="A92">
        <v>1091</v>
      </c>
      <c r="B92" t="s">
        <v>58</v>
      </c>
      <c r="C92" t="s">
        <v>61</v>
      </c>
      <c r="D92" t="s">
        <v>17</v>
      </c>
      <c r="E92">
        <v>26</v>
      </c>
      <c r="F92" t="s">
        <v>18</v>
      </c>
      <c r="G92" t="s">
        <v>39</v>
      </c>
      <c r="H92" t="s">
        <v>56</v>
      </c>
      <c r="I92" s="1">
        <v>110646</v>
      </c>
      <c r="J92" t="s">
        <v>163</v>
      </c>
      <c r="K92" t="s">
        <v>21</v>
      </c>
      <c r="L92">
        <v>23</v>
      </c>
      <c r="M92">
        <v>1</v>
      </c>
      <c r="N92" t="s">
        <v>22</v>
      </c>
      <c r="O92" t="s">
        <v>22</v>
      </c>
      <c r="P92" t="s">
        <v>164</v>
      </c>
      <c r="Q92" s="9" t="str">
        <f t="shared" si="3"/>
        <v>Valid</v>
      </c>
      <c r="R92">
        <v>9761037030</v>
      </c>
      <c r="S92" s="7" t="str">
        <f t="shared" si="2"/>
        <v>Valid</v>
      </c>
      <c r="T92" t="str">
        <f>IF(Table1[[#This Row],[Age]]&lt;25,"18-24",IF(Table1[[#This Row],[Age]]&lt;30,"25-29",IF(Table1[[#This Row],[Age]]&lt;35,"30-34",IF(Table1[[#This Row],[Age]]&lt;40,"35-39",IF(Table1[[#This Row],[Age]]&lt;50,"40-49","50+")))))</f>
        <v>25-29</v>
      </c>
    </row>
    <row r="93" spans="1:20" x14ac:dyDescent="0.35">
      <c r="A93">
        <v>1092</v>
      </c>
      <c r="B93" t="s">
        <v>58</v>
      </c>
      <c r="C93" t="s">
        <v>43</v>
      </c>
      <c r="D93" t="s">
        <v>27</v>
      </c>
      <c r="E93">
        <v>25</v>
      </c>
      <c r="F93" t="s">
        <v>69</v>
      </c>
      <c r="G93" t="s">
        <v>19</v>
      </c>
      <c r="H93" t="s">
        <v>28</v>
      </c>
      <c r="I93" s="1">
        <v>95541</v>
      </c>
      <c r="J93" t="s">
        <v>1380</v>
      </c>
      <c r="K93" t="s">
        <v>30</v>
      </c>
      <c r="L93">
        <v>25</v>
      </c>
      <c r="M93">
        <v>2</v>
      </c>
      <c r="N93" t="s">
        <v>22</v>
      </c>
      <c r="O93" t="s">
        <v>22</v>
      </c>
      <c r="P93" t="s">
        <v>165</v>
      </c>
      <c r="Q93" s="9" t="str">
        <f t="shared" si="3"/>
        <v>Valid</v>
      </c>
      <c r="R93">
        <v>9758231236</v>
      </c>
      <c r="S93" s="7" t="str">
        <f t="shared" si="2"/>
        <v>Valid</v>
      </c>
      <c r="T93" t="str">
        <f>IF(Table1[[#This Row],[Age]]&lt;25,"18-24",IF(Table1[[#This Row],[Age]]&lt;30,"25-29",IF(Table1[[#This Row],[Age]]&lt;35,"30-34",IF(Table1[[#This Row],[Age]]&lt;40,"35-39",IF(Table1[[#This Row],[Age]]&lt;50,"40-49","50+")))))</f>
        <v>25-29</v>
      </c>
    </row>
    <row r="94" spans="1:20" x14ac:dyDescent="0.35">
      <c r="A94">
        <v>1093</v>
      </c>
      <c r="B94" t="s">
        <v>25</v>
      </c>
      <c r="C94" t="s">
        <v>16</v>
      </c>
      <c r="D94" t="s">
        <v>27</v>
      </c>
      <c r="E94">
        <v>30</v>
      </c>
      <c r="F94" t="s">
        <v>62</v>
      </c>
      <c r="G94" t="s">
        <v>19</v>
      </c>
      <c r="H94" t="s">
        <v>56</v>
      </c>
      <c r="I94" s="2" t="s">
        <v>1316</v>
      </c>
      <c r="J94" t="s">
        <v>1381</v>
      </c>
      <c r="K94" t="s">
        <v>46</v>
      </c>
      <c r="L94">
        <v>5</v>
      </c>
      <c r="M94">
        <v>4</v>
      </c>
      <c r="N94" t="s">
        <v>22</v>
      </c>
      <c r="O94" t="s">
        <v>22</v>
      </c>
      <c r="P94" t="s">
        <v>166</v>
      </c>
      <c r="Q94" s="9" t="str">
        <f t="shared" si="3"/>
        <v>Valid</v>
      </c>
      <c r="R94">
        <v>9774299375</v>
      </c>
      <c r="S94" s="7" t="str">
        <f t="shared" si="2"/>
        <v>Valid</v>
      </c>
      <c r="T94" t="str">
        <f>IF(Table1[[#This Row],[Age]]&lt;25,"18-24",IF(Table1[[#This Row],[Age]]&lt;30,"25-29",IF(Table1[[#This Row],[Age]]&lt;35,"30-34",IF(Table1[[#This Row],[Age]]&lt;40,"35-39",IF(Table1[[#This Row],[Age]]&lt;50,"40-49","50+")))))</f>
        <v>30-34</v>
      </c>
    </row>
    <row r="95" spans="1:20" x14ac:dyDescent="0.35">
      <c r="A95">
        <v>1094</v>
      </c>
      <c r="B95" t="s">
        <v>42</v>
      </c>
      <c r="C95" t="s">
        <v>16</v>
      </c>
      <c r="D95" t="s">
        <v>27</v>
      </c>
      <c r="E95">
        <v>49</v>
      </c>
      <c r="F95" t="s">
        <v>62</v>
      </c>
      <c r="G95" t="s">
        <v>55</v>
      </c>
      <c r="H95" t="s">
        <v>56</v>
      </c>
      <c r="I95" s="1">
        <v>37055</v>
      </c>
      <c r="J95" t="s">
        <v>1382</v>
      </c>
      <c r="K95" t="s">
        <v>40</v>
      </c>
      <c r="L95">
        <v>8</v>
      </c>
      <c r="M95">
        <v>3</v>
      </c>
      <c r="N95" t="s">
        <v>23</v>
      </c>
      <c r="O95" t="s">
        <v>23</v>
      </c>
      <c r="P95" t="s">
        <v>167</v>
      </c>
      <c r="Q95" s="9" t="str">
        <f t="shared" si="3"/>
        <v>Valid</v>
      </c>
      <c r="R95">
        <v>9844512986</v>
      </c>
      <c r="S95" s="7" t="str">
        <f t="shared" si="2"/>
        <v>Valid</v>
      </c>
      <c r="T95" t="str">
        <f>IF(Table1[[#This Row],[Age]]&lt;25,"18-24",IF(Table1[[#This Row],[Age]]&lt;30,"25-29",IF(Table1[[#This Row],[Age]]&lt;35,"30-34",IF(Table1[[#This Row],[Age]]&lt;40,"35-39",IF(Table1[[#This Row],[Age]]&lt;50,"40-49","50+")))))</f>
        <v>40-49</v>
      </c>
    </row>
    <row r="96" spans="1:20" x14ac:dyDescent="0.35">
      <c r="A96">
        <v>1095</v>
      </c>
      <c r="B96" t="s">
        <v>82</v>
      </c>
      <c r="C96" t="s">
        <v>16</v>
      </c>
      <c r="D96" t="s">
        <v>17</v>
      </c>
      <c r="E96">
        <v>46</v>
      </c>
      <c r="F96" t="s">
        <v>18</v>
      </c>
      <c r="G96" t="s">
        <v>55</v>
      </c>
      <c r="H96" t="s">
        <v>56</v>
      </c>
      <c r="I96" s="1">
        <v>115443</v>
      </c>
      <c r="J96" t="s">
        <v>168</v>
      </c>
      <c r="K96" t="s">
        <v>30</v>
      </c>
      <c r="L96">
        <v>3</v>
      </c>
      <c r="M96">
        <v>1</v>
      </c>
      <c r="N96" t="s">
        <v>23</v>
      </c>
      <c r="O96" t="s">
        <v>22</v>
      </c>
      <c r="P96" t="s">
        <v>169</v>
      </c>
      <c r="Q96" s="9" t="str">
        <f t="shared" si="3"/>
        <v>Valid</v>
      </c>
      <c r="R96">
        <v>9840482158</v>
      </c>
      <c r="S96" s="7" t="str">
        <f t="shared" si="2"/>
        <v>Valid</v>
      </c>
      <c r="T96" t="str">
        <f>IF(Table1[[#This Row],[Age]]&lt;25,"18-24",IF(Table1[[#This Row],[Age]]&lt;30,"25-29",IF(Table1[[#This Row],[Age]]&lt;35,"30-34",IF(Table1[[#This Row],[Age]]&lt;40,"35-39",IF(Table1[[#This Row],[Age]]&lt;50,"40-49","50+")))))</f>
        <v>40-49</v>
      </c>
    </row>
    <row r="97" spans="1:20" x14ac:dyDescent="0.35">
      <c r="A97">
        <v>1096</v>
      </c>
      <c r="B97" t="s">
        <v>54</v>
      </c>
      <c r="C97" t="s">
        <v>26</v>
      </c>
      <c r="D97" t="s">
        <v>17</v>
      </c>
      <c r="E97">
        <v>57</v>
      </c>
      <c r="F97" t="s">
        <v>33</v>
      </c>
      <c r="G97" t="s">
        <v>55</v>
      </c>
      <c r="H97" t="s">
        <v>44</v>
      </c>
      <c r="I97" s="1">
        <v>102372</v>
      </c>
      <c r="J97" t="s">
        <v>170</v>
      </c>
      <c r="K97" t="s">
        <v>49</v>
      </c>
      <c r="L97">
        <v>11</v>
      </c>
      <c r="M97">
        <v>1</v>
      </c>
      <c r="N97" t="s">
        <v>22</v>
      </c>
      <c r="O97" t="s">
        <v>23</v>
      </c>
      <c r="P97" t="s">
        <v>171</v>
      </c>
      <c r="Q97" s="9" t="str">
        <f t="shared" si="3"/>
        <v>Valid</v>
      </c>
      <c r="R97">
        <v>9240408197</v>
      </c>
      <c r="S97" s="7" t="str">
        <f t="shared" si="2"/>
        <v>Valid</v>
      </c>
      <c r="T97" t="str">
        <f>IF(Table1[[#This Row],[Age]]&lt;25,"18-24",IF(Table1[[#This Row],[Age]]&lt;30,"25-29",IF(Table1[[#This Row],[Age]]&lt;35,"30-34",IF(Table1[[#This Row],[Age]]&lt;40,"35-39",IF(Table1[[#This Row],[Age]]&lt;50,"40-49","50+")))))</f>
        <v>50+</v>
      </c>
    </row>
    <row r="98" spans="1:20" x14ac:dyDescent="0.35">
      <c r="A98">
        <v>1097</v>
      </c>
      <c r="B98" t="s">
        <v>25</v>
      </c>
      <c r="C98" t="s">
        <v>61</v>
      </c>
      <c r="D98" t="s">
        <v>17</v>
      </c>
      <c r="E98">
        <v>31</v>
      </c>
      <c r="F98" t="s">
        <v>33</v>
      </c>
      <c r="G98" t="s">
        <v>34</v>
      </c>
      <c r="H98" t="s">
        <v>44</v>
      </c>
      <c r="I98" s="1">
        <v>51017</v>
      </c>
      <c r="J98" t="s">
        <v>172</v>
      </c>
      <c r="K98" t="s">
        <v>49</v>
      </c>
      <c r="L98">
        <v>0</v>
      </c>
      <c r="M98">
        <v>1</v>
      </c>
      <c r="N98" t="s">
        <v>23</v>
      </c>
      <c r="O98" t="s">
        <v>23</v>
      </c>
      <c r="P98" s="3" t="s">
        <v>1318</v>
      </c>
      <c r="Q98" s="9" t="str">
        <f t="shared" si="3"/>
        <v>Invalid</v>
      </c>
      <c r="R98">
        <v>9336724603</v>
      </c>
      <c r="S98" s="7" t="str">
        <f t="shared" si="2"/>
        <v>Valid</v>
      </c>
      <c r="T98" t="str">
        <f>IF(Table1[[#This Row],[Age]]&lt;25,"18-24",IF(Table1[[#This Row],[Age]]&lt;30,"25-29",IF(Table1[[#This Row],[Age]]&lt;35,"30-34",IF(Table1[[#This Row],[Age]]&lt;40,"35-39",IF(Table1[[#This Row],[Age]]&lt;50,"40-49","50+")))))</f>
        <v>30-34</v>
      </c>
    </row>
    <row r="99" spans="1:20" x14ac:dyDescent="0.35">
      <c r="A99">
        <v>1098</v>
      </c>
      <c r="B99" t="s">
        <v>25</v>
      </c>
      <c r="C99" t="s">
        <v>32</v>
      </c>
      <c r="D99" t="s">
        <v>17</v>
      </c>
      <c r="E99">
        <v>23</v>
      </c>
      <c r="F99" t="s">
        <v>62</v>
      </c>
      <c r="G99" t="s">
        <v>19</v>
      </c>
      <c r="H99" t="s">
        <v>20</v>
      </c>
      <c r="I99" s="1">
        <v>63370</v>
      </c>
      <c r="J99" t="s">
        <v>1383</v>
      </c>
      <c r="K99" t="s">
        <v>30</v>
      </c>
      <c r="L99">
        <v>12</v>
      </c>
      <c r="M99">
        <v>4</v>
      </c>
      <c r="N99" t="s">
        <v>23</v>
      </c>
      <c r="O99" t="s">
        <v>22</v>
      </c>
      <c r="P99" t="s">
        <v>173</v>
      </c>
      <c r="Q99" s="9" t="str">
        <f t="shared" si="3"/>
        <v>Valid</v>
      </c>
      <c r="R99">
        <v>9251190626</v>
      </c>
      <c r="S99" s="7" t="str">
        <f t="shared" si="2"/>
        <v>Valid</v>
      </c>
      <c r="T99" t="str">
        <f>IF(Table1[[#This Row],[Age]]&lt;25,"18-24",IF(Table1[[#This Row],[Age]]&lt;30,"25-29",IF(Table1[[#This Row],[Age]]&lt;35,"30-34",IF(Table1[[#This Row],[Age]]&lt;40,"35-39",IF(Table1[[#This Row],[Age]]&lt;50,"40-49","50+")))))</f>
        <v>18-24</v>
      </c>
    </row>
    <row r="100" spans="1:20" x14ac:dyDescent="0.35">
      <c r="A100">
        <v>1099</v>
      </c>
      <c r="B100" t="s">
        <v>82</v>
      </c>
      <c r="C100" t="s">
        <v>26</v>
      </c>
      <c r="D100" t="s">
        <v>17</v>
      </c>
      <c r="E100">
        <v>45</v>
      </c>
      <c r="F100" t="s">
        <v>18</v>
      </c>
      <c r="G100" t="s">
        <v>34</v>
      </c>
      <c r="H100" t="s">
        <v>20</v>
      </c>
      <c r="I100" s="1">
        <v>44014</v>
      </c>
      <c r="J100" t="s">
        <v>404</v>
      </c>
      <c r="K100" t="s">
        <v>30</v>
      </c>
      <c r="L100">
        <v>1</v>
      </c>
      <c r="M100">
        <v>3</v>
      </c>
      <c r="N100" t="s">
        <v>22</v>
      </c>
      <c r="O100" t="s">
        <v>22</v>
      </c>
      <c r="P100" t="s">
        <v>174</v>
      </c>
      <c r="Q100" s="9" t="str">
        <f t="shared" si="3"/>
        <v>Valid</v>
      </c>
      <c r="R100">
        <v>9248735312</v>
      </c>
      <c r="S100" s="7" t="str">
        <f t="shared" si="2"/>
        <v>Valid</v>
      </c>
      <c r="T100" t="str">
        <f>IF(Table1[[#This Row],[Age]]&lt;25,"18-24",IF(Table1[[#This Row],[Age]]&lt;30,"25-29",IF(Table1[[#This Row],[Age]]&lt;35,"30-34",IF(Table1[[#This Row],[Age]]&lt;40,"35-39",IF(Table1[[#This Row],[Age]]&lt;50,"40-49","50+")))))</f>
        <v>40-49</v>
      </c>
    </row>
    <row r="101" spans="1:20" x14ac:dyDescent="0.35">
      <c r="A101">
        <v>1100</v>
      </c>
      <c r="B101" t="s">
        <v>60</v>
      </c>
      <c r="C101" t="s">
        <v>26</v>
      </c>
      <c r="D101" t="s">
        <v>17</v>
      </c>
      <c r="E101">
        <v>58</v>
      </c>
      <c r="F101" t="s">
        <v>69</v>
      </c>
      <c r="G101" t="s">
        <v>39</v>
      </c>
      <c r="H101" t="s">
        <v>56</v>
      </c>
      <c r="I101" s="1">
        <v>117925</v>
      </c>
      <c r="J101" t="s">
        <v>175</v>
      </c>
      <c r="K101" t="s">
        <v>30</v>
      </c>
      <c r="L101">
        <v>21</v>
      </c>
      <c r="M101">
        <v>3</v>
      </c>
      <c r="N101" t="s">
        <v>22</v>
      </c>
      <c r="O101" t="s">
        <v>23</v>
      </c>
      <c r="P101" t="s">
        <v>176</v>
      </c>
      <c r="Q101" s="9" t="str">
        <f t="shared" si="3"/>
        <v>Valid</v>
      </c>
      <c r="R101">
        <v>9646017744</v>
      </c>
      <c r="S101" s="7" t="str">
        <f t="shared" si="2"/>
        <v>Valid</v>
      </c>
      <c r="T101" t="str">
        <f>IF(Table1[[#This Row],[Age]]&lt;25,"18-24",IF(Table1[[#This Row],[Age]]&lt;30,"25-29",IF(Table1[[#This Row],[Age]]&lt;35,"30-34",IF(Table1[[#This Row],[Age]]&lt;40,"35-39",IF(Table1[[#This Row],[Age]]&lt;50,"40-49","50+")))))</f>
        <v>50+</v>
      </c>
    </row>
    <row r="102" spans="1:20" x14ac:dyDescent="0.35">
      <c r="A102">
        <v>1101</v>
      </c>
      <c r="B102" t="s">
        <v>58</v>
      </c>
      <c r="C102" t="s">
        <v>16</v>
      </c>
      <c r="D102" t="s">
        <v>27</v>
      </c>
      <c r="E102">
        <v>55</v>
      </c>
      <c r="F102" t="s">
        <v>69</v>
      </c>
      <c r="G102" t="s">
        <v>19</v>
      </c>
      <c r="H102" t="s">
        <v>56</v>
      </c>
      <c r="I102" s="1">
        <v>53573</v>
      </c>
      <c r="J102" t="s">
        <v>269</v>
      </c>
      <c r="K102" t="s">
        <v>30</v>
      </c>
      <c r="L102">
        <v>13</v>
      </c>
      <c r="M102">
        <v>4</v>
      </c>
      <c r="N102" t="s">
        <v>23</v>
      </c>
      <c r="O102" t="s">
        <v>23</v>
      </c>
      <c r="P102" t="s">
        <v>177</v>
      </c>
      <c r="Q102" s="9" t="str">
        <f t="shared" si="3"/>
        <v>Valid</v>
      </c>
      <c r="R102">
        <v>9037097124</v>
      </c>
      <c r="S102" s="7" t="str">
        <f t="shared" si="2"/>
        <v>Valid</v>
      </c>
      <c r="T102" t="str">
        <f>IF(Table1[[#This Row],[Age]]&lt;25,"18-24",IF(Table1[[#This Row],[Age]]&lt;30,"25-29",IF(Table1[[#This Row],[Age]]&lt;35,"30-34",IF(Table1[[#This Row],[Age]]&lt;40,"35-39",IF(Table1[[#This Row],[Age]]&lt;50,"40-49","50+")))))</f>
        <v>50+</v>
      </c>
    </row>
    <row r="103" spans="1:20" x14ac:dyDescent="0.35">
      <c r="A103">
        <v>1102</v>
      </c>
      <c r="B103" t="s">
        <v>42</v>
      </c>
      <c r="C103" t="s">
        <v>16</v>
      </c>
      <c r="D103" t="s">
        <v>27</v>
      </c>
      <c r="E103">
        <v>66</v>
      </c>
      <c r="F103" t="s">
        <v>18</v>
      </c>
      <c r="G103" t="s">
        <v>77</v>
      </c>
      <c r="H103" t="s">
        <v>28</v>
      </c>
      <c r="I103" s="1">
        <v>66299</v>
      </c>
      <c r="J103" t="s">
        <v>1384</v>
      </c>
      <c r="K103" t="s">
        <v>30</v>
      </c>
      <c r="L103">
        <v>11</v>
      </c>
      <c r="M103">
        <v>3</v>
      </c>
      <c r="N103" t="s">
        <v>23</v>
      </c>
      <c r="O103" t="s">
        <v>22</v>
      </c>
      <c r="P103" t="s">
        <v>178</v>
      </c>
      <c r="Q103" s="9" t="str">
        <f t="shared" si="3"/>
        <v>Valid</v>
      </c>
      <c r="R103">
        <v>9626027919</v>
      </c>
      <c r="S103" s="7" t="str">
        <f t="shared" si="2"/>
        <v>Valid</v>
      </c>
      <c r="T103" t="str">
        <f>IF(Table1[[#This Row],[Age]]&lt;25,"18-24",IF(Table1[[#This Row],[Age]]&lt;30,"25-29",IF(Table1[[#This Row],[Age]]&lt;35,"30-34",IF(Table1[[#This Row],[Age]]&lt;40,"35-39",IF(Table1[[#This Row],[Age]]&lt;50,"40-49","50+")))))</f>
        <v>50+</v>
      </c>
    </row>
    <row r="104" spans="1:20" x14ac:dyDescent="0.35">
      <c r="A104">
        <v>1103</v>
      </c>
      <c r="B104" t="s">
        <v>25</v>
      </c>
      <c r="C104" t="s">
        <v>32</v>
      </c>
      <c r="D104" t="s">
        <v>17</v>
      </c>
      <c r="E104">
        <v>25</v>
      </c>
      <c r="F104" t="s">
        <v>38</v>
      </c>
      <c r="G104" t="s">
        <v>77</v>
      </c>
      <c r="H104" t="s">
        <v>35</v>
      </c>
      <c r="I104" s="1">
        <v>78517</v>
      </c>
      <c r="J104" t="s">
        <v>1385</v>
      </c>
      <c r="K104" t="s">
        <v>30</v>
      </c>
      <c r="L104">
        <v>24</v>
      </c>
      <c r="M104">
        <v>3</v>
      </c>
      <c r="N104" t="s">
        <v>22</v>
      </c>
      <c r="O104" t="s">
        <v>23</v>
      </c>
      <c r="P104" t="s">
        <v>179</v>
      </c>
      <c r="Q104" s="9" t="str">
        <f t="shared" si="3"/>
        <v>Invalid</v>
      </c>
      <c r="R104">
        <v>9075685465</v>
      </c>
      <c r="S104" s="7" t="str">
        <f t="shared" si="2"/>
        <v>Valid</v>
      </c>
      <c r="T104" t="str">
        <f>IF(Table1[[#This Row],[Age]]&lt;25,"18-24",IF(Table1[[#This Row],[Age]]&lt;30,"25-29",IF(Table1[[#This Row],[Age]]&lt;35,"30-34",IF(Table1[[#This Row],[Age]]&lt;40,"35-39",IF(Table1[[#This Row],[Age]]&lt;50,"40-49","50+")))))</f>
        <v>25-29</v>
      </c>
    </row>
    <row r="105" spans="1:20" x14ac:dyDescent="0.35">
      <c r="A105">
        <v>1104</v>
      </c>
      <c r="B105" t="s">
        <v>67</v>
      </c>
      <c r="C105" t="s">
        <v>32</v>
      </c>
      <c r="D105" t="s">
        <v>27</v>
      </c>
      <c r="E105">
        <v>32</v>
      </c>
      <c r="F105" t="s">
        <v>69</v>
      </c>
      <c r="G105" t="s">
        <v>39</v>
      </c>
      <c r="H105" t="s">
        <v>35</v>
      </c>
      <c r="I105" s="1">
        <v>66818</v>
      </c>
      <c r="J105" t="s">
        <v>1386</v>
      </c>
      <c r="K105" t="s">
        <v>46</v>
      </c>
      <c r="L105">
        <v>6</v>
      </c>
      <c r="M105">
        <v>3</v>
      </c>
      <c r="N105" t="s">
        <v>23</v>
      </c>
      <c r="O105" t="s">
        <v>23</v>
      </c>
      <c r="P105" t="s">
        <v>180</v>
      </c>
      <c r="Q105" s="9" t="str">
        <f t="shared" si="3"/>
        <v>Valid</v>
      </c>
      <c r="R105">
        <v>9975372122</v>
      </c>
      <c r="S105" s="7" t="str">
        <f t="shared" si="2"/>
        <v>Valid</v>
      </c>
      <c r="T105" t="str">
        <f>IF(Table1[[#This Row],[Age]]&lt;25,"18-24",IF(Table1[[#This Row],[Age]]&lt;30,"25-29",IF(Table1[[#This Row],[Age]]&lt;35,"30-34",IF(Table1[[#This Row],[Age]]&lt;40,"35-39",IF(Table1[[#This Row],[Age]]&lt;50,"40-49","50+")))))</f>
        <v>30-34</v>
      </c>
    </row>
    <row r="106" spans="1:20" x14ac:dyDescent="0.35">
      <c r="A106" s="12">
        <v>1105</v>
      </c>
      <c r="B106" t="s">
        <v>60</v>
      </c>
      <c r="C106" t="s">
        <v>26</v>
      </c>
      <c r="D106" t="s">
        <v>27</v>
      </c>
      <c r="E106">
        <v>41</v>
      </c>
      <c r="F106" t="s">
        <v>69</v>
      </c>
      <c r="G106" t="s">
        <v>19</v>
      </c>
      <c r="H106" t="s">
        <v>44</v>
      </c>
      <c r="I106" s="1">
        <v>93266</v>
      </c>
      <c r="J106" t="s">
        <v>1387</v>
      </c>
      <c r="K106" t="s">
        <v>30</v>
      </c>
      <c r="L106">
        <v>6</v>
      </c>
      <c r="M106">
        <v>4</v>
      </c>
      <c r="N106" t="s">
        <v>22</v>
      </c>
      <c r="O106" t="s">
        <v>22</v>
      </c>
      <c r="P106" t="s">
        <v>181</v>
      </c>
      <c r="Q106" s="9" t="str">
        <f t="shared" si="3"/>
        <v>Valid</v>
      </c>
      <c r="R106">
        <v>9170766459</v>
      </c>
      <c r="S106" s="7" t="str">
        <f t="shared" si="2"/>
        <v>Valid</v>
      </c>
      <c r="T106" t="str">
        <f>IF(Table1[[#This Row],[Age]]&lt;25,"18-24",IF(Table1[[#This Row],[Age]]&lt;30,"25-29",IF(Table1[[#This Row],[Age]]&lt;35,"30-34",IF(Table1[[#This Row],[Age]]&lt;40,"35-39",IF(Table1[[#This Row],[Age]]&lt;50,"40-49","50+")))))</f>
        <v>40-49</v>
      </c>
    </row>
    <row r="107" spans="1:20" x14ac:dyDescent="0.35">
      <c r="A107">
        <v>1106</v>
      </c>
      <c r="B107" t="s">
        <v>15</v>
      </c>
      <c r="C107" t="s">
        <v>43</v>
      </c>
      <c r="D107" t="s">
        <v>27</v>
      </c>
      <c r="E107">
        <v>38</v>
      </c>
      <c r="F107" t="s">
        <v>62</v>
      </c>
      <c r="G107" t="s">
        <v>55</v>
      </c>
      <c r="H107" t="s">
        <v>28</v>
      </c>
      <c r="I107" s="1">
        <v>98752</v>
      </c>
      <c r="J107" t="s">
        <v>1388</v>
      </c>
      <c r="K107" t="s">
        <v>21</v>
      </c>
      <c r="L107">
        <v>15</v>
      </c>
      <c r="M107">
        <v>3</v>
      </c>
      <c r="N107" t="s">
        <v>22</v>
      </c>
      <c r="O107" t="s">
        <v>22</v>
      </c>
      <c r="P107" t="s">
        <v>182</v>
      </c>
      <c r="Q107" s="9" t="str">
        <f t="shared" si="3"/>
        <v>Valid</v>
      </c>
      <c r="R107">
        <v>9372983961</v>
      </c>
      <c r="S107" s="7" t="str">
        <f t="shared" si="2"/>
        <v>Valid</v>
      </c>
      <c r="T107" t="str">
        <f>IF(Table1[[#This Row],[Age]]&lt;25,"18-24",IF(Table1[[#This Row],[Age]]&lt;30,"25-29",IF(Table1[[#This Row],[Age]]&lt;35,"30-34",IF(Table1[[#This Row],[Age]]&lt;40,"35-39",IF(Table1[[#This Row],[Age]]&lt;50,"40-49","50+")))))</f>
        <v>35-39</v>
      </c>
    </row>
    <row r="108" spans="1:20" x14ac:dyDescent="0.35">
      <c r="A108">
        <v>1107</v>
      </c>
      <c r="B108" t="s">
        <v>64</v>
      </c>
      <c r="C108" t="s">
        <v>32</v>
      </c>
      <c r="D108" t="s">
        <v>17</v>
      </c>
      <c r="E108">
        <v>23</v>
      </c>
      <c r="F108" t="s">
        <v>33</v>
      </c>
      <c r="G108" t="s">
        <v>77</v>
      </c>
      <c r="H108" t="s">
        <v>20</v>
      </c>
      <c r="I108" s="1">
        <v>68827</v>
      </c>
      <c r="J108" t="s">
        <v>183</v>
      </c>
      <c r="K108" t="s">
        <v>21</v>
      </c>
      <c r="L108">
        <v>16</v>
      </c>
      <c r="M108">
        <v>2</v>
      </c>
      <c r="N108" t="s">
        <v>22</v>
      </c>
      <c r="O108" t="s">
        <v>23</v>
      </c>
      <c r="P108" t="s">
        <v>184</v>
      </c>
      <c r="Q108" s="9" t="str">
        <f t="shared" si="3"/>
        <v>Valid</v>
      </c>
      <c r="R108">
        <v>9540017678</v>
      </c>
      <c r="S108" s="7" t="str">
        <f t="shared" si="2"/>
        <v>Valid</v>
      </c>
      <c r="T108" t="str">
        <f>IF(Table1[[#This Row],[Age]]&lt;25,"18-24",IF(Table1[[#This Row],[Age]]&lt;30,"25-29",IF(Table1[[#This Row],[Age]]&lt;35,"30-34",IF(Table1[[#This Row],[Age]]&lt;40,"35-39",IF(Table1[[#This Row],[Age]]&lt;50,"40-49","50+")))))</f>
        <v>18-24</v>
      </c>
    </row>
    <row r="109" spans="1:20" x14ac:dyDescent="0.35">
      <c r="A109">
        <v>1108</v>
      </c>
      <c r="B109" t="s">
        <v>25</v>
      </c>
      <c r="C109" t="s">
        <v>16</v>
      </c>
      <c r="D109" t="s">
        <v>27</v>
      </c>
      <c r="E109">
        <v>33</v>
      </c>
      <c r="F109" t="s">
        <v>18</v>
      </c>
      <c r="G109" t="s">
        <v>19</v>
      </c>
      <c r="H109" t="s">
        <v>44</v>
      </c>
      <c r="I109" s="1">
        <v>62667</v>
      </c>
      <c r="J109" t="s">
        <v>1389</v>
      </c>
      <c r="K109" t="s">
        <v>30</v>
      </c>
      <c r="L109">
        <v>15</v>
      </c>
      <c r="M109">
        <v>2</v>
      </c>
      <c r="N109" t="s">
        <v>22</v>
      </c>
      <c r="O109" t="s">
        <v>22</v>
      </c>
      <c r="P109" t="s">
        <v>185</v>
      </c>
      <c r="Q109" s="9" t="str">
        <f t="shared" si="3"/>
        <v>Valid</v>
      </c>
      <c r="R109">
        <v>9197889657</v>
      </c>
      <c r="S109" s="7" t="str">
        <f t="shared" si="2"/>
        <v>Valid</v>
      </c>
      <c r="T109" t="str">
        <f>IF(Table1[[#This Row],[Age]]&lt;25,"18-24",IF(Table1[[#This Row],[Age]]&lt;30,"25-29",IF(Table1[[#This Row],[Age]]&lt;35,"30-34",IF(Table1[[#This Row],[Age]]&lt;40,"35-39",IF(Table1[[#This Row],[Age]]&lt;50,"40-49","50+")))))</f>
        <v>30-34</v>
      </c>
    </row>
    <row r="110" spans="1:20" x14ac:dyDescent="0.35">
      <c r="A110">
        <v>1109</v>
      </c>
      <c r="B110" t="s">
        <v>25</v>
      </c>
      <c r="C110" t="s">
        <v>43</v>
      </c>
      <c r="D110" t="s">
        <v>27</v>
      </c>
      <c r="E110">
        <v>46</v>
      </c>
      <c r="F110" t="s">
        <v>18</v>
      </c>
      <c r="G110" t="s">
        <v>39</v>
      </c>
      <c r="H110" t="s">
        <v>35</v>
      </c>
      <c r="I110" s="1">
        <v>47680</v>
      </c>
      <c r="J110" t="s">
        <v>186</v>
      </c>
      <c r="K110" t="s">
        <v>21</v>
      </c>
      <c r="L110">
        <v>7</v>
      </c>
      <c r="M110">
        <v>3</v>
      </c>
      <c r="N110" t="s">
        <v>23</v>
      </c>
      <c r="O110" t="s">
        <v>22</v>
      </c>
      <c r="P110" t="s">
        <v>187</v>
      </c>
      <c r="Q110" s="9" t="str">
        <f t="shared" si="3"/>
        <v>Valid</v>
      </c>
      <c r="R110">
        <v>9589153836</v>
      </c>
      <c r="S110" s="7" t="str">
        <f t="shared" si="2"/>
        <v>Valid</v>
      </c>
      <c r="T110" t="str">
        <f>IF(Table1[[#This Row],[Age]]&lt;25,"18-24",IF(Table1[[#This Row],[Age]]&lt;30,"25-29",IF(Table1[[#This Row],[Age]]&lt;35,"30-34",IF(Table1[[#This Row],[Age]]&lt;40,"35-39",IF(Table1[[#This Row],[Age]]&lt;50,"40-49","50+")))))</f>
        <v>40-49</v>
      </c>
    </row>
    <row r="111" spans="1:20" x14ac:dyDescent="0.35">
      <c r="A111">
        <v>1110</v>
      </c>
      <c r="B111" t="s">
        <v>67</v>
      </c>
      <c r="C111" t="s">
        <v>32</v>
      </c>
      <c r="D111" t="s">
        <v>17</v>
      </c>
      <c r="E111">
        <v>36</v>
      </c>
      <c r="F111" t="s">
        <v>62</v>
      </c>
      <c r="G111" t="s">
        <v>77</v>
      </c>
      <c r="H111" t="s">
        <v>28</v>
      </c>
      <c r="I111" s="1">
        <v>107425</v>
      </c>
      <c r="J111" t="s">
        <v>1390</v>
      </c>
      <c r="K111" t="s">
        <v>46</v>
      </c>
      <c r="L111">
        <v>15</v>
      </c>
      <c r="M111">
        <v>4</v>
      </c>
      <c r="N111" t="s">
        <v>23</v>
      </c>
      <c r="O111" t="s">
        <v>22</v>
      </c>
      <c r="P111" t="s">
        <v>188</v>
      </c>
      <c r="Q111" s="9" t="str">
        <f t="shared" si="3"/>
        <v>Valid</v>
      </c>
      <c r="R111">
        <v>9107833390</v>
      </c>
      <c r="S111" s="7" t="str">
        <f t="shared" si="2"/>
        <v>Valid</v>
      </c>
      <c r="T111" t="str">
        <f>IF(Table1[[#This Row],[Age]]&lt;25,"18-24",IF(Table1[[#This Row],[Age]]&lt;30,"25-29",IF(Table1[[#This Row],[Age]]&lt;35,"30-34",IF(Table1[[#This Row],[Age]]&lt;40,"35-39",IF(Table1[[#This Row],[Age]]&lt;50,"40-49","50+")))))</f>
        <v>35-39</v>
      </c>
    </row>
    <row r="112" spans="1:20" x14ac:dyDescent="0.35">
      <c r="A112">
        <v>1111</v>
      </c>
      <c r="B112" t="s">
        <v>67</v>
      </c>
      <c r="C112" t="s">
        <v>43</v>
      </c>
      <c r="D112" t="s">
        <v>27</v>
      </c>
      <c r="E112">
        <v>47</v>
      </c>
      <c r="F112" t="s">
        <v>62</v>
      </c>
      <c r="G112" t="s">
        <v>34</v>
      </c>
      <c r="H112" t="s">
        <v>56</v>
      </c>
      <c r="I112" s="1">
        <v>74516</v>
      </c>
      <c r="J112" t="s">
        <v>189</v>
      </c>
      <c r="K112" t="s">
        <v>40</v>
      </c>
      <c r="L112">
        <v>22</v>
      </c>
      <c r="M112">
        <v>3</v>
      </c>
      <c r="N112" t="s">
        <v>23</v>
      </c>
      <c r="O112" t="s">
        <v>23</v>
      </c>
      <c r="P112" t="s">
        <v>190</v>
      </c>
      <c r="Q112" s="9" t="str">
        <f t="shared" si="3"/>
        <v>Valid</v>
      </c>
      <c r="R112">
        <v>9876845316</v>
      </c>
      <c r="S112" s="7" t="str">
        <f t="shared" si="2"/>
        <v>Valid</v>
      </c>
      <c r="T112" t="str">
        <f>IF(Table1[[#This Row],[Age]]&lt;25,"18-24",IF(Table1[[#This Row],[Age]]&lt;30,"25-29",IF(Table1[[#This Row],[Age]]&lt;35,"30-34",IF(Table1[[#This Row],[Age]]&lt;40,"35-39",IF(Table1[[#This Row],[Age]]&lt;50,"40-49","50+")))))</f>
        <v>40-49</v>
      </c>
    </row>
    <row r="113" spans="1:20" x14ac:dyDescent="0.35">
      <c r="A113">
        <v>1112</v>
      </c>
      <c r="B113" t="s">
        <v>67</v>
      </c>
      <c r="C113" t="s">
        <v>43</v>
      </c>
      <c r="D113" t="s">
        <v>27</v>
      </c>
      <c r="E113">
        <v>43</v>
      </c>
      <c r="F113" t="s">
        <v>33</v>
      </c>
      <c r="G113" t="s">
        <v>19</v>
      </c>
      <c r="H113" t="s">
        <v>20</v>
      </c>
      <c r="I113" s="1">
        <v>59096</v>
      </c>
      <c r="J113" t="s">
        <v>1391</v>
      </c>
      <c r="K113" t="s">
        <v>30</v>
      </c>
      <c r="L113">
        <v>12</v>
      </c>
      <c r="M113">
        <v>5</v>
      </c>
      <c r="N113" t="s">
        <v>22</v>
      </c>
      <c r="O113" t="s">
        <v>22</v>
      </c>
      <c r="P113" t="s">
        <v>191</v>
      </c>
      <c r="Q113" s="9" t="str">
        <f t="shared" si="3"/>
        <v>Invalid</v>
      </c>
      <c r="R113">
        <v>9862936692</v>
      </c>
      <c r="S113" s="7" t="str">
        <f t="shared" si="2"/>
        <v>Valid</v>
      </c>
      <c r="T113" t="str">
        <f>IF(Table1[[#This Row],[Age]]&lt;25,"18-24",IF(Table1[[#This Row],[Age]]&lt;30,"25-29",IF(Table1[[#This Row],[Age]]&lt;35,"30-34",IF(Table1[[#This Row],[Age]]&lt;40,"35-39",IF(Table1[[#This Row],[Age]]&lt;50,"40-49","50+")))))</f>
        <v>40-49</v>
      </c>
    </row>
    <row r="114" spans="1:20" x14ac:dyDescent="0.35">
      <c r="A114">
        <v>1113</v>
      </c>
      <c r="B114" t="s">
        <v>54</v>
      </c>
      <c r="C114" t="s">
        <v>32</v>
      </c>
      <c r="D114" t="s">
        <v>27</v>
      </c>
      <c r="E114">
        <v>37</v>
      </c>
      <c r="F114" t="s">
        <v>69</v>
      </c>
      <c r="G114" t="s">
        <v>34</v>
      </c>
      <c r="H114" t="s">
        <v>56</v>
      </c>
      <c r="I114" s="1">
        <v>-79426</v>
      </c>
      <c r="J114" t="s">
        <v>1376</v>
      </c>
      <c r="K114" t="s">
        <v>30</v>
      </c>
      <c r="L114">
        <v>22</v>
      </c>
      <c r="M114">
        <v>2</v>
      </c>
      <c r="N114" t="s">
        <v>23</v>
      </c>
      <c r="O114" t="s">
        <v>23</v>
      </c>
      <c r="P114" t="s">
        <v>192</v>
      </c>
      <c r="Q114" s="9" t="str">
        <f t="shared" si="3"/>
        <v>Valid</v>
      </c>
      <c r="R114">
        <v>9723619152</v>
      </c>
      <c r="S114" s="7" t="str">
        <f t="shared" si="2"/>
        <v>Valid</v>
      </c>
      <c r="T114" t="str">
        <f>IF(Table1[[#This Row],[Age]]&lt;25,"18-24",IF(Table1[[#This Row],[Age]]&lt;30,"25-29",IF(Table1[[#This Row],[Age]]&lt;35,"30-34",IF(Table1[[#This Row],[Age]]&lt;40,"35-39",IF(Table1[[#This Row],[Age]]&lt;50,"40-49","50+")))))</f>
        <v>35-39</v>
      </c>
    </row>
    <row r="115" spans="1:20" x14ac:dyDescent="0.35">
      <c r="A115">
        <v>1114</v>
      </c>
      <c r="B115" t="s">
        <v>37</v>
      </c>
      <c r="C115" t="s">
        <v>61</v>
      </c>
      <c r="D115" t="s">
        <v>17</v>
      </c>
      <c r="E115">
        <v>26</v>
      </c>
      <c r="F115" t="s">
        <v>69</v>
      </c>
      <c r="G115" t="s">
        <v>34</v>
      </c>
      <c r="H115" t="s">
        <v>56</v>
      </c>
      <c r="I115" s="1">
        <v>64100</v>
      </c>
      <c r="J115" t="s">
        <v>1392</v>
      </c>
      <c r="K115" t="s">
        <v>30</v>
      </c>
      <c r="L115">
        <v>6</v>
      </c>
      <c r="M115">
        <v>3</v>
      </c>
      <c r="N115" t="s">
        <v>23</v>
      </c>
      <c r="O115" t="s">
        <v>23</v>
      </c>
      <c r="P115" t="s">
        <v>193</v>
      </c>
      <c r="Q115" s="9" t="str">
        <f t="shared" si="3"/>
        <v>Valid</v>
      </c>
      <c r="R115">
        <v>9755051292</v>
      </c>
      <c r="S115" s="7" t="str">
        <f t="shared" si="2"/>
        <v>Valid</v>
      </c>
      <c r="T115" t="str">
        <f>IF(Table1[[#This Row],[Age]]&lt;25,"18-24",IF(Table1[[#This Row],[Age]]&lt;30,"25-29",IF(Table1[[#This Row],[Age]]&lt;35,"30-34",IF(Table1[[#This Row],[Age]]&lt;40,"35-39",IF(Table1[[#This Row],[Age]]&lt;50,"40-49","50+")))))</f>
        <v>25-29</v>
      </c>
    </row>
    <row r="116" spans="1:20" x14ac:dyDescent="0.35">
      <c r="A116">
        <v>1115</v>
      </c>
      <c r="B116" t="s">
        <v>25</v>
      </c>
      <c r="C116" t="s">
        <v>32</v>
      </c>
      <c r="D116" t="s">
        <v>27</v>
      </c>
      <c r="E116">
        <v>46</v>
      </c>
      <c r="F116" t="s">
        <v>38</v>
      </c>
      <c r="G116" t="s">
        <v>55</v>
      </c>
      <c r="H116" t="s">
        <v>56</v>
      </c>
      <c r="I116" s="1">
        <v>45910</v>
      </c>
      <c r="J116" t="s">
        <v>1393</v>
      </c>
      <c r="K116" t="s">
        <v>49</v>
      </c>
      <c r="L116">
        <v>16</v>
      </c>
      <c r="M116">
        <v>4</v>
      </c>
      <c r="N116" t="s">
        <v>23</v>
      </c>
      <c r="O116" t="s">
        <v>22</v>
      </c>
      <c r="P116" t="s">
        <v>194</v>
      </c>
      <c r="Q116" s="9" t="str">
        <f t="shared" si="3"/>
        <v>Valid</v>
      </c>
      <c r="R116">
        <v>9787687080</v>
      </c>
      <c r="S116" s="7" t="str">
        <f t="shared" si="2"/>
        <v>Valid</v>
      </c>
      <c r="T116" t="str">
        <f>IF(Table1[[#This Row],[Age]]&lt;25,"18-24",IF(Table1[[#This Row],[Age]]&lt;30,"25-29",IF(Table1[[#This Row],[Age]]&lt;35,"30-34",IF(Table1[[#This Row],[Age]]&lt;40,"35-39",IF(Table1[[#This Row],[Age]]&lt;50,"40-49","50+")))))</f>
        <v>40-49</v>
      </c>
    </row>
    <row r="117" spans="1:20" x14ac:dyDescent="0.35">
      <c r="A117">
        <v>1116</v>
      </c>
      <c r="B117" t="s">
        <v>60</v>
      </c>
      <c r="C117" t="s">
        <v>43</v>
      </c>
      <c r="D117" t="s">
        <v>27</v>
      </c>
      <c r="E117">
        <v>40</v>
      </c>
      <c r="F117" t="s">
        <v>38</v>
      </c>
      <c r="G117" t="s">
        <v>39</v>
      </c>
      <c r="H117" t="s">
        <v>20</v>
      </c>
      <c r="I117" s="1">
        <v>58090</v>
      </c>
      <c r="J117" t="s">
        <v>1394</v>
      </c>
      <c r="K117" t="s">
        <v>46</v>
      </c>
      <c r="L117">
        <v>0</v>
      </c>
      <c r="M117">
        <v>2</v>
      </c>
      <c r="N117" t="s">
        <v>22</v>
      </c>
      <c r="O117" t="s">
        <v>23</v>
      </c>
      <c r="P117" t="s">
        <v>195</v>
      </c>
      <c r="Q117" s="9" t="str">
        <f t="shared" si="3"/>
        <v>Valid</v>
      </c>
      <c r="R117">
        <v>9063841304</v>
      </c>
      <c r="S117" s="7" t="str">
        <f t="shared" si="2"/>
        <v>Valid</v>
      </c>
      <c r="T117" t="str">
        <f>IF(Table1[[#This Row],[Age]]&lt;25,"18-24",IF(Table1[[#This Row],[Age]]&lt;30,"25-29",IF(Table1[[#This Row],[Age]]&lt;35,"30-34",IF(Table1[[#This Row],[Age]]&lt;40,"35-39",IF(Table1[[#This Row],[Age]]&lt;50,"40-49","50+")))))</f>
        <v>40-49</v>
      </c>
    </row>
    <row r="118" spans="1:20" x14ac:dyDescent="0.35">
      <c r="A118">
        <v>1117</v>
      </c>
      <c r="B118" t="s">
        <v>15</v>
      </c>
      <c r="C118" t="s">
        <v>43</v>
      </c>
      <c r="D118" t="s">
        <v>17</v>
      </c>
      <c r="E118">
        <v>45</v>
      </c>
      <c r="F118" t="s">
        <v>62</v>
      </c>
      <c r="G118" t="s">
        <v>77</v>
      </c>
      <c r="H118" t="s">
        <v>56</v>
      </c>
      <c r="I118" s="1">
        <v>94732</v>
      </c>
      <c r="J118" t="s">
        <v>196</v>
      </c>
      <c r="K118" t="s">
        <v>46</v>
      </c>
      <c r="L118">
        <v>2</v>
      </c>
      <c r="M118">
        <v>4</v>
      </c>
      <c r="N118" t="s">
        <v>22</v>
      </c>
      <c r="O118" t="s">
        <v>22</v>
      </c>
      <c r="P118" t="s">
        <v>197</v>
      </c>
      <c r="Q118" s="9" t="str">
        <f t="shared" si="3"/>
        <v>Valid</v>
      </c>
      <c r="R118">
        <v>9178202179</v>
      </c>
      <c r="S118" s="7" t="str">
        <f t="shared" si="2"/>
        <v>Valid</v>
      </c>
      <c r="T118" t="str">
        <f>IF(Table1[[#This Row],[Age]]&lt;25,"18-24",IF(Table1[[#This Row],[Age]]&lt;30,"25-29",IF(Table1[[#This Row],[Age]]&lt;35,"30-34",IF(Table1[[#This Row],[Age]]&lt;40,"35-39",IF(Table1[[#This Row],[Age]]&lt;50,"40-49","50+")))))</f>
        <v>40-49</v>
      </c>
    </row>
    <row r="119" spans="1:20" x14ac:dyDescent="0.35">
      <c r="A119">
        <v>1118</v>
      </c>
      <c r="B119" t="s">
        <v>82</v>
      </c>
      <c r="C119" t="s">
        <v>61</v>
      </c>
      <c r="D119" t="s">
        <v>17</v>
      </c>
      <c r="E119">
        <v>48</v>
      </c>
      <c r="F119" t="s">
        <v>69</v>
      </c>
      <c r="G119" t="s">
        <v>34</v>
      </c>
      <c r="H119" t="s">
        <v>44</v>
      </c>
      <c r="I119" s="1">
        <v>75286</v>
      </c>
      <c r="J119" t="s">
        <v>1395</v>
      </c>
      <c r="K119" t="s">
        <v>40</v>
      </c>
      <c r="L119">
        <v>5</v>
      </c>
      <c r="M119">
        <v>5</v>
      </c>
      <c r="N119" t="s">
        <v>22</v>
      </c>
      <c r="O119" t="s">
        <v>22</v>
      </c>
      <c r="P119" t="s">
        <v>198</v>
      </c>
      <c r="Q119" s="9" t="str">
        <f t="shared" si="3"/>
        <v>Valid</v>
      </c>
      <c r="R119">
        <v>9093060890</v>
      </c>
      <c r="S119" s="7" t="str">
        <f t="shared" si="2"/>
        <v>Valid</v>
      </c>
      <c r="T119" t="str">
        <f>IF(Table1[[#This Row],[Age]]&lt;25,"18-24",IF(Table1[[#This Row],[Age]]&lt;30,"25-29",IF(Table1[[#This Row],[Age]]&lt;35,"30-34",IF(Table1[[#This Row],[Age]]&lt;40,"35-39",IF(Table1[[#This Row],[Age]]&lt;50,"40-49","50+")))))</f>
        <v>40-49</v>
      </c>
    </row>
    <row r="120" spans="1:20" x14ac:dyDescent="0.35">
      <c r="A120">
        <v>1109</v>
      </c>
      <c r="B120" t="s">
        <v>15</v>
      </c>
      <c r="C120" t="s">
        <v>43</v>
      </c>
      <c r="D120" t="s">
        <v>27</v>
      </c>
      <c r="E120">
        <v>38</v>
      </c>
      <c r="F120" t="s">
        <v>62</v>
      </c>
      <c r="G120" t="s">
        <v>55</v>
      </c>
      <c r="H120" t="s">
        <v>35</v>
      </c>
      <c r="I120" s="1">
        <v>111216</v>
      </c>
      <c r="J120" t="s">
        <v>996</v>
      </c>
      <c r="K120" t="s">
        <v>30</v>
      </c>
      <c r="L120">
        <v>5</v>
      </c>
      <c r="M120">
        <v>2</v>
      </c>
      <c r="N120" t="s">
        <v>22</v>
      </c>
      <c r="O120" t="s">
        <v>22</v>
      </c>
      <c r="P120" t="s">
        <v>199</v>
      </c>
      <c r="Q120" s="9" t="str">
        <f t="shared" si="3"/>
        <v>Valid</v>
      </c>
      <c r="R120">
        <v>9134481325</v>
      </c>
      <c r="S120" s="7" t="str">
        <f t="shared" si="2"/>
        <v>Valid</v>
      </c>
      <c r="T120" t="str">
        <f>IF(Table1[[#This Row],[Age]]&lt;25,"18-24",IF(Table1[[#This Row],[Age]]&lt;30,"25-29",IF(Table1[[#This Row],[Age]]&lt;35,"30-34",IF(Table1[[#This Row],[Age]]&lt;40,"35-39",IF(Table1[[#This Row],[Age]]&lt;50,"40-49","50+")))))</f>
        <v>35-39</v>
      </c>
    </row>
    <row r="121" spans="1:20" x14ac:dyDescent="0.35">
      <c r="A121">
        <v>1120</v>
      </c>
      <c r="B121" t="s">
        <v>42</v>
      </c>
      <c r="C121" t="s">
        <v>16</v>
      </c>
      <c r="D121" t="s">
        <v>27</v>
      </c>
      <c r="E121">
        <v>32</v>
      </c>
      <c r="F121" t="s">
        <v>33</v>
      </c>
      <c r="G121" t="s">
        <v>39</v>
      </c>
      <c r="H121" t="s">
        <v>28</v>
      </c>
      <c r="I121" s="1">
        <v>62014</v>
      </c>
      <c r="J121" t="s">
        <v>1396</v>
      </c>
      <c r="K121" t="s">
        <v>46</v>
      </c>
      <c r="L121">
        <v>2</v>
      </c>
      <c r="M121">
        <v>4</v>
      </c>
      <c r="N121" t="s">
        <v>23</v>
      </c>
      <c r="O121" t="s">
        <v>22</v>
      </c>
      <c r="P121" t="s">
        <v>200</v>
      </c>
      <c r="Q121" s="9" t="str">
        <f t="shared" si="3"/>
        <v>Valid</v>
      </c>
      <c r="R121">
        <v>9458822322</v>
      </c>
      <c r="S121" s="7" t="str">
        <f t="shared" si="2"/>
        <v>Valid</v>
      </c>
      <c r="T121" t="str">
        <f>IF(Table1[[#This Row],[Age]]&lt;25,"18-24",IF(Table1[[#This Row],[Age]]&lt;30,"25-29",IF(Table1[[#This Row],[Age]]&lt;35,"30-34",IF(Table1[[#This Row],[Age]]&lt;40,"35-39",IF(Table1[[#This Row],[Age]]&lt;50,"40-49","50+")))))</f>
        <v>30-34</v>
      </c>
    </row>
    <row r="122" spans="1:20" x14ac:dyDescent="0.35">
      <c r="A122">
        <v>1121</v>
      </c>
      <c r="B122" t="s">
        <v>54</v>
      </c>
      <c r="C122" t="s">
        <v>61</v>
      </c>
      <c r="D122" t="s">
        <v>27</v>
      </c>
      <c r="E122">
        <v>66</v>
      </c>
      <c r="F122" t="s">
        <v>69</v>
      </c>
      <c r="G122" t="s">
        <v>77</v>
      </c>
      <c r="H122" t="s">
        <v>28</v>
      </c>
      <c r="I122" s="1">
        <v>114189</v>
      </c>
      <c r="J122" t="s">
        <v>1397</v>
      </c>
      <c r="K122" t="s">
        <v>40</v>
      </c>
      <c r="L122">
        <v>1</v>
      </c>
      <c r="M122">
        <v>2</v>
      </c>
      <c r="N122" t="s">
        <v>22</v>
      </c>
      <c r="O122" t="s">
        <v>22</v>
      </c>
      <c r="P122" t="s">
        <v>201</v>
      </c>
      <c r="Q122" s="9" t="str">
        <f t="shared" si="3"/>
        <v>Valid</v>
      </c>
      <c r="R122">
        <v>9680890200</v>
      </c>
      <c r="S122" s="7" t="str">
        <f t="shared" si="2"/>
        <v>Valid</v>
      </c>
      <c r="T122" t="str">
        <f>IF(Table1[[#This Row],[Age]]&lt;25,"18-24",IF(Table1[[#This Row],[Age]]&lt;30,"25-29",IF(Table1[[#This Row],[Age]]&lt;35,"30-34",IF(Table1[[#This Row],[Age]]&lt;40,"35-39",IF(Table1[[#This Row],[Age]]&lt;50,"40-49","50+")))))</f>
        <v>50+</v>
      </c>
    </row>
    <row r="123" spans="1:20" x14ac:dyDescent="0.35">
      <c r="A123">
        <v>1122</v>
      </c>
      <c r="B123" t="s">
        <v>58</v>
      </c>
      <c r="C123" t="s">
        <v>43</v>
      </c>
      <c r="D123" t="s">
        <v>17</v>
      </c>
      <c r="E123">
        <v>22</v>
      </c>
      <c r="F123" t="s">
        <v>62</v>
      </c>
      <c r="G123" t="s">
        <v>39</v>
      </c>
      <c r="H123" t="s">
        <v>56</v>
      </c>
      <c r="I123" s="1">
        <v>36046</v>
      </c>
      <c r="J123" t="s">
        <v>115</v>
      </c>
      <c r="K123" t="s">
        <v>40</v>
      </c>
      <c r="L123">
        <v>25</v>
      </c>
      <c r="M123">
        <v>4</v>
      </c>
      <c r="N123" t="s">
        <v>23</v>
      </c>
      <c r="O123" t="s">
        <v>22</v>
      </c>
      <c r="P123" t="s">
        <v>202</v>
      </c>
      <c r="Q123" s="9" t="str">
        <f t="shared" si="3"/>
        <v>Valid</v>
      </c>
      <c r="R123">
        <v>9957293533</v>
      </c>
      <c r="S123" s="7" t="str">
        <f t="shared" si="2"/>
        <v>Valid</v>
      </c>
      <c r="T123" t="str">
        <f>IF(Table1[[#This Row],[Age]]&lt;25,"18-24",IF(Table1[[#This Row],[Age]]&lt;30,"25-29",IF(Table1[[#This Row],[Age]]&lt;35,"30-34",IF(Table1[[#This Row],[Age]]&lt;40,"35-39",IF(Table1[[#This Row],[Age]]&lt;50,"40-49","50+")))))</f>
        <v>18-24</v>
      </c>
    </row>
    <row r="124" spans="1:20" x14ac:dyDescent="0.35">
      <c r="A124">
        <v>1123</v>
      </c>
      <c r="B124" t="s">
        <v>82</v>
      </c>
      <c r="C124" t="s">
        <v>32</v>
      </c>
      <c r="D124" t="s">
        <v>27</v>
      </c>
      <c r="E124">
        <v>34</v>
      </c>
      <c r="F124" t="s">
        <v>38</v>
      </c>
      <c r="G124" t="s">
        <v>19</v>
      </c>
      <c r="H124" t="s">
        <v>56</v>
      </c>
      <c r="I124" s="1">
        <v>63722</v>
      </c>
      <c r="J124" t="s">
        <v>1344</v>
      </c>
      <c r="K124" t="s">
        <v>46</v>
      </c>
      <c r="L124">
        <v>6</v>
      </c>
      <c r="M124">
        <v>4</v>
      </c>
      <c r="N124" t="s">
        <v>23</v>
      </c>
      <c r="O124" t="s">
        <v>23</v>
      </c>
      <c r="P124" t="s">
        <v>203</v>
      </c>
      <c r="Q124" s="9" t="str">
        <f t="shared" si="3"/>
        <v>Valid</v>
      </c>
      <c r="R124">
        <v>9478719632</v>
      </c>
      <c r="S124" s="7" t="str">
        <f t="shared" si="2"/>
        <v>Valid</v>
      </c>
      <c r="T124" t="str">
        <f>IF(Table1[[#This Row],[Age]]&lt;25,"18-24",IF(Table1[[#This Row],[Age]]&lt;30,"25-29",IF(Table1[[#This Row],[Age]]&lt;35,"30-34",IF(Table1[[#This Row],[Age]]&lt;40,"35-39",IF(Table1[[#This Row],[Age]]&lt;50,"40-49","50+")))))</f>
        <v>30-34</v>
      </c>
    </row>
    <row r="125" spans="1:20" x14ac:dyDescent="0.35">
      <c r="A125">
        <v>1124</v>
      </c>
      <c r="B125" t="s">
        <v>15</v>
      </c>
      <c r="C125" t="s">
        <v>16</v>
      </c>
      <c r="D125" t="s">
        <v>27</v>
      </c>
      <c r="E125">
        <v>26</v>
      </c>
      <c r="F125" t="s">
        <v>33</v>
      </c>
      <c r="G125" t="s">
        <v>34</v>
      </c>
      <c r="H125" t="s">
        <v>35</v>
      </c>
      <c r="I125" s="1">
        <v>27755</v>
      </c>
      <c r="J125" t="s">
        <v>1398</v>
      </c>
      <c r="K125" t="s">
        <v>40</v>
      </c>
      <c r="L125">
        <v>1</v>
      </c>
      <c r="M125">
        <v>3</v>
      </c>
      <c r="N125" t="s">
        <v>23</v>
      </c>
      <c r="O125" t="s">
        <v>23</v>
      </c>
      <c r="P125" t="s">
        <v>204</v>
      </c>
      <c r="Q125" s="9" t="str">
        <f t="shared" si="3"/>
        <v>Valid</v>
      </c>
      <c r="R125">
        <v>93605588</v>
      </c>
      <c r="S125" s="7" t="str">
        <f t="shared" si="2"/>
        <v>Invalid</v>
      </c>
      <c r="T125" t="str">
        <f>IF(Table1[[#This Row],[Age]]&lt;25,"18-24",IF(Table1[[#This Row],[Age]]&lt;30,"25-29",IF(Table1[[#This Row],[Age]]&lt;35,"30-34",IF(Table1[[#This Row],[Age]]&lt;40,"35-39",IF(Table1[[#This Row],[Age]]&lt;50,"40-49","50+")))))</f>
        <v>25-29</v>
      </c>
    </row>
    <row r="126" spans="1:20" x14ac:dyDescent="0.35">
      <c r="A126">
        <v>1125</v>
      </c>
      <c r="B126" t="s">
        <v>15</v>
      </c>
      <c r="C126" t="s">
        <v>32</v>
      </c>
      <c r="D126" t="s">
        <v>17</v>
      </c>
      <c r="E126">
        <v>27</v>
      </c>
      <c r="F126" t="s">
        <v>62</v>
      </c>
      <c r="G126" t="s">
        <v>19</v>
      </c>
      <c r="H126" t="s">
        <v>20</v>
      </c>
      <c r="I126" s="1">
        <v>71393</v>
      </c>
      <c r="J126" t="s">
        <v>115</v>
      </c>
      <c r="K126" t="s">
        <v>46</v>
      </c>
      <c r="L126">
        <v>8</v>
      </c>
      <c r="M126">
        <v>2</v>
      </c>
      <c r="N126" t="s">
        <v>23</v>
      </c>
      <c r="O126" t="s">
        <v>22</v>
      </c>
      <c r="P126" t="s">
        <v>205</v>
      </c>
      <c r="Q126" s="9" t="str">
        <f t="shared" si="3"/>
        <v>Valid</v>
      </c>
      <c r="R126">
        <v>9226093401</v>
      </c>
      <c r="S126" s="7" t="str">
        <f t="shared" si="2"/>
        <v>Valid</v>
      </c>
      <c r="T126" t="str">
        <f>IF(Table1[[#This Row],[Age]]&lt;25,"18-24",IF(Table1[[#This Row],[Age]]&lt;30,"25-29",IF(Table1[[#This Row],[Age]]&lt;35,"30-34",IF(Table1[[#This Row],[Age]]&lt;40,"35-39",IF(Table1[[#This Row],[Age]]&lt;50,"40-49","50+")))))</f>
        <v>25-29</v>
      </c>
    </row>
    <row r="127" spans="1:20" x14ac:dyDescent="0.35">
      <c r="A127">
        <v>1126</v>
      </c>
      <c r="B127" t="s">
        <v>82</v>
      </c>
      <c r="C127" t="s">
        <v>16</v>
      </c>
      <c r="D127" t="s">
        <v>27</v>
      </c>
      <c r="E127">
        <v>26</v>
      </c>
      <c r="F127" t="s">
        <v>18</v>
      </c>
      <c r="G127" t="s">
        <v>77</v>
      </c>
      <c r="H127" t="s">
        <v>20</v>
      </c>
      <c r="I127" s="1">
        <v>118997</v>
      </c>
      <c r="J127" t="s">
        <v>1399</v>
      </c>
      <c r="K127" t="s">
        <v>49</v>
      </c>
      <c r="L127">
        <v>19</v>
      </c>
      <c r="M127">
        <v>1</v>
      </c>
      <c r="N127" t="s">
        <v>22</v>
      </c>
      <c r="O127" t="s">
        <v>23</v>
      </c>
      <c r="P127" t="s">
        <v>206</v>
      </c>
      <c r="Q127" s="9" t="str">
        <f t="shared" si="3"/>
        <v>Valid</v>
      </c>
      <c r="R127">
        <v>9398289297</v>
      </c>
      <c r="S127" s="7" t="str">
        <f t="shared" si="2"/>
        <v>Valid</v>
      </c>
      <c r="T127" t="str">
        <f>IF(Table1[[#This Row],[Age]]&lt;25,"18-24",IF(Table1[[#This Row],[Age]]&lt;30,"25-29",IF(Table1[[#This Row],[Age]]&lt;35,"30-34",IF(Table1[[#This Row],[Age]]&lt;40,"35-39",IF(Table1[[#This Row],[Age]]&lt;50,"40-49","50+")))))</f>
        <v>25-29</v>
      </c>
    </row>
    <row r="128" spans="1:20" x14ac:dyDescent="0.35">
      <c r="A128">
        <v>1127</v>
      </c>
      <c r="B128" t="s">
        <v>25</v>
      </c>
      <c r="C128" t="s">
        <v>43</v>
      </c>
      <c r="D128" t="s">
        <v>27</v>
      </c>
      <c r="E128">
        <v>25</v>
      </c>
      <c r="F128" t="s">
        <v>69</v>
      </c>
      <c r="G128" t="s">
        <v>34</v>
      </c>
      <c r="H128" t="s">
        <v>44</v>
      </c>
      <c r="I128" s="1">
        <v>104775</v>
      </c>
      <c r="J128" t="s">
        <v>1400</v>
      </c>
      <c r="K128" t="s">
        <v>49</v>
      </c>
      <c r="L128">
        <v>19</v>
      </c>
      <c r="M128">
        <v>5</v>
      </c>
      <c r="N128" t="s">
        <v>23</v>
      </c>
      <c r="O128" t="s">
        <v>23</v>
      </c>
      <c r="P128" t="s">
        <v>207</v>
      </c>
      <c r="Q128" s="9" t="str">
        <f t="shared" si="3"/>
        <v>Valid</v>
      </c>
      <c r="R128">
        <v>9936507342</v>
      </c>
      <c r="S128" s="7" t="str">
        <f t="shared" si="2"/>
        <v>Valid</v>
      </c>
      <c r="T128" t="str">
        <f>IF(Table1[[#This Row],[Age]]&lt;25,"18-24",IF(Table1[[#This Row],[Age]]&lt;30,"25-29",IF(Table1[[#This Row],[Age]]&lt;35,"30-34",IF(Table1[[#This Row],[Age]]&lt;40,"35-39",IF(Table1[[#This Row],[Age]]&lt;50,"40-49","50+")))))</f>
        <v>25-29</v>
      </c>
    </row>
    <row r="129" spans="1:20" x14ac:dyDescent="0.35">
      <c r="A129">
        <v>1128</v>
      </c>
      <c r="B129" t="s">
        <v>42</v>
      </c>
      <c r="C129" t="s">
        <v>26</v>
      </c>
      <c r="D129" t="s">
        <v>17</v>
      </c>
      <c r="E129">
        <v>52</v>
      </c>
      <c r="F129" t="s">
        <v>69</v>
      </c>
      <c r="G129" t="s">
        <v>39</v>
      </c>
      <c r="H129" t="s">
        <v>44</v>
      </c>
      <c r="I129" s="1">
        <v>99352</v>
      </c>
      <c r="J129" t="s">
        <v>208</v>
      </c>
      <c r="K129" t="s">
        <v>49</v>
      </c>
      <c r="L129">
        <v>3</v>
      </c>
      <c r="M129">
        <v>4</v>
      </c>
      <c r="N129" t="s">
        <v>23</v>
      </c>
      <c r="O129" t="s">
        <v>22</v>
      </c>
      <c r="P129" t="s">
        <v>209</v>
      </c>
      <c r="Q129" s="9" t="str">
        <f t="shared" si="3"/>
        <v>Valid</v>
      </c>
      <c r="R129">
        <v>97948812</v>
      </c>
      <c r="S129" s="7" t="str">
        <f t="shared" si="2"/>
        <v>Invalid</v>
      </c>
      <c r="T129" t="str">
        <f>IF(Table1[[#This Row],[Age]]&lt;25,"18-24",IF(Table1[[#This Row],[Age]]&lt;30,"25-29",IF(Table1[[#This Row],[Age]]&lt;35,"30-34",IF(Table1[[#This Row],[Age]]&lt;40,"35-39",IF(Table1[[#This Row],[Age]]&lt;50,"40-49","50+")))))</f>
        <v>50+</v>
      </c>
    </row>
    <row r="130" spans="1:20" x14ac:dyDescent="0.35">
      <c r="A130">
        <v>1129</v>
      </c>
      <c r="B130" t="s">
        <v>60</v>
      </c>
      <c r="C130" t="s">
        <v>43</v>
      </c>
      <c r="D130" t="s">
        <v>27</v>
      </c>
      <c r="E130">
        <v>23</v>
      </c>
      <c r="F130" t="s">
        <v>38</v>
      </c>
      <c r="G130" t="s">
        <v>55</v>
      </c>
      <c r="H130" t="s">
        <v>20</v>
      </c>
      <c r="I130" s="1">
        <v>112191</v>
      </c>
      <c r="J130" t="s">
        <v>1345</v>
      </c>
      <c r="K130" t="s">
        <v>46</v>
      </c>
      <c r="L130">
        <v>24</v>
      </c>
      <c r="M130">
        <v>2</v>
      </c>
      <c r="N130" t="s">
        <v>22</v>
      </c>
      <c r="O130" t="s">
        <v>23</v>
      </c>
      <c r="P130" t="s">
        <v>210</v>
      </c>
      <c r="Q130" s="9" t="str">
        <f t="shared" si="3"/>
        <v>Valid</v>
      </c>
      <c r="R130">
        <v>9008714970</v>
      </c>
      <c r="S130" s="7" t="str">
        <f t="shared" ref="S130:S193" si="4">IF(AND(ISNUMBER(R130),LEN(R130)=10),"Valid","Invalid")</f>
        <v>Valid</v>
      </c>
      <c r="T130" t="str">
        <f>IF(Table1[[#This Row],[Age]]&lt;25,"18-24",IF(Table1[[#This Row],[Age]]&lt;30,"25-29",IF(Table1[[#This Row],[Age]]&lt;35,"30-34",IF(Table1[[#This Row],[Age]]&lt;40,"35-39",IF(Table1[[#This Row],[Age]]&lt;50,"40-49","50+")))))</f>
        <v>18-24</v>
      </c>
    </row>
    <row r="131" spans="1:20" x14ac:dyDescent="0.35">
      <c r="A131">
        <v>1130</v>
      </c>
      <c r="B131" t="s">
        <v>67</v>
      </c>
      <c r="C131" t="s">
        <v>32</v>
      </c>
      <c r="D131" t="s">
        <v>17</v>
      </c>
      <c r="E131">
        <v>49</v>
      </c>
      <c r="F131" t="s">
        <v>69</v>
      </c>
      <c r="G131" t="s">
        <v>19</v>
      </c>
      <c r="H131" t="s">
        <v>28</v>
      </c>
      <c r="I131" s="1">
        <v>37547</v>
      </c>
      <c r="J131" t="s">
        <v>1401</v>
      </c>
      <c r="K131" t="s">
        <v>30</v>
      </c>
      <c r="L131">
        <v>24</v>
      </c>
      <c r="M131">
        <v>1</v>
      </c>
      <c r="N131" t="s">
        <v>23</v>
      </c>
      <c r="O131" t="s">
        <v>22</v>
      </c>
      <c r="P131" t="s">
        <v>211</v>
      </c>
      <c r="Q131" s="9" t="str">
        <f t="shared" ref="Q131:Q194" si="5">IF(AND(ISNUMBER(SEARCH("@",P131)),ISNUMBER(SEARCH(".",P131))),"Valid","Invalid")</f>
        <v>Valid</v>
      </c>
      <c r="R131">
        <v>9252151507</v>
      </c>
      <c r="S131" s="7" t="str">
        <f t="shared" si="4"/>
        <v>Valid</v>
      </c>
      <c r="T131" t="str">
        <f>IF(Table1[[#This Row],[Age]]&lt;25,"18-24",IF(Table1[[#This Row],[Age]]&lt;30,"25-29",IF(Table1[[#This Row],[Age]]&lt;35,"30-34",IF(Table1[[#This Row],[Age]]&lt;40,"35-39",IF(Table1[[#This Row],[Age]]&lt;50,"40-49","50+")))))</f>
        <v>40-49</v>
      </c>
    </row>
    <row r="132" spans="1:20" x14ac:dyDescent="0.35">
      <c r="A132">
        <v>1131</v>
      </c>
      <c r="B132" t="s">
        <v>64</v>
      </c>
      <c r="C132" t="s">
        <v>61</v>
      </c>
      <c r="D132" t="s">
        <v>17</v>
      </c>
      <c r="E132">
        <v>42</v>
      </c>
      <c r="F132" t="s">
        <v>62</v>
      </c>
      <c r="G132" t="s">
        <v>19</v>
      </c>
      <c r="H132" t="s">
        <v>56</v>
      </c>
      <c r="I132" s="1">
        <v>74261</v>
      </c>
      <c r="J132" t="s">
        <v>1402</v>
      </c>
      <c r="K132" t="s">
        <v>46</v>
      </c>
      <c r="L132">
        <v>8</v>
      </c>
      <c r="M132">
        <v>1</v>
      </c>
      <c r="N132" t="s">
        <v>22</v>
      </c>
      <c r="O132" t="s">
        <v>22</v>
      </c>
      <c r="P132" t="s">
        <v>212</v>
      </c>
      <c r="Q132" s="9" t="str">
        <f t="shared" si="5"/>
        <v>Valid</v>
      </c>
      <c r="R132">
        <v>9924418944</v>
      </c>
      <c r="S132" s="7" t="str">
        <f t="shared" si="4"/>
        <v>Valid</v>
      </c>
      <c r="T132" t="str">
        <f>IF(Table1[[#This Row],[Age]]&lt;25,"18-24",IF(Table1[[#This Row],[Age]]&lt;30,"25-29",IF(Table1[[#This Row],[Age]]&lt;35,"30-34",IF(Table1[[#This Row],[Age]]&lt;40,"35-39",IF(Table1[[#This Row],[Age]]&lt;50,"40-49","50+")))))</f>
        <v>40-49</v>
      </c>
    </row>
    <row r="133" spans="1:20" x14ac:dyDescent="0.35">
      <c r="A133">
        <v>1132</v>
      </c>
      <c r="B133" t="s">
        <v>37</v>
      </c>
      <c r="C133" t="s">
        <v>16</v>
      </c>
      <c r="D133" t="s">
        <v>27</v>
      </c>
      <c r="E133">
        <v>27</v>
      </c>
      <c r="F133" t="s">
        <v>38</v>
      </c>
      <c r="G133" t="s">
        <v>39</v>
      </c>
      <c r="H133" t="s">
        <v>56</v>
      </c>
      <c r="I133" s="1">
        <v>75061</v>
      </c>
      <c r="J133" t="s">
        <v>1403</v>
      </c>
      <c r="K133" t="s">
        <v>40</v>
      </c>
      <c r="L133">
        <v>4</v>
      </c>
      <c r="M133">
        <v>3</v>
      </c>
      <c r="N133" t="s">
        <v>22</v>
      </c>
      <c r="O133" t="s">
        <v>23</v>
      </c>
      <c r="P133" t="s">
        <v>213</v>
      </c>
      <c r="Q133" s="9" t="str">
        <f t="shared" si="5"/>
        <v>Valid</v>
      </c>
      <c r="R133">
        <v>9990190931</v>
      </c>
      <c r="S133" s="7" t="str">
        <f t="shared" si="4"/>
        <v>Valid</v>
      </c>
      <c r="T133" t="str">
        <f>IF(Table1[[#This Row],[Age]]&lt;25,"18-24",IF(Table1[[#This Row],[Age]]&lt;30,"25-29",IF(Table1[[#This Row],[Age]]&lt;35,"30-34",IF(Table1[[#This Row],[Age]]&lt;40,"35-39",IF(Table1[[#This Row],[Age]]&lt;50,"40-49","50+")))))</f>
        <v>25-29</v>
      </c>
    </row>
    <row r="134" spans="1:20" x14ac:dyDescent="0.35">
      <c r="A134">
        <v>1133</v>
      </c>
      <c r="B134" t="s">
        <v>42</v>
      </c>
      <c r="C134" t="s">
        <v>61</v>
      </c>
      <c r="D134" t="s">
        <v>27</v>
      </c>
      <c r="E134">
        <v>51</v>
      </c>
      <c r="F134" t="s">
        <v>33</v>
      </c>
      <c r="G134" t="s">
        <v>55</v>
      </c>
      <c r="H134" t="s">
        <v>44</v>
      </c>
      <c r="I134" s="1">
        <v>69562</v>
      </c>
      <c r="J134" t="s">
        <v>214</v>
      </c>
      <c r="K134" t="s">
        <v>40</v>
      </c>
      <c r="L134">
        <v>7</v>
      </c>
      <c r="M134">
        <v>3</v>
      </c>
      <c r="N134" t="s">
        <v>23</v>
      </c>
      <c r="O134" t="s">
        <v>22</v>
      </c>
      <c r="P134" t="s">
        <v>215</v>
      </c>
      <c r="Q134" s="9" t="str">
        <f t="shared" si="5"/>
        <v>Valid</v>
      </c>
      <c r="R134">
        <v>9197663641</v>
      </c>
      <c r="S134" s="7" t="str">
        <f t="shared" si="4"/>
        <v>Valid</v>
      </c>
      <c r="T134" t="str">
        <f>IF(Table1[[#This Row],[Age]]&lt;25,"18-24",IF(Table1[[#This Row],[Age]]&lt;30,"25-29",IF(Table1[[#This Row],[Age]]&lt;35,"30-34",IF(Table1[[#This Row],[Age]]&lt;40,"35-39",IF(Table1[[#This Row],[Age]]&lt;50,"40-49","50+")))))</f>
        <v>50+</v>
      </c>
    </row>
    <row r="135" spans="1:20" x14ac:dyDescent="0.35">
      <c r="A135">
        <v>1134</v>
      </c>
      <c r="B135" t="s">
        <v>42</v>
      </c>
      <c r="C135" t="s">
        <v>43</v>
      </c>
      <c r="D135" t="s">
        <v>17</v>
      </c>
      <c r="E135">
        <v>51</v>
      </c>
      <c r="F135" t="s">
        <v>69</v>
      </c>
      <c r="G135" t="s">
        <v>34</v>
      </c>
      <c r="H135" t="s">
        <v>20</v>
      </c>
      <c r="I135" s="1">
        <v>31085</v>
      </c>
      <c r="J135" t="s">
        <v>216</v>
      </c>
      <c r="K135" t="s">
        <v>49</v>
      </c>
      <c r="L135">
        <v>7</v>
      </c>
      <c r="M135">
        <v>2</v>
      </c>
      <c r="N135" t="s">
        <v>22</v>
      </c>
      <c r="O135" t="s">
        <v>22</v>
      </c>
      <c r="P135" t="s">
        <v>217</v>
      </c>
      <c r="Q135" s="9" t="str">
        <f t="shared" si="5"/>
        <v>Valid</v>
      </c>
      <c r="R135">
        <v>9229217619</v>
      </c>
      <c r="S135" s="7" t="str">
        <f t="shared" si="4"/>
        <v>Valid</v>
      </c>
      <c r="T135" t="str">
        <f>IF(Table1[[#This Row],[Age]]&lt;25,"18-24",IF(Table1[[#This Row],[Age]]&lt;30,"25-29",IF(Table1[[#This Row],[Age]]&lt;35,"30-34",IF(Table1[[#This Row],[Age]]&lt;40,"35-39",IF(Table1[[#This Row],[Age]]&lt;50,"40-49","50+")))))</f>
        <v>50+</v>
      </c>
    </row>
    <row r="136" spans="1:20" x14ac:dyDescent="0.35">
      <c r="A136">
        <v>1135</v>
      </c>
      <c r="B136" t="s">
        <v>58</v>
      </c>
      <c r="C136" t="s">
        <v>16</v>
      </c>
      <c r="D136" t="s">
        <v>17</v>
      </c>
      <c r="E136">
        <v>25</v>
      </c>
      <c r="F136" t="s">
        <v>69</v>
      </c>
      <c r="G136" t="s">
        <v>55</v>
      </c>
      <c r="H136" t="s">
        <v>56</v>
      </c>
      <c r="I136" s="1">
        <v>57877</v>
      </c>
      <c r="J136" t="s">
        <v>218</v>
      </c>
      <c r="K136" t="s">
        <v>40</v>
      </c>
      <c r="L136">
        <v>0</v>
      </c>
      <c r="M136">
        <v>4</v>
      </c>
      <c r="N136" t="s">
        <v>23</v>
      </c>
      <c r="O136" t="s">
        <v>22</v>
      </c>
      <c r="P136" t="s">
        <v>219</v>
      </c>
      <c r="Q136" s="9" t="str">
        <f t="shared" si="5"/>
        <v>Valid</v>
      </c>
      <c r="R136">
        <v>9289685231</v>
      </c>
      <c r="S136" s="7" t="str">
        <f t="shared" si="4"/>
        <v>Valid</v>
      </c>
      <c r="T136" t="str">
        <f>IF(Table1[[#This Row],[Age]]&lt;25,"18-24",IF(Table1[[#This Row],[Age]]&lt;30,"25-29",IF(Table1[[#This Row],[Age]]&lt;35,"30-34",IF(Table1[[#This Row],[Age]]&lt;40,"35-39",IF(Table1[[#This Row],[Age]]&lt;50,"40-49","50+")))))</f>
        <v>25-29</v>
      </c>
    </row>
    <row r="137" spans="1:20" x14ac:dyDescent="0.35">
      <c r="A137">
        <v>1136</v>
      </c>
      <c r="B137" t="s">
        <v>25</v>
      </c>
      <c r="C137" t="s">
        <v>61</v>
      </c>
      <c r="D137" t="s">
        <v>27</v>
      </c>
      <c r="E137">
        <v>25</v>
      </c>
      <c r="F137" t="s">
        <v>38</v>
      </c>
      <c r="G137" t="s">
        <v>19</v>
      </c>
      <c r="H137" t="s">
        <v>56</v>
      </c>
      <c r="I137" s="1">
        <v>31658</v>
      </c>
      <c r="J137" t="s">
        <v>490</v>
      </c>
      <c r="K137" t="s">
        <v>40</v>
      </c>
      <c r="L137">
        <v>1</v>
      </c>
      <c r="M137">
        <v>4</v>
      </c>
      <c r="N137" t="s">
        <v>23</v>
      </c>
      <c r="O137" t="s">
        <v>22</v>
      </c>
      <c r="P137" t="s">
        <v>220</v>
      </c>
      <c r="Q137" s="9" t="str">
        <f t="shared" si="5"/>
        <v>Valid</v>
      </c>
      <c r="R137">
        <v>9292568097</v>
      </c>
      <c r="S137" s="7" t="str">
        <f t="shared" si="4"/>
        <v>Valid</v>
      </c>
      <c r="T137" t="str">
        <f>IF(Table1[[#This Row],[Age]]&lt;25,"18-24",IF(Table1[[#This Row],[Age]]&lt;30,"25-29",IF(Table1[[#This Row],[Age]]&lt;35,"30-34",IF(Table1[[#This Row],[Age]]&lt;40,"35-39",IF(Table1[[#This Row],[Age]]&lt;50,"40-49","50+")))))</f>
        <v>25-29</v>
      </c>
    </row>
    <row r="138" spans="1:20" x14ac:dyDescent="0.35">
      <c r="A138">
        <v>1137</v>
      </c>
      <c r="B138" t="s">
        <v>37</v>
      </c>
      <c r="C138" t="s">
        <v>61</v>
      </c>
      <c r="D138" t="s">
        <v>27</v>
      </c>
      <c r="E138">
        <v>29</v>
      </c>
      <c r="F138" t="s">
        <v>38</v>
      </c>
      <c r="G138" t="s">
        <v>34</v>
      </c>
      <c r="H138" t="s">
        <v>20</v>
      </c>
      <c r="I138" s="1">
        <v>57569</v>
      </c>
      <c r="J138" t="s">
        <v>1404</v>
      </c>
      <c r="K138" t="s">
        <v>49</v>
      </c>
      <c r="L138">
        <v>24</v>
      </c>
      <c r="M138">
        <v>2</v>
      </c>
      <c r="N138" t="s">
        <v>22</v>
      </c>
      <c r="O138" t="s">
        <v>23</v>
      </c>
      <c r="P138" t="s">
        <v>221</v>
      </c>
      <c r="Q138" s="9" t="str">
        <f t="shared" si="5"/>
        <v>Valid</v>
      </c>
      <c r="R138">
        <v>9874587057</v>
      </c>
      <c r="S138" s="7" t="str">
        <f t="shared" si="4"/>
        <v>Valid</v>
      </c>
      <c r="T138" t="str">
        <f>IF(Table1[[#This Row],[Age]]&lt;25,"18-24",IF(Table1[[#This Row],[Age]]&lt;30,"25-29",IF(Table1[[#This Row],[Age]]&lt;35,"30-34",IF(Table1[[#This Row],[Age]]&lt;40,"35-39",IF(Table1[[#This Row],[Age]]&lt;50,"40-49","50+")))))</f>
        <v>25-29</v>
      </c>
    </row>
    <row r="139" spans="1:20" x14ac:dyDescent="0.35">
      <c r="A139">
        <v>1138</v>
      </c>
      <c r="B139" t="s">
        <v>67</v>
      </c>
      <c r="C139" t="s">
        <v>61</v>
      </c>
      <c r="D139" t="s">
        <v>17</v>
      </c>
      <c r="E139">
        <v>57</v>
      </c>
      <c r="F139" t="s">
        <v>18</v>
      </c>
      <c r="G139" t="s">
        <v>55</v>
      </c>
      <c r="H139" t="s">
        <v>28</v>
      </c>
      <c r="I139" s="1">
        <v>60968</v>
      </c>
      <c r="J139" t="s">
        <v>1341</v>
      </c>
      <c r="K139" t="s">
        <v>46</v>
      </c>
      <c r="L139">
        <v>17</v>
      </c>
      <c r="M139">
        <v>3</v>
      </c>
      <c r="N139" t="s">
        <v>23</v>
      </c>
      <c r="O139" t="s">
        <v>23</v>
      </c>
      <c r="P139" t="s">
        <v>222</v>
      </c>
      <c r="Q139" s="9" t="str">
        <f t="shared" si="5"/>
        <v>Valid</v>
      </c>
      <c r="R139">
        <v>9233014830</v>
      </c>
      <c r="S139" s="7" t="str">
        <f t="shared" si="4"/>
        <v>Valid</v>
      </c>
      <c r="T139" t="str">
        <f>IF(Table1[[#This Row],[Age]]&lt;25,"18-24",IF(Table1[[#This Row],[Age]]&lt;30,"25-29",IF(Table1[[#This Row],[Age]]&lt;35,"30-34",IF(Table1[[#This Row],[Age]]&lt;40,"35-39",IF(Table1[[#This Row],[Age]]&lt;50,"40-49","50+")))))</f>
        <v>50+</v>
      </c>
    </row>
    <row r="140" spans="1:20" x14ac:dyDescent="0.35">
      <c r="A140">
        <v>1139</v>
      </c>
      <c r="B140" t="s">
        <v>42</v>
      </c>
      <c r="C140" t="s">
        <v>32</v>
      </c>
      <c r="D140" t="s">
        <v>27</v>
      </c>
      <c r="E140">
        <v>56</v>
      </c>
      <c r="F140" t="s">
        <v>18</v>
      </c>
      <c r="G140" t="s">
        <v>34</v>
      </c>
      <c r="H140" t="s">
        <v>20</v>
      </c>
      <c r="I140" s="1">
        <v>95085</v>
      </c>
      <c r="J140" t="s">
        <v>700</v>
      </c>
      <c r="K140" t="s">
        <v>49</v>
      </c>
      <c r="L140">
        <v>4</v>
      </c>
      <c r="M140">
        <v>3</v>
      </c>
      <c r="N140" t="s">
        <v>23</v>
      </c>
      <c r="O140" t="s">
        <v>22</v>
      </c>
      <c r="P140" t="s">
        <v>223</v>
      </c>
      <c r="Q140" s="9" t="str">
        <f t="shared" si="5"/>
        <v>Valid</v>
      </c>
      <c r="R140">
        <v>9387242793</v>
      </c>
      <c r="S140" s="7" t="str">
        <f t="shared" si="4"/>
        <v>Valid</v>
      </c>
      <c r="T140" t="str">
        <f>IF(Table1[[#This Row],[Age]]&lt;25,"18-24",IF(Table1[[#This Row],[Age]]&lt;30,"25-29",IF(Table1[[#This Row],[Age]]&lt;35,"30-34",IF(Table1[[#This Row],[Age]]&lt;40,"35-39",IF(Table1[[#This Row],[Age]]&lt;50,"40-49","50+")))))</f>
        <v>50+</v>
      </c>
    </row>
    <row r="141" spans="1:20" x14ac:dyDescent="0.35">
      <c r="A141">
        <v>1140</v>
      </c>
      <c r="B141" t="s">
        <v>15</v>
      </c>
      <c r="C141" t="s">
        <v>16</v>
      </c>
      <c r="D141" t="s">
        <v>17</v>
      </c>
      <c r="E141">
        <v>27</v>
      </c>
      <c r="F141" t="s">
        <v>62</v>
      </c>
      <c r="G141" t="s">
        <v>77</v>
      </c>
      <c r="H141" t="s">
        <v>35</v>
      </c>
      <c r="I141" s="1">
        <v>101348</v>
      </c>
      <c r="J141" t="s">
        <v>1405</v>
      </c>
      <c r="K141" t="s">
        <v>21</v>
      </c>
      <c r="L141">
        <v>16</v>
      </c>
      <c r="M141">
        <v>2</v>
      </c>
      <c r="N141" t="s">
        <v>23</v>
      </c>
      <c r="O141" t="s">
        <v>23</v>
      </c>
      <c r="P141" t="s">
        <v>224</v>
      </c>
      <c r="Q141" s="9" t="str">
        <f t="shared" si="5"/>
        <v>Valid</v>
      </c>
      <c r="R141">
        <v>94900976</v>
      </c>
      <c r="S141" s="7" t="str">
        <f t="shared" si="4"/>
        <v>Invalid</v>
      </c>
      <c r="T141" t="str">
        <f>IF(Table1[[#This Row],[Age]]&lt;25,"18-24",IF(Table1[[#This Row],[Age]]&lt;30,"25-29",IF(Table1[[#This Row],[Age]]&lt;35,"30-34",IF(Table1[[#This Row],[Age]]&lt;40,"35-39",IF(Table1[[#This Row],[Age]]&lt;50,"40-49","50+")))))</f>
        <v>25-29</v>
      </c>
    </row>
    <row r="142" spans="1:20" x14ac:dyDescent="0.35">
      <c r="A142">
        <v>1141</v>
      </c>
      <c r="B142" t="s">
        <v>37</v>
      </c>
      <c r="C142" t="s">
        <v>16</v>
      </c>
      <c r="D142" t="s">
        <v>17</v>
      </c>
      <c r="E142">
        <v>46</v>
      </c>
      <c r="F142" t="s">
        <v>38</v>
      </c>
      <c r="G142" t="s">
        <v>77</v>
      </c>
      <c r="H142" t="s">
        <v>20</v>
      </c>
      <c r="I142" s="1">
        <v>67797</v>
      </c>
      <c r="J142" t="s">
        <v>644</v>
      </c>
      <c r="K142" t="s">
        <v>21</v>
      </c>
      <c r="L142">
        <v>12</v>
      </c>
      <c r="M142">
        <v>4</v>
      </c>
      <c r="N142" t="s">
        <v>22</v>
      </c>
      <c r="O142" t="s">
        <v>22</v>
      </c>
      <c r="P142" t="s">
        <v>225</v>
      </c>
      <c r="Q142" s="9" t="str">
        <f t="shared" si="5"/>
        <v>Valid</v>
      </c>
      <c r="R142">
        <v>9787139587</v>
      </c>
      <c r="S142" s="7" t="str">
        <f t="shared" si="4"/>
        <v>Valid</v>
      </c>
      <c r="T142" t="str">
        <f>IF(Table1[[#This Row],[Age]]&lt;25,"18-24",IF(Table1[[#This Row],[Age]]&lt;30,"25-29",IF(Table1[[#This Row],[Age]]&lt;35,"30-34",IF(Table1[[#This Row],[Age]]&lt;40,"35-39",IF(Table1[[#This Row],[Age]]&lt;50,"40-49","50+")))))</f>
        <v>40-49</v>
      </c>
    </row>
    <row r="143" spans="1:20" x14ac:dyDescent="0.35">
      <c r="A143">
        <v>1142</v>
      </c>
      <c r="B143" t="s">
        <v>64</v>
      </c>
      <c r="C143" t="s">
        <v>16</v>
      </c>
      <c r="D143" t="s">
        <v>17</v>
      </c>
      <c r="E143">
        <v>22</v>
      </c>
      <c r="F143" t="s">
        <v>18</v>
      </c>
      <c r="G143" t="s">
        <v>77</v>
      </c>
      <c r="H143" t="s">
        <v>28</v>
      </c>
      <c r="I143" s="1">
        <v>38534</v>
      </c>
      <c r="J143" t="s">
        <v>1406</v>
      </c>
      <c r="K143" t="s">
        <v>40</v>
      </c>
      <c r="L143">
        <v>2</v>
      </c>
      <c r="M143">
        <v>4</v>
      </c>
      <c r="N143" t="s">
        <v>23</v>
      </c>
      <c r="O143" t="s">
        <v>22</v>
      </c>
      <c r="P143" t="s">
        <v>226</v>
      </c>
      <c r="Q143" s="9" t="str">
        <f t="shared" si="5"/>
        <v>Valid</v>
      </c>
      <c r="R143">
        <v>9319111537</v>
      </c>
      <c r="S143" s="7" t="str">
        <f t="shared" si="4"/>
        <v>Valid</v>
      </c>
      <c r="T143" t="str">
        <f>IF(Table1[[#This Row],[Age]]&lt;25,"18-24",IF(Table1[[#This Row],[Age]]&lt;30,"25-29",IF(Table1[[#This Row],[Age]]&lt;35,"30-34",IF(Table1[[#This Row],[Age]]&lt;40,"35-39",IF(Table1[[#This Row],[Age]]&lt;50,"40-49","50+")))))</f>
        <v>18-24</v>
      </c>
    </row>
    <row r="144" spans="1:20" x14ac:dyDescent="0.35">
      <c r="A144">
        <v>1143</v>
      </c>
      <c r="B144" t="s">
        <v>82</v>
      </c>
      <c r="C144" t="s">
        <v>43</v>
      </c>
      <c r="D144" t="s">
        <v>17</v>
      </c>
      <c r="E144">
        <v>24</v>
      </c>
      <c r="F144" t="s">
        <v>38</v>
      </c>
      <c r="G144" t="s">
        <v>19</v>
      </c>
      <c r="H144" t="s">
        <v>20</v>
      </c>
      <c r="I144" s="1">
        <v>84061</v>
      </c>
      <c r="J144" t="s">
        <v>227</v>
      </c>
      <c r="K144" t="s">
        <v>21</v>
      </c>
      <c r="L144">
        <v>5</v>
      </c>
      <c r="M144">
        <v>2</v>
      </c>
      <c r="N144" t="s">
        <v>22</v>
      </c>
      <c r="O144" t="s">
        <v>22</v>
      </c>
      <c r="P144" t="s">
        <v>228</v>
      </c>
      <c r="Q144" s="9" t="str">
        <f t="shared" si="5"/>
        <v>Valid</v>
      </c>
      <c r="R144">
        <v>9720495331</v>
      </c>
      <c r="S144" s="7" t="str">
        <f t="shared" si="4"/>
        <v>Valid</v>
      </c>
      <c r="T144" t="str">
        <f>IF(Table1[[#This Row],[Age]]&lt;25,"18-24",IF(Table1[[#This Row],[Age]]&lt;30,"25-29",IF(Table1[[#This Row],[Age]]&lt;35,"30-34",IF(Table1[[#This Row],[Age]]&lt;40,"35-39",IF(Table1[[#This Row],[Age]]&lt;50,"40-49","50+")))))</f>
        <v>18-24</v>
      </c>
    </row>
    <row r="145" spans="1:20" x14ac:dyDescent="0.35">
      <c r="A145">
        <v>1144</v>
      </c>
      <c r="B145" t="s">
        <v>25</v>
      </c>
      <c r="C145" t="s">
        <v>26</v>
      </c>
      <c r="D145" t="s">
        <v>17</v>
      </c>
      <c r="E145">
        <v>48</v>
      </c>
      <c r="F145" t="s">
        <v>62</v>
      </c>
      <c r="G145" t="s">
        <v>77</v>
      </c>
      <c r="H145" t="s">
        <v>35</v>
      </c>
      <c r="I145" s="1">
        <v>109101</v>
      </c>
      <c r="J145" t="s">
        <v>229</v>
      </c>
      <c r="K145" t="s">
        <v>40</v>
      </c>
      <c r="L145">
        <v>4</v>
      </c>
      <c r="M145">
        <v>4</v>
      </c>
      <c r="N145" t="s">
        <v>23</v>
      </c>
      <c r="O145" t="s">
        <v>23</v>
      </c>
      <c r="P145" t="s">
        <v>230</v>
      </c>
      <c r="Q145" s="9" t="str">
        <f t="shared" si="5"/>
        <v>Valid</v>
      </c>
      <c r="R145">
        <v>9148950873</v>
      </c>
      <c r="S145" s="7" t="str">
        <f t="shared" si="4"/>
        <v>Valid</v>
      </c>
      <c r="T145" t="str">
        <f>IF(Table1[[#This Row],[Age]]&lt;25,"18-24",IF(Table1[[#This Row],[Age]]&lt;30,"25-29",IF(Table1[[#This Row],[Age]]&lt;35,"30-34",IF(Table1[[#This Row],[Age]]&lt;40,"35-39",IF(Table1[[#This Row],[Age]]&lt;50,"40-49","50+")))))</f>
        <v>40-49</v>
      </c>
    </row>
    <row r="146" spans="1:20" x14ac:dyDescent="0.35">
      <c r="A146">
        <v>1145</v>
      </c>
      <c r="B146" t="s">
        <v>37</v>
      </c>
      <c r="C146" t="s">
        <v>43</v>
      </c>
      <c r="D146" t="s">
        <v>17</v>
      </c>
      <c r="E146">
        <v>46</v>
      </c>
      <c r="F146" t="s">
        <v>62</v>
      </c>
      <c r="G146" t="s">
        <v>19</v>
      </c>
      <c r="H146" t="s">
        <v>20</v>
      </c>
      <c r="I146" s="1">
        <v>52121</v>
      </c>
      <c r="J146" t="s">
        <v>1407</v>
      </c>
      <c r="K146" t="s">
        <v>40</v>
      </c>
      <c r="L146">
        <v>18</v>
      </c>
      <c r="M146">
        <v>5</v>
      </c>
      <c r="N146" t="s">
        <v>22</v>
      </c>
      <c r="O146" t="s">
        <v>22</v>
      </c>
      <c r="P146" t="s">
        <v>231</v>
      </c>
      <c r="Q146" s="9" t="str">
        <f t="shared" si="5"/>
        <v>Valid</v>
      </c>
      <c r="R146">
        <v>9605114784</v>
      </c>
      <c r="S146" s="7" t="str">
        <f t="shared" si="4"/>
        <v>Valid</v>
      </c>
      <c r="T146" t="str">
        <f>IF(Table1[[#This Row],[Age]]&lt;25,"18-24",IF(Table1[[#This Row],[Age]]&lt;30,"25-29",IF(Table1[[#This Row],[Age]]&lt;35,"30-34",IF(Table1[[#This Row],[Age]]&lt;40,"35-39",IF(Table1[[#This Row],[Age]]&lt;50,"40-49","50+")))))</f>
        <v>40-49</v>
      </c>
    </row>
    <row r="147" spans="1:20" x14ac:dyDescent="0.35">
      <c r="A147">
        <v>1146</v>
      </c>
      <c r="B147" t="s">
        <v>67</v>
      </c>
      <c r="C147" t="s">
        <v>26</v>
      </c>
      <c r="D147" t="s">
        <v>27</v>
      </c>
      <c r="E147">
        <v>30</v>
      </c>
      <c r="F147" t="s">
        <v>33</v>
      </c>
      <c r="G147" t="s">
        <v>34</v>
      </c>
      <c r="H147" t="s">
        <v>56</v>
      </c>
      <c r="I147" s="1">
        <v>94705</v>
      </c>
      <c r="J147" t="s">
        <v>232</v>
      </c>
      <c r="K147" t="s">
        <v>40</v>
      </c>
      <c r="L147">
        <v>3</v>
      </c>
      <c r="M147">
        <v>3</v>
      </c>
      <c r="N147" t="s">
        <v>22</v>
      </c>
      <c r="O147" t="s">
        <v>23</v>
      </c>
      <c r="P147" t="s">
        <v>233</v>
      </c>
      <c r="Q147" s="9" t="str">
        <f t="shared" si="5"/>
        <v>Valid</v>
      </c>
      <c r="R147">
        <v>9681447659</v>
      </c>
      <c r="S147" s="7" t="str">
        <f t="shared" si="4"/>
        <v>Valid</v>
      </c>
      <c r="T147" t="str">
        <f>IF(Table1[[#This Row],[Age]]&lt;25,"18-24",IF(Table1[[#This Row],[Age]]&lt;30,"25-29",IF(Table1[[#This Row],[Age]]&lt;35,"30-34",IF(Table1[[#This Row],[Age]]&lt;40,"35-39",IF(Table1[[#This Row],[Age]]&lt;50,"40-49","50+")))))</f>
        <v>30-34</v>
      </c>
    </row>
    <row r="148" spans="1:20" x14ac:dyDescent="0.35">
      <c r="A148">
        <v>1147</v>
      </c>
      <c r="B148" t="s">
        <v>82</v>
      </c>
      <c r="C148" t="s">
        <v>26</v>
      </c>
      <c r="D148" t="s">
        <v>27</v>
      </c>
      <c r="E148">
        <v>40</v>
      </c>
      <c r="F148" t="s">
        <v>38</v>
      </c>
      <c r="G148" t="s">
        <v>77</v>
      </c>
      <c r="H148" t="s">
        <v>20</v>
      </c>
      <c r="I148" s="1">
        <v>101400</v>
      </c>
      <c r="J148" t="s">
        <v>1408</v>
      </c>
      <c r="K148" t="s">
        <v>49</v>
      </c>
      <c r="L148">
        <v>16</v>
      </c>
      <c r="M148">
        <v>4</v>
      </c>
      <c r="N148" t="s">
        <v>22</v>
      </c>
      <c r="O148" t="s">
        <v>22</v>
      </c>
      <c r="P148" t="s">
        <v>234</v>
      </c>
      <c r="Q148" s="9" t="str">
        <f t="shared" si="5"/>
        <v>Valid</v>
      </c>
      <c r="R148">
        <v>9475963176</v>
      </c>
      <c r="S148" s="7" t="str">
        <f t="shared" si="4"/>
        <v>Valid</v>
      </c>
      <c r="T148" t="str">
        <f>IF(Table1[[#This Row],[Age]]&lt;25,"18-24",IF(Table1[[#This Row],[Age]]&lt;30,"25-29",IF(Table1[[#This Row],[Age]]&lt;35,"30-34",IF(Table1[[#This Row],[Age]]&lt;40,"35-39",IF(Table1[[#This Row],[Age]]&lt;50,"40-49","50+")))))</f>
        <v>40-49</v>
      </c>
    </row>
    <row r="149" spans="1:20" x14ac:dyDescent="0.35">
      <c r="A149">
        <v>1148</v>
      </c>
      <c r="B149" t="s">
        <v>54</v>
      </c>
      <c r="C149" t="s">
        <v>16</v>
      </c>
      <c r="D149" t="s">
        <v>17</v>
      </c>
      <c r="E149">
        <v>22</v>
      </c>
      <c r="F149" t="s">
        <v>38</v>
      </c>
      <c r="G149" t="s">
        <v>34</v>
      </c>
      <c r="H149" t="s">
        <v>20</v>
      </c>
      <c r="I149" s="1">
        <v>75265</v>
      </c>
      <c r="J149" t="s">
        <v>1042</v>
      </c>
      <c r="K149" t="s">
        <v>40</v>
      </c>
      <c r="L149">
        <v>10</v>
      </c>
      <c r="M149">
        <v>2</v>
      </c>
      <c r="N149" t="s">
        <v>22</v>
      </c>
      <c r="O149" t="s">
        <v>23</v>
      </c>
      <c r="P149" t="s">
        <v>235</v>
      </c>
      <c r="Q149" s="9" t="str">
        <f t="shared" si="5"/>
        <v>Valid</v>
      </c>
      <c r="R149">
        <v>9107281799</v>
      </c>
      <c r="S149" s="7" t="str">
        <f t="shared" si="4"/>
        <v>Valid</v>
      </c>
      <c r="T149" t="str">
        <f>IF(Table1[[#This Row],[Age]]&lt;25,"18-24",IF(Table1[[#This Row],[Age]]&lt;30,"25-29",IF(Table1[[#This Row],[Age]]&lt;35,"30-34",IF(Table1[[#This Row],[Age]]&lt;40,"35-39",IF(Table1[[#This Row],[Age]]&lt;50,"40-49","50+")))))</f>
        <v>18-24</v>
      </c>
    </row>
    <row r="150" spans="1:20" x14ac:dyDescent="0.35">
      <c r="A150">
        <v>1149</v>
      </c>
      <c r="B150" t="s">
        <v>58</v>
      </c>
      <c r="C150" t="s">
        <v>61</v>
      </c>
      <c r="D150" t="s">
        <v>17</v>
      </c>
      <c r="E150">
        <v>29</v>
      </c>
      <c r="F150" t="s">
        <v>38</v>
      </c>
      <c r="G150" t="s">
        <v>34</v>
      </c>
      <c r="H150" t="s">
        <v>20</v>
      </c>
      <c r="I150" s="1">
        <v>82710</v>
      </c>
      <c r="J150" t="s">
        <v>236</v>
      </c>
      <c r="K150" t="s">
        <v>46</v>
      </c>
      <c r="L150">
        <v>2</v>
      </c>
      <c r="M150">
        <v>5</v>
      </c>
      <c r="N150" t="s">
        <v>23</v>
      </c>
      <c r="O150" t="s">
        <v>23</v>
      </c>
      <c r="P150" t="s">
        <v>237</v>
      </c>
      <c r="Q150" s="9" t="str">
        <f t="shared" si="5"/>
        <v>Valid</v>
      </c>
      <c r="R150">
        <v>9717966056</v>
      </c>
      <c r="S150" s="7" t="str">
        <f t="shared" si="4"/>
        <v>Valid</v>
      </c>
      <c r="T150" t="str">
        <f>IF(Table1[[#This Row],[Age]]&lt;25,"18-24",IF(Table1[[#This Row],[Age]]&lt;30,"25-29",IF(Table1[[#This Row],[Age]]&lt;35,"30-34",IF(Table1[[#This Row],[Age]]&lt;40,"35-39",IF(Table1[[#This Row],[Age]]&lt;50,"40-49","50+")))))</f>
        <v>25-29</v>
      </c>
    </row>
    <row r="151" spans="1:20" x14ac:dyDescent="0.35">
      <c r="A151">
        <v>1150</v>
      </c>
      <c r="B151" t="s">
        <v>60</v>
      </c>
      <c r="C151" t="s">
        <v>32</v>
      </c>
      <c r="D151" t="s">
        <v>17</v>
      </c>
      <c r="E151">
        <v>33</v>
      </c>
      <c r="F151" t="s">
        <v>33</v>
      </c>
      <c r="G151" t="s">
        <v>77</v>
      </c>
      <c r="H151" t="s">
        <v>56</v>
      </c>
      <c r="I151" s="1">
        <v>60045</v>
      </c>
      <c r="J151" t="s">
        <v>1409</v>
      </c>
      <c r="K151" t="s">
        <v>30</v>
      </c>
      <c r="L151">
        <v>9</v>
      </c>
      <c r="M151">
        <v>5</v>
      </c>
      <c r="N151" t="s">
        <v>23</v>
      </c>
      <c r="O151" t="s">
        <v>23</v>
      </c>
      <c r="P151" t="s">
        <v>238</v>
      </c>
      <c r="Q151" s="9" t="str">
        <f t="shared" si="5"/>
        <v>Valid</v>
      </c>
      <c r="R151">
        <v>9103023913</v>
      </c>
      <c r="S151" s="7" t="str">
        <f t="shared" si="4"/>
        <v>Valid</v>
      </c>
      <c r="T151" t="str">
        <f>IF(Table1[[#This Row],[Age]]&lt;25,"18-24",IF(Table1[[#This Row],[Age]]&lt;30,"25-29",IF(Table1[[#This Row],[Age]]&lt;35,"30-34",IF(Table1[[#This Row],[Age]]&lt;40,"35-39",IF(Table1[[#This Row],[Age]]&lt;50,"40-49","50+")))))</f>
        <v>30-34</v>
      </c>
    </row>
    <row r="152" spans="1:20" x14ac:dyDescent="0.35">
      <c r="A152">
        <v>1151</v>
      </c>
      <c r="B152" t="s">
        <v>25</v>
      </c>
      <c r="C152" t="s">
        <v>43</v>
      </c>
      <c r="D152" t="s">
        <v>27</v>
      </c>
      <c r="E152">
        <v>55</v>
      </c>
      <c r="F152" t="s">
        <v>33</v>
      </c>
      <c r="G152" t="s">
        <v>55</v>
      </c>
      <c r="H152" t="s">
        <v>20</v>
      </c>
      <c r="I152" s="1">
        <v>76998</v>
      </c>
      <c r="J152" t="s">
        <v>239</v>
      </c>
      <c r="K152" t="s">
        <v>49</v>
      </c>
      <c r="L152">
        <v>19</v>
      </c>
      <c r="M152">
        <v>2</v>
      </c>
      <c r="N152" t="s">
        <v>23</v>
      </c>
      <c r="O152" t="s">
        <v>22</v>
      </c>
      <c r="P152" t="s">
        <v>240</v>
      </c>
      <c r="Q152" s="9" t="str">
        <f t="shared" si="5"/>
        <v>Valid</v>
      </c>
      <c r="R152">
        <v>9204951604</v>
      </c>
      <c r="S152" s="7" t="str">
        <f t="shared" si="4"/>
        <v>Valid</v>
      </c>
      <c r="T152" t="str">
        <f>IF(Table1[[#This Row],[Age]]&lt;25,"18-24",IF(Table1[[#This Row],[Age]]&lt;30,"25-29",IF(Table1[[#This Row],[Age]]&lt;35,"30-34",IF(Table1[[#This Row],[Age]]&lt;40,"35-39",IF(Table1[[#This Row],[Age]]&lt;50,"40-49","50+")))))</f>
        <v>50+</v>
      </c>
    </row>
    <row r="153" spans="1:20" x14ac:dyDescent="0.35">
      <c r="A153">
        <v>1152</v>
      </c>
      <c r="B153" t="s">
        <v>37</v>
      </c>
      <c r="C153" t="s">
        <v>32</v>
      </c>
      <c r="D153" t="s">
        <v>27</v>
      </c>
      <c r="E153">
        <v>53</v>
      </c>
      <c r="F153" t="s">
        <v>62</v>
      </c>
      <c r="G153" t="s">
        <v>77</v>
      </c>
      <c r="H153" t="s">
        <v>28</v>
      </c>
      <c r="I153" s="1">
        <v>37065</v>
      </c>
      <c r="J153" t="s">
        <v>1410</v>
      </c>
      <c r="K153" t="s">
        <v>40</v>
      </c>
      <c r="L153">
        <v>14</v>
      </c>
      <c r="M153">
        <v>4</v>
      </c>
      <c r="N153" t="s">
        <v>22</v>
      </c>
      <c r="O153" t="s">
        <v>23</v>
      </c>
      <c r="P153" t="s">
        <v>241</v>
      </c>
      <c r="Q153" s="9" t="str">
        <f t="shared" si="5"/>
        <v>Valid</v>
      </c>
      <c r="R153">
        <v>9165422605</v>
      </c>
      <c r="S153" s="7" t="str">
        <f t="shared" si="4"/>
        <v>Valid</v>
      </c>
      <c r="T153" t="str">
        <f>IF(Table1[[#This Row],[Age]]&lt;25,"18-24",IF(Table1[[#This Row],[Age]]&lt;30,"25-29",IF(Table1[[#This Row],[Age]]&lt;35,"30-34",IF(Table1[[#This Row],[Age]]&lt;40,"35-39",IF(Table1[[#This Row],[Age]]&lt;50,"40-49","50+")))))</f>
        <v>50+</v>
      </c>
    </row>
    <row r="154" spans="1:20" x14ac:dyDescent="0.35">
      <c r="A154">
        <v>1153</v>
      </c>
      <c r="B154" t="s">
        <v>58</v>
      </c>
      <c r="C154" t="s">
        <v>16</v>
      </c>
      <c r="D154" t="s">
        <v>27</v>
      </c>
      <c r="E154">
        <v>39</v>
      </c>
      <c r="F154" t="s">
        <v>62</v>
      </c>
      <c r="G154" t="s">
        <v>19</v>
      </c>
      <c r="H154" t="s">
        <v>35</v>
      </c>
      <c r="I154" s="1">
        <v>44302</v>
      </c>
      <c r="J154" t="s">
        <v>242</v>
      </c>
      <c r="K154" t="s">
        <v>49</v>
      </c>
      <c r="L154">
        <v>16</v>
      </c>
      <c r="M154">
        <v>4</v>
      </c>
      <c r="N154" t="s">
        <v>23</v>
      </c>
      <c r="O154" t="s">
        <v>23</v>
      </c>
      <c r="P154" s="3" t="s">
        <v>1318</v>
      </c>
      <c r="Q154" s="9" t="str">
        <f t="shared" si="5"/>
        <v>Invalid</v>
      </c>
      <c r="R154">
        <v>9505336585</v>
      </c>
      <c r="S154" s="7" t="str">
        <f t="shared" si="4"/>
        <v>Valid</v>
      </c>
      <c r="T154" t="str">
        <f>IF(Table1[[#This Row],[Age]]&lt;25,"18-24",IF(Table1[[#This Row],[Age]]&lt;30,"25-29",IF(Table1[[#This Row],[Age]]&lt;35,"30-34",IF(Table1[[#This Row],[Age]]&lt;40,"35-39",IF(Table1[[#This Row],[Age]]&lt;50,"40-49","50+")))))</f>
        <v>35-39</v>
      </c>
    </row>
    <row r="155" spans="1:20" x14ac:dyDescent="0.35">
      <c r="A155">
        <v>1154</v>
      </c>
      <c r="B155" t="s">
        <v>67</v>
      </c>
      <c r="C155" t="s">
        <v>16</v>
      </c>
      <c r="D155" t="s">
        <v>17</v>
      </c>
      <c r="E155">
        <v>66</v>
      </c>
      <c r="F155" t="s">
        <v>33</v>
      </c>
      <c r="G155" t="s">
        <v>39</v>
      </c>
      <c r="H155" t="s">
        <v>44</v>
      </c>
      <c r="I155" s="1">
        <v>100180</v>
      </c>
      <c r="J155" t="s">
        <v>243</v>
      </c>
      <c r="K155" t="s">
        <v>40</v>
      </c>
      <c r="L155">
        <v>18</v>
      </c>
      <c r="M155">
        <v>5</v>
      </c>
      <c r="N155" t="s">
        <v>22</v>
      </c>
      <c r="O155" t="s">
        <v>23</v>
      </c>
      <c r="P155" t="s">
        <v>244</v>
      </c>
      <c r="Q155" s="9" t="str">
        <f t="shared" si="5"/>
        <v>Valid</v>
      </c>
      <c r="R155">
        <v>9328111735</v>
      </c>
      <c r="S155" s="7" t="str">
        <f t="shared" si="4"/>
        <v>Valid</v>
      </c>
      <c r="T155" t="str">
        <f>IF(Table1[[#This Row],[Age]]&lt;25,"18-24",IF(Table1[[#This Row],[Age]]&lt;30,"25-29",IF(Table1[[#This Row],[Age]]&lt;35,"30-34",IF(Table1[[#This Row],[Age]]&lt;40,"35-39",IF(Table1[[#This Row],[Age]]&lt;50,"40-49","50+")))))</f>
        <v>50+</v>
      </c>
    </row>
    <row r="156" spans="1:20" x14ac:dyDescent="0.35">
      <c r="A156">
        <v>1155</v>
      </c>
      <c r="B156" t="s">
        <v>60</v>
      </c>
      <c r="C156" t="s">
        <v>16</v>
      </c>
      <c r="D156" t="s">
        <v>27</v>
      </c>
      <c r="E156">
        <v>35</v>
      </c>
      <c r="F156" t="s">
        <v>38</v>
      </c>
      <c r="G156" t="s">
        <v>34</v>
      </c>
      <c r="H156" t="s">
        <v>35</v>
      </c>
      <c r="I156" s="1">
        <v>68572</v>
      </c>
      <c r="J156" t="s">
        <v>1411</v>
      </c>
      <c r="K156" t="s">
        <v>30</v>
      </c>
      <c r="L156">
        <v>22</v>
      </c>
      <c r="M156">
        <v>3</v>
      </c>
      <c r="N156" t="s">
        <v>22</v>
      </c>
      <c r="O156" t="s">
        <v>23</v>
      </c>
      <c r="P156" t="s">
        <v>245</v>
      </c>
      <c r="Q156" s="9" t="str">
        <f t="shared" si="5"/>
        <v>Valid</v>
      </c>
      <c r="R156">
        <v>9451094656</v>
      </c>
      <c r="S156" s="7" t="str">
        <f t="shared" si="4"/>
        <v>Valid</v>
      </c>
      <c r="T156" t="str">
        <f>IF(Table1[[#This Row],[Age]]&lt;25,"18-24",IF(Table1[[#This Row],[Age]]&lt;30,"25-29",IF(Table1[[#This Row],[Age]]&lt;35,"30-34",IF(Table1[[#This Row],[Age]]&lt;40,"35-39",IF(Table1[[#This Row],[Age]]&lt;50,"40-49","50+")))))</f>
        <v>35-39</v>
      </c>
    </row>
    <row r="157" spans="1:20" x14ac:dyDescent="0.35">
      <c r="A157">
        <v>1156</v>
      </c>
      <c r="B157" t="s">
        <v>15</v>
      </c>
      <c r="C157" t="s">
        <v>61</v>
      </c>
      <c r="D157" t="s">
        <v>27</v>
      </c>
      <c r="E157">
        <v>40</v>
      </c>
      <c r="F157" t="s">
        <v>18</v>
      </c>
      <c r="G157" t="s">
        <v>19</v>
      </c>
      <c r="H157" t="s">
        <v>44</v>
      </c>
      <c r="I157" s="1">
        <v>88522</v>
      </c>
      <c r="J157" t="s">
        <v>1412</v>
      </c>
      <c r="K157" t="s">
        <v>30</v>
      </c>
      <c r="L157">
        <v>22</v>
      </c>
      <c r="M157">
        <v>5</v>
      </c>
      <c r="N157" t="s">
        <v>22</v>
      </c>
      <c r="O157" t="s">
        <v>23</v>
      </c>
      <c r="P157" t="s">
        <v>246</v>
      </c>
      <c r="Q157" s="9" t="str">
        <f t="shared" si="5"/>
        <v>Valid</v>
      </c>
      <c r="R157">
        <v>9289065275</v>
      </c>
      <c r="S157" s="7" t="str">
        <f t="shared" si="4"/>
        <v>Valid</v>
      </c>
      <c r="T157" t="str">
        <f>IF(Table1[[#This Row],[Age]]&lt;25,"18-24",IF(Table1[[#This Row],[Age]]&lt;30,"25-29",IF(Table1[[#This Row],[Age]]&lt;35,"30-34",IF(Table1[[#This Row],[Age]]&lt;40,"35-39",IF(Table1[[#This Row],[Age]]&lt;50,"40-49","50+")))))</f>
        <v>40-49</v>
      </c>
    </row>
    <row r="158" spans="1:20" x14ac:dyDescent="0.35">
      <c r="A158">
        <v>1157</v>
      </c>
      <c r="B158" t="s">
        <v>60</v>
      </c>
      <c r="C158" t="s">
        <v>43</v>
      </c>
      <c r="D158" t="s">
        <v>27</v>
      </c>
      <c r="E158">
        <v>34</v>
      </c>
      <c r="F158" t="s">
        <v>62</v>
      </c>
      <c r="G158" t="s">
        <v>55</v>
      </c>
      <c r="H158" t="s">
        <v>56</v>
      </c>
      <c r="I158" s="1">
        <v>105227</v>
      </c>
      <c r="J158" t="s">
        <v>1413</v>
      </c>
      <c r="K158" t="s">
        <v>49</v>
      </c>
      <c r="L158">
        <v>14</v>
      </c>
      <c r="M158">
        <v>3</v>
      </c>
      <c r="N158" t="s">
        <v>22</v>
      </c>
      <c r="O158" t="s">
        <v>23</v>
      </c>
      <c r="P158" t="s">
        <v>247</v>
      </c>
      <c r="Q158" s="9" t="str">
        <f t="shared" si="5"/>
        <v>Valid</v>
      </c>
      <c r="R158">
        <v>9532663944</v>
      </c>
      <c r="S158" s="7" t="str">
        <f t="shared" si="4"/>
        <v>Valid</v>
      </c>
      <c r="T158" t="str">
        <f>IF(Table1[[#This Row],[Age]]&lt;25,"18-24",IF(Table1[[#This Row],[Age]]&lt;30,"25-29",IF(Table1[[#This Row],[Age]]&lt;35,"30-34",IF(Table1[[#This Row],[Age]]&lt;40,"35-39",IF(Table1[[#This Row],[Age]]&lt;50,"40-49","50+")))))</f>
        <v>30-34</v>
      </c>
    </row>
    <row r="159" spans="1:20" x14ac:dyDescent="0.35">
      <c r="A159">
        <v>1158</v>
      </c>
      <c r="B159" t="s">
        <v>67</v>
      </c>
      <c r="C159" t="s">
        <v>32</v>
      </c>
      <c r="D159" t="s">
        <v>17</v>
      </c>
      <c r="E159">
        <v>40</v>
      </c>
      <c r="F159" t="s">
        <v>38</v>
      </c>
      <c r="G159" t="s">
        <v>77</v>
      </c>
      <c r="H159" t="s">
        <v>44</v>
      </c>
      <c r="I159" s="1">
        <v>50393</v>
      </c>
      <c r="J159" t="s">
        <v>248</v>
      </c>
      <c r="K159" t="s">
        <v>30</v>
      </c>
      <c r="L159">
        <v>19</v>
      </c>
      <c r="M159">
        <v>4</v>
      </c>
      <c r="N159" t="s">
        <v>23</v>
      </c>
      <c r="O159" t="s">
        <v>22</v>
      </c>
      <c r="P159" t="s">
        <v>249</v>
      </c>
      <c r="Q159" s="9" t="str">
        <f t="shared" si="5"/>
        <v>Valid</v>
      </c>
      <c r="R159">
        <v>9427821749</v>
      </c>
      <c r="S159" s="7" t="str">
        <f t="shared" si="4"/>
        <v>Valid</v>
      </c>
      <c r="T159" t="str">
        <f>IF(Table1[[#This Row],[Age]]&lt;25,"18-24",IF(Table1[[#This Row],[Age]]&lt;30,"25-29",IF(Table1[[#This Row],[Age]]&lt;35,"30-34",IF(Table1[[#This Row],[Age]]&lt;40,"35-39",IF(Table1[[#This Row],[Age]]&lt;50,"40-49","50+")))))</f>
        <v>40-49</v>
      </c>
    </row>
    <row r="160" spans="1:20" x14ac:dyDescent="0.35">
      <c r="A160">
        <v>1159</v>
      </c>
      <c r="B160" t="s">
        <v>58</v>
      </c>
      <c r="C160" t="s">
        <v>43</v>
      </c>
      <c r="D160" t="s">
        <v>27</v>
      </c>
      <c r="E160">
        <v>43</v>
      </c>
      <c r="F160" t="s">
        <v>62</v>
      </c>
      <c r="G160" t="s">
        <v>34</v>
      </c>
      <c r="H160" t="s">
        <v>44</v>
      </c>
      <c r="I160" s="1">
        <v>102208</v>
      </c>
      <c r="J160" t="s">
        <v>1414</v>
      </c>
      <c r="K160" t="s">
        <v>30</v>
      </c>
      <c r="L160">
        <v>5</v>
      </c>
      <c r="M160">
        <v>2</v>
      </c>
      <c r="N160" t="s">
        <v>22</v>
      </c>
      <c r="O160" t="s">
        <v>23</v>
      </c>
      <c r="P160" t="s">
        <v>250</v>
      </c>
      <c r="Q160" s="9" t="str">
        <f t="shared" si="5"/>
        <v>Valid</v>
      </c>
      <c r="R160">
        <v>9134756193</v>
      </c>
      <c r="S160" s="7" t="str">
        <f t="shared" si="4"/>
        <v>Valid</v>
      </c>
      <c r="T160" t="str">
        <f>IF(Table1[[#This Row],[Age]]&lt;25,"18-24",IF(Table1[[#This Row],[Age]]&lt;30,"25-29",IF(Table1[[#This Row],[Age]]&lt;35,"30-34",IF(Table1[[#This Row],[Age]]&lt;40,"35-39",IF(Table1[[#This Row],[Age]]&lt;50,"40-49","50+")))))</f>
        <v>40-49</v>
      </c>
    </row>
    <row r="161" spans="1:20" x14ac:dyDescent="0.35">
      <c r="A161">
        <v>1160</v>
      </c>
      <c r="B161" t="s">
        <v>37</v>
      </c>
      <c r="C161" t="s">
        <v>16</v>
      </c>
      <c r="D161" t="s">
        <v>17</v>
      </c>
      <c r="E161">
        <v>48</v>
      </c>
      <c r="F161" t="s">
        <v>33</v>
      </c>
      <c r="G161" t="s">
        <v>19</v>
      </c>
      <c r="H161" t="s">
        <v>28</v>
      </c>
      <c r="I161" s="1">
        <v>47432</v>
      </c>
      <c r="J161" t="s">
        <v>304</v>
      </c>
      <c r="K161" t="s">
        <v>40</v>
      </c>
      <c r="L161">
        <v>5</v>
      </c>
      <c r="M161">
        <v>2</v>
      </c>
      <c r="N161" t="s">
        <v>23</v>
      </c>
      <c r="O161" t="s">
        <v>22</v>
      </c>
      <c r="P161" t="s">
        <v>251</v>
      </c>
      <c r="Q161" s="9" t="str">
        <f t="shared" si="5"/>
        <v>Valid</v>
      </c>
      <c r="R161">
        <v>9095780967</v>
      </c>
      <c r="S161" s="7" t="str">
        <f t="shared" si="4"/>
        <v>Valid</v>
      </c>
      <c r="T161" t="str">
        <f>IF(Table1[[#This Row],[Age]]&lt;25,"18-24",IF(Table1[[#This Row],[Age]]&lt;30,"25-29",IF(Table1[[#This Row],[Age]]&lt;35,"30-34",IF(Table1[[#This Row],[Age]]&lt;40,"35-39",IF(Table1[[#This Row],[Age]]&lt;50,"40-49","50+")))))</f>
        <v>40-49</v>
      </c>
    </row>
    <row r="162" spans="1:20" x14ac:dyDescent="0.35">
      <c r="A162">
        <v>1161</v>
      </c>
      <c r="B162" t="s">
        <v>58</v>
      </c>
      <c r="C162" t="s">
        <v>61</v>
      </c>
      <c r="D162" t="s">
        <v>27</v>
      </c>
      <c r="E162">
        <v>40</v>
      </c>
      <c r="F162" t="s">
        <v>69</v>
      </c>
      <c r="G162" t="s">
        <v>34</v>
      </c>
      <c r="H162" t="s">
        <v>35</v>
      </c>
      <c r="I162" s="1">
        <v>80924</v>
      </c>
      <c r="J162" t="s">
        <v>1415</v>
      </c>
      <c r="K162" t="s">
        <v>30</v>
      </c>
      <c r="L162">
        <v>8</v>
      </c>
      <c r="M162">
        <v>1</v>
      </c>
      <c r="N162" t="s">
        <v>23</v>
      </c>
      <c r="O162" t="s">
        <v>22</v>
      </c>
      <c r="P162" t="s">
        <v>252</v>
      </c>
      <c r="Q162" s="9" t="str">
        <f t="shared" si="5"/>
        <v>Valid</v>
      </c>
      <c r="R162">
        <v>9406651334</v>
      </c>
      <c r="S162" s="7" t="str">
        <f t="shared" si="4"/>
        <v>Valid</v>
      </c>
      <c r="T162" t="str">
        <f>IF(Table1[[#This Row],[Age]]&lt;25,"18-24",IF(Table1[[#This Row],[Age]]&lt;30,"25-29",IF(Table1[[#This Row],[Age]]&lt;35,"30-34",IF(Table1[[#This Row],[Age]]&lt;40,"35-39",IF(Table1[[#This Row],[Age]]&lt;50,"40-49","50+")))))</f>
        <v>40-49</v>
      </c>
    </row>
    <row r="163" spans="1:20" x14ac:dyDescent="0.35">
      <c r="A163">
        <v>1162</v>
      </c>
      <c r="B163" t="s">
        <v>58</v>
      </c>
      <c r="C163" t="s">
        <v>26</v>
      </c>
      <c r="D163" t="s">
        <v>27</v>
      </c>
      <c r="E163">
        <v>44</v>
      </c>
      <c r="F163" t="s">
        <v>18</v>
      </c>
      <c r="G163" t="s">
        <v>55</v>
      </c>
      <c r="H163" t="s">
        <v>28</v>
      </c>
      <c r="I163" s="1">
        <v>25470</v>
      </c>
      <c r="J163" t="s">
        <v>1416</v>
      </c>
      <c r="K163" t="s">
        <v>40</v>
      </c>
      <c r="L163">
        <v>21</v>
      </c>
      <c r="M163">
        <v>1</v>
      </c>
      <c r="N163" t="s">
        <v>22</v>
      </c>
      <c r="O163" t="s">
        <v>23</v>
      </c>
      <c r="P163" t="s">
        <v>253</v>
      </c>
      <c r="Q163" s="9" t="str">
        <f t="shared" si="5"/>
        <v>Valid</v>
      </c>
      <c r="R163">
        <v>9881524904</v>
      </c>
      <c r="S163" s="7" t="str">
        <f t="shared" si="4"/>
        <v>Valid</v>
      </c>
      <c r="T163" t="str">
        <f>IF(Table1[[#This Row],[Age]]&lt;25,"18-24",IF(Table1[[#This Row],[Age]]&lt;30,"25-29",IF(Table1[[#This Row],[Age]]&lt;35,"30-34",IF(Table1[[#This Row],[Age]]&lt;40,"35-39",IF(Table1[[#This Row],[Age]]&lt;50,"40-49","50+")))))</f>
        <v>40-49</v>
      </c>
    </row>
    <row r="164" spans="1:20" x14ac:dyDescent="0.35">
      <c r="A164">
        <v>1163</v>
      </c>
      <c r="B164" t="s">
        <v>15</v>
      </c>
      <c r="C164" t="s">
        <v>43</v>
      </c>
      <c r="D164" t="s">
        <v>27</v>
      </c>
      <c r="E164">
        <v>47</v>
      </c>
      <c r="F164" t="s">
        <v>18</v>
      </c>
      <c r="G164" t="s">
        <v>77</v>
      </c>
      <c r="H164" t="s">
        <v>35</v>
      </c>
      <c r="I164" s="1">
        <v>54023</v>
      </c>
      <c r="J164" t="s">
        <v>1417</v>
      </c>
      <c r="K164" t="s">
        <v>49</v>
      </c>
      <c r="L164">
        <v>13</v>
      </c>
      <c r="M164">
        <v>1</v>
      </c>
      <c r="N164" t="s">
        <v>23</v>
      </c>
      <c r="O164" t="s">
        <v>22</v>
      </c>
      <c r="P164" t="s">
        <v>254</v>
      </c>
      <c r="Q164" s="9" t="str">
        <f t="shared" si="5"/>
        <v>Valid</v>
      </c>
      <c r="R164">
        <v>9186822786</v>
      </c>
      <c r="S164" s="7" t="str">
        <f t="shared" si="4"/>
        <v>Valid</v>
      </c>
      <c r="T164" t="str">
        <f>IF(Table1[[#This Row],[Age]]&lt;25,"18-24",IF(Table1[[#This Row],[Age]]&lt;30,"25-29",IF(Table1[[#This Row],[Age]]&lt;35,"30-34",IF(Table1[[#This Row],[Age]]&lt;40,"35-39",IF(Table1[[#This Row],[Age]]&lt;50,"40-49","50+")))))</f>
        <v>40-49</v>
      </c>
    </row>
    <row r="165" spans="1:20" x14ac:dyDescent="0.35">
      <c r="A165">
        <v>1164</v>
      </c>
      <c r="B165" t="s">
        <v>25</v>
      </c>
      <c r="C165" t="s">
        <v>43</v>
      </c>
      <c r="D165" t="s">
        <v>17</v>
      </c>
      <c r="E165">
        <v>40</v>
      </c>
      <c r="F165" t="s">
        <v>62</v>
      </c>
      <c r="G165" t="s">
        <v>19</v>
      </c>
      <c r="H165" t="s">
        <v>28</v>
      </c>
      <c r="I165" s="1">
        <v>110433</v>
      </c>
      <c r="J165" t="s">
        <v>454</v>
      </c>
      <c r="K165" t="s">
        <v>49</v>
      </c>
      <c r="L165">
        <v>14</v>
      </c>
      <c r="M165">
        <v>1</v>
      </c>
      <c r="N165" t="s">
        <v>22</v>
      </c>
      <c r="O165" t="s">
        <v>23</v>
      </c>
      <c r="P165" s="3" t="s">
        <v>1318</v>
      </c>
      <c r="Q165" s="9" t="str">
        <f t="shared" si="5"/>
        <v>Invalid</v>
      </c>
      <c r="R165">
        <v>9221191821</v>
      </c>
      <c r="S165" s="7" t="str">
        <f t="shared" si="4"/>
        <v>Valid</v>
      </c>
      <c r="T165" t="str">
        <f>IF(Table1[[#This Row],[Age]]&lt;25,"18-24",IF(Table1[[#This Row],[Age]]&lt;30,"25-29",IF(Table1[[#This Row],[Age]]&lt;35,"30-34",IF(Table1[[#This Row],[Age]]&lt;40,"35-39",IF(Table1[[#This Row],[Age]]&lt;50,"40-49","50+")))))</f>
        <v>40-49</v>
      </c>
    </row>
    <row r="166" spans="1:20" x14ac:dyDescent="0.35">
      <c r="A166">
        <v>1165</v>
      </c>
      <c r="B166" t="s">
        <v>67</v>
      </c>
      <c r="C166" t="s">
        <v>32</v>
      </c>
      <c r="D166" t="s">
        <v>17</v>
      </c>
      <c r="E166">
        <v>49</v>
      </c>
      <c r="F166" t="s">
        <v>69</v>
      </c>
      <c r="G166" t="s">
        <v>77</v>
      </c>
      <c r="H166" t="s">
        <v>56</v>
      </c>
      <c r="I166" s="1">
        <v>107713</v>
      </c>
      <c r="J166" t="s">
        <v>1418</v>
      </c>
      <c r="K166" t="s">
        <v>21</v>
      </c>
      <c r="L166">
        <v>11</v>
      </c>
      <c r="M166">
        <v>2</v>
      </c>
      <c r="N166" t="s">
        <v>23</v>
      </c>
      <c r="O166" t="s">
        <v>22</v>
      </c>
      <c r="P166" t="s">
        <v>255</v>
      </c>
      <c r="Q166" s="9" t="str">
        <f t="shared" si="5"/>
        <v>Valid</v>
      </c>
      <c r="R166">
        <v>9135278148</v>
      </c>
      <c r="S166" s="7" t="str">
        <f t="shared" si="4"/>
        <v>Valid</v>
      </c>
      <c r="T166" t="str">
        <f>IF(Table1[[#This Row],[Age]]&lt;25,"18-24",IF(Table1[[#This Row],[Age]]&lt;30,"25-29",IF(Table1[[#This Row],[Age]]&lt;35,"30-34",IF(Table1[[#This Row],[Age]]&lt;40,"35-39",IF(Table1[[#This Row],[Age]]&lt;50,"40-49","50+")))))</f>
        <v>40-49</v>
      </c>
    </row>
    <row r="167" spans="1:20" x14ac:dyDescent="0.35">
      <c r="A167">
        <v>1166</v>
      </c>
      <c r="B167" t="s">
        <v>54</v>
      </c>
      <c r="C167" t="s">
        <v>32</v>
      </c>
      <c r="D167" t="s">
        <v>27</v>
      </c>
      <c r="E167">
        <v>26</v>
      </c>
      <c r="F167" t="s">
        <v>69</v>
      </c>
      <c r="G167" t="s">
        <v>77</v>
      </c>
      <c r="H167" t="s">
        <v>44</v>
      </c>
      <c r="I167" s="1">
        <v>104777</v>
      </c>
      <c r="J167" t="s">
        <v>256</v>
      </c>
      <c r="K167" t="s">
        <v>49</v>
      </c>
      <c r="L167">
        <v>24</v>
      </c>
      <c r="M167">
        <v>2</v>
      </c>
      <c r="N167" t="s">
        <v>22</v>
      </c>
      <c r="O167" t="s">
        <v>23</v>
      </c>
      <c r="P167" t="s">
        <v>257</v>
      </c>
      <c r="Q167" s="9" t="str">
        <f t="shared" si="5"/>
        <v>Valid</v>
      </c>
      <c r="R167">
        <v>9888510011</v>
      </c>
      <c r="S167" s="7" t="str">
        <f t="shared" si="4"/>
        <v>Valid</v>
      </c>
      <c r="T167" t="str">
        <f>IF(Table1[[#This Row],[Age]]&lt;25,"18-24",IF(Table1[[#This Row],[Age]]&lt;30,"25-29",IF(Table1[[#This Row],[Age]]&lt;35,"30-34",IF(Table1[[#This Row],[Age]]&lt;40,"35-39",IF(Table1[[#This Row],[Age]]&lt;50,"40-49","50+")))))</f>
        <v>25-29</v>
      </c>
    </row>
    <row r="168" spans="1:20" x14ac:dyDescent="0.35">
      <c r="A168">
        <v>1167</v>
      </c>
      <c r="B168" t="s">
        <v>42</v>
      </c>
      <c r="C168" t="s">
        <v>43</v>
      </c>
      <c r="D168" t="s">
        <v>27</v>
      </c>
      <c r="E168">
        <v>48</v>
      </c>
      <c r="F168" t="s">
        <v>69</v>
      </c>
      <c r="G168" t="s">
        <v>77</v>
      </c>
      <c r="H168" t="s">
        <v>28</v>
      </c>
      <c r="I168" s="1">
        <v>47848</v>
      </c>
      <c r="J168" t="s">
        <v>258</v>
      </c>
      <c r="K168" t="s">
        <v>40</v>
      </c>
      <c r="L168">
        <v>1</v>
      </c>
      <c r="M168">
        <v>2</v>
      </c>
      <c r="N168" t="s">
        <v>22</v>
      </c>
      <c r="O168" t="s">
        <v>22</v>
      </c>
      <c r="P168" t="s">
        <v>259</v>
      </c>
      <c r="Q168" s="9" t="str">
        <f t="shared" si="5"/>
        <v>Valid</v>
      </c>
      <c r="R168">
        <v>9460312009</v>
      </c>
      <c r="S168" s="7" t="str">
        <f t="shared" si="4"/>
        <v>Valid</v>
      </c>
      <c r="T168" t="str">
        <f>IF(Table1[[#This Row],[Age]]&lt;25,"18-24",IF(Table1[[#This Row],[Age]]&lt;30,"25-29",IF(Table1[[#This Row],[Age]]&lt;35,"30-34",IF(Table1[[#This Row],[Age]]&lt;40,"35-39",IF(Table1[[#This Row],[Age]]&lt;50,"40-49","50+")))))</f>
        <v>40-49</v>
      </c>
    </row>
    <row r="169" spans="1:20" x14ac:dyDescent="0.35">
      <c r="A169">
        <v>1168</v>
      </c>
      <c r="B169" t="s">
        <v>54</v>
      </c>
      <c r="C169" t="s">
        <v>43</v>
      </c>
      <c r="D169" t="s">
        <v>27</v>
      </c>
      <c r="E169">
        <v>24</v>
      </c>
      <c r="F169" t="s">
        <v>69</v>
      </c>
      <c r="G169" t="s">
        <v>39</v>
      </c>
      <c r="H169" t="s">
        <v>35</v>
      </c>
      <c r="I169" s="1">
        <v>60873</v>
      </c>
      <c r="J169" t="s">
        <v>1419</v>
      </c>
      <c r="K169" t="s">
        <v>40</v>
      </c>
      <c r="L169">
        <v>2</v>
      </c>
      <c r="M169">
        <v>1</v>
      </c>
      <c r="N169" t="s">
        <v>22</v>
      </c>
      <c r="O169" t="s">
        <v>23</v>
      </c>
      <c r="P169" s="3" t="s">
        <v>1318</v>
      </c>
      <c r="Q169" s="9" t="str">
        <f t="shared" si="5"/>
        <v>Invalid</v>
      </c>
      <c r="R169">
        <v>9116164232</v>
      </c>
      <c r="S169" s="7" t="str">
        <f t="shared" si="4"/>
        <v>Valid</v>
      </c>
      <c r="T169" t="str">
        <f>IF(Table1[[#This Row],[Age]]&lt;25,"18-24",IF(Table1[[#This Row],[Age]]&lt;30,"25-29",IF(Table1[[#This Row],[Age]]&lt;35,"30-34",IF(Table1[[#This Row],[Age]]&lt;40,"35-39",IF(Table1[[#This Row],[Age]]&lt;50,"40-49","50+")))))</f>
        <v>18-24</v>
      </c>
    </row>
    <row r="170" spans="1:20" x14ac:dyDescent="0.35">
      <c r="A170">
        <v>1169</v>
      </c>
      <c r="B170" t="s">
        <v>42</v>
      </c>
      <c r="C170" t="s">
        <v>26</v>
      </c>
      <c r="D170" t="s">
        <v>27</v>
      </c>
      <c r="E170">
        <v>36</v>
      </c>
      <c r="F170" t="s">
        <v>69</v>
      </c>
      <c r="G170" t="s">
        <v>19</v>
      </c>
      <c r="H170" t="s">
        <v>56</v>
      </c>
      <c r="I170" s="1">
        <v>107502</v>
      </c>
      <c r="J170" t="s">
        <v>1420</v>
      </c>
      <c r="K170" t="s">
        <v>21</v>
      </c>
      <c r="L170">
        <v>22</v>
      </c>
      <c r="M170">
        <v>1</v>
      </c>
      <c r="N170" t="s">
        <v>23</v>
      </c>
      <c r="O170" t="s">
        <v>23</v>
      </c>
      <c r="P170" t="s">
        <v>260</v>
      </c>
      <c r="Q170" s="9" t="str">
        <f t="shared" si="5"/>
        <v>Valid</v>
      </c>
      <c r="R170">
        <v>9535138433</v>
      </c>
      <c r="S170" s="7" t="str">
        <f t="shared" si="4"/>
        <v>Valid</v>
      </c>
      <c r="T170" t="str">
        <f>IF(Table1[[#This Row],[Age]]&lt;25,"18-24",IF(Table1[[#This Row],[Age]]&lt;30,"25-29",IF(Table1[[#This Row],[Age]]&lt;35,"30-34",IF(Table1[[#This Row],[Age]]&lt;40,"35-39",IF(Table1[[#This Row],[Age]]&lt;50,"40-49","50+")))))</f>
        <v>35-39</v>
      </c>
    </row>
    <row r="171" spans="1:20" x14ac:dyDescent="0.35">
      <c r="A171">
        <v>1170</v>
      </c>
      <c r="B171" t="s">
        <v>67</v>
      </c>
      <c r="C171" t="s">
        <v>16</v>
      </c>
      <c r="D171" t="s">
        <v>17</v>
      </c>
      <c r="E171">
        <v>24</v>
      </c>
      <c r="F171" t="s">
        <v>62</v>
      </c>
      <c r="G171" t="s">
        <v>77</v>
      </c>
      <c r="H171" t="s">
        <v>20</v>
      </c>
      <c r="I171" s="1">
        <v>112982</v>
      </c>
      <c r="J171" t="s">
        <v>845</v>
      </c>
      <c r="K171" t="s">
        <v>40</v>
      </c>
      <c r="L171">
        <v>16</v>
      </c>
      <c r="M171">
        <v>4</v>
      </c>
      <c r="N171" t="s">
        <v>23</v>
      </c>
      <c r="O171" t="s">
        <v>23</v>
      </c>
      <c r="P171" t="s">
        <v>261</v>
      </c>
      <c r="Q171" s="9" t="str">
        <f t="shared" si="5"/>
        <v>Valid</v>
      </c>
      <c r="R171">
        <v>9236262800</v>
      </c>
      <c r="S171" s="7" t="str">
        <f t="shared" si="4"/>
        <v>Valid</v>
      </c>
      <c r="T171" t="str">
        <f>IF(Table1[[#This Row],[Age]]&lt;25,"18-24",IF(Table1[[#This Row],[Age]]&lt;30,"25-29",IF(Table1[[#This Row],[Age]]&lt;35,"30-34",IF(Table1[[#This Row],[Age]]&lt;40,"35-39",IF(Table1[[#This Row],[Age]]&lt;50,"40-49","50+")))))</f>
        <v>18-24</v>
      </c>
    </row>
    <row r="172" spans="1:20" x14ac:dyDescent="0.35">
      <c r="A172">
        <v>1171</v>
      </c>
      <c r="B172" t="s">
        <v>58</v>
      </c>
      <c r="C172" t="s">
        <v>32</v>
      </c>
      <c r="D172" t="s">
        <v>17</v>
      </c>
      <c r="E172">
        <v>41</v>
      </c>
      <c r="F172" t="s">
        <v>18</v>
      </c>
      <c r="G172" t="s">
        <v>55</v>
      </c>
      <c r="H172" t="s">
        <v>28</v>
      </c>
      <c r="I172" s="1">
        <v>53145</v>
      </c>
      <c r="J172" t="s">
        <v>1421</v>
      </c>
      <c r="K172" t="s">
        <v>46</v>
      </c>
      <c r="L172">
        <v>9</v>
      </c>
      <c r="M172">
        <v>5</v>
      </c>
      <c r="N172" t="s">
        <v>23</v>
      </c>
      <c r="O172" t="s">
        <v>22</v>
      </c>
      <c r="P172" t="s">
        <v>262</v>
      </c>
      <c r="Q172" s="9" t="str">
        <f t="shared" si="5"/>
        <v>Valid</v>
      </c>
      <c r="R172">
        <v>9989307158</v>
      </c>
      <c r="S172" s="7" t="str">
        <f t="shared" si="4"/>
        <v>Valid</v>
      </c>
      <c r="T172" t="str">
        <f>IF(Table1[[#This Row],[Age]]&lt;25,"18-24",IF(Table1[[#This Row],[Age]]&lt;30,"25-29",IF(Table1[[#This Row],[Age]]&lt;35,"30-34",IF(Table1[[#This Row],[Age]]&lt;40,"35-39",IF(Table1[[#This Row],[Age]]&lt;50,"40-49","50+")))))</f>
        <v>40-49</v>
      </c>
    </row>
    <row r="173" spans="1:20" x14ac:dyDescent="0.35">
      <c r="A173">
        <v>1172</v>
      </c>
      <c r="B173" t="s">
        <v>15</v>
      </c>
      <c r="C173" t="s">
        <v>43</v>
      </c>
      <c r="D173" t="s">
        <v>17</v>
      </c>
      <c r="E173">
        <v>42</v>
      </c>
      <c r="F173" t="s">
        <v>38</v>
      </c>
      <c r="G173" t="s">
        <v>55</v>
      </c>
      <c r="H173" t="s">
        <v>56</v>
      </c>
      <c r="I173" s="1">
        <v>77890</v>
      </c>
      <c r="J173" t="s">
        <v>1422</v>
      </c>
      <c r="K173" t="s">
        <v>40</v>
      </c>
      <c r="L173">
        <v>12</v>
      </c>
      <c r="M173">
        <v>2</v>
      </c>
      <c r="N173" t="s">
        <v>23</v>
      </c>
      <c r="O173" t="s">
        <v>22</v>
      </c>
      <c r="P173" t="s">
        <v>263</v>
      </c>
      <c r="Q173" s="9" t="str">
        <f t="shared" si="5"/>
        <v>Valid</v>
      </c>
      <c r="R173">
        <v>9022744418</v>
      </c>
      <c r="S173" s="7" t="str">
        <f t="shared" si="4"/>
        <v>Valid</v>
      </c>
      <c r="T173" t="str">
        <f>IF(Table1[[#This Row],[Age]]&lt;25,"18-24",IF(Table1[[#This Row],[Age]]&lt;30,"25-29",IF(Table1[[#This Row],[Age]]&lt;35,"30-34",IF(Table1[[#This Row],[Age]]&lt;40,"35-39",IF(Table1[[#This Row],[Age]]&lt;50,"40-49","50+")))))</f>
        <v>40-49</v>
      </c>
    </row>
    <row r="174" spans="1:20" x14ac:dyDescent="0.35">
      <c r="A174">
        <v>1173</v>
      </c>
      <c r="B174" t="s">
        <v>67</v>
      </c>
      <c r="C174" t="s">
        <v>43</v>
      </c>
      <c r="D174" t="s">
        <v>17</v>
      </c>
      <c r="E174">
        <v>49</v>
      </c>
      <c r="F174" t="s">
        <v>18</v>
      </c>
      <c r="G174" t="s">
        <v>39</v>
      </c>
      <c r="H174" t="s">
        <v>44</v>
      </c>
      <c r="I174" s="1">
        <v>40637</v>
      </c>
      <c r="J174" t="s">
        <v>1423</v>
      </c>
      <c r="K174" t="s">
        <v>21</v>
      </c>
      <c r="L174">
        <v>13</v>
      </c>
      <c r="M174">
        <v>1</v>
      </c>
      <c r="N174" t="s">
        <v>22</v>
      </c>
      <c r="O174" t="s">
        <v>22</v>
      </c>
      <c r="P174" t="s">
        <v>264</v>
      </c>
      <c r="Q174" s="9" t="str">
        <f t="shared" si="5"/>
        <v>Valid</v>
      </c>
      <c r="R174">
        <v>9663995574</v>
      </c>
      <c r="S174" s="7" t="str">
        <f t="shared" si="4"/>
        <v>Valid</v>
      </c>
      <c r="T174" t="str">
        <f>IF(Table1[[#This Row],[Age]]&lt;25,"18-24",IF(Table1[[#This Row],[Age]]&lt;30,"25-29",IF(Table1[[#This Row],[Age]]&lt;35,"30-34",IF(Table1[[#This Row],[Age]]&lt;40,"35-39",IF(Table1[[#This Row],[Age]]&lt;50,"40-49","50+")))))</f>
        <v>40-49</v>
      </c>
    </row>
    <row r="175" spans="1:20" x14ac:dyDescent="0.35">
      <c r="A175">
        <v>1174</v>
      </c>
      <c r="B175" t="s">
        <v>64</v>
      </c>
      <c r="C175" t="s">
        <v>32</v>
      </c>
      <c r="D175" t="s">
        <v>17</v>
      </c>
      <c r="E175">
        <v>33</v>
      </c>
      <c r="F175" t="s">
        <v>18</v>
      </c>
      <c r="G175" t="s">
        <v>19</v>
      </c>
      <c r="H175" t="s">
        <v>28</v>
      </c>
      <c r="I175" s="2" t="s">
        <v>1316</v>
      </c>
      <c r="J175" t="s">
        <v>265</v>
      </c>
      <c r="K175" t="s">
        <v>21</v>
      </c>
      <c r="L175">
        <v>9</v>
      </c>
      <c r="M175">
        <v>2</v>
      </c>
      <c r="N175" t="s">
        <v>23</v>
      </c>
      <c r="O175" t="s">
        <v>22</v>
      </c>
      <c r="P175" t="s">
        <v>266</v>
      </c>
      <c r="Q175" s="9" t="str">
        <f t="shared" si="5"/>
        <v>Valid</v>
      </c>
      <c r="R175">
        <v>9403177205</v>
      </c>
      <c r="S175" s="7" t="str">
        <f t="shared" si="4"/>
        <v>Valid</v>
      </c>
      <c r="T175" t="str">
        <f>IF(Table1[[#This Row],[Age]]&lt;25,"18-24",IF(Table1[[#This Row],[Age]]&lt;30,"25-29",IF(Table1[[#This Row],[Age]]&lt;35,"30-34",IF(Table1[[#This Row],[Age]]&lt;40,"35-39",IF(Table1[[#This Row],[Age]]&lt;50,"40-49","50+")))))</f>
        <v>30-34</v>
      </c>
    </row>
    <row r="176" spans="1:20" x14ac:dyDescent="0.35">
      <c r="A176">
        <v>1175</v>
      </c>
      <c r="B176" t="s">
        <v>60</v>
      </c>
      <c r="C176" t="s">
        <v>43</v>
      </c>
      <c r="D176" t="s">
        <v>17</v>
      </c>
      <c r="E176">
        <v>35</v>
      </c>
      <c r="F176" t="s">
        <v>18</v>
      </c>
      <c r="G176" t="s">
        <v>19</v>
      </c>
      <c r="H176" t="s">
        <v>28</v>
      </c>
      <c r="I176" s="1">
        <v>52397</v>
      </c>
      <c r="J176" t="s">
        <v>267</v>
      </c>
      <c r="K176" t="s">
        <v>40</v>
      </c>
      <c r="L176">
        <v>9</v>
      </c>
      <c r="M176">
        <v>3</v>
      </c>
      <c r="N176" t="s">
        <v>23</v>
      </c>
      <c r="O176" t="s">
        <v>22</v>
      </c>
      <c r="P176" t="s">
        <v>268</v>
      </c>
      <c r="Q176" s="9" t="str">
        <f t="shared" si="5"/>
        <v>Valid</v>
      </c>
      <c r="R176">
        <v>9264640614</v>
      </c>
      <c r="S176" s="7" t="str">
        <f t="shared" si="4"/>
        <v>Valid</v>
      </c>
      <c r="T176" t="str">
        <f>IF(Table1[[#This Row],[Age]]&lt;25,"18-24",IF(Table1[[#This Row],[Age]]&lt;30,"25-29",IF(Table1[[#This Row],[Age]]&lt;35,"30-34",IF(Table1[[#This Row],[Age]]&lt;40,"35-39",IF(Table1[[#This Row],[Age]]&lt;50,"40-49","50+")))))</f>
        <v>35-39</v>
      </c>
    </row>
    <row r="177" spans="1:20" x14ac:dyDescent="0.35">
      <c r="A177">
        <v>1176</v>
      </c>
      <c r="B177" t="s">
        <v>60</v>
      </c>
      <c r="C177" t="s">
        <v>16</v>
      </c>
      <c r="D177" t="s">
        <v>17</v>
      </c>
      <c r="E177">
        <v>50</v>
      </c>
      <c r="F177" t="s">
        <v>18</v>
      </c>
      <c r="G177" t="s">
        <v>39</v>
      </c>
      <c r="H177" t="s">
        <v>20</v>
      </c>
      <c r="I177" s="1">
        <v>104569</v>
      </c>
      <c r="J177" t="s">
        <v>269</v>
      </c>
      <c r="K177" t="s">
        <v>40</v>
      </c>
      <c r="L177">
        <v>25</v>
      </c>
      <c r="M177">
        <v>1</v>
      </c>
      <c r="N177" t="s">
        <v>23</v>
      </c>
      <c r="O177" t="s">
        <v>23</v>
      </c>
      <c r="P177" t="s">
        <v>270</v>
      </c>
      <c r="Q177" s="9" t="str">
        <f t="shared" si="5"/>
        <v>Valid</v>
      </c>
      <c r="R177">
        <v>9347655719</v>
      </c>
      <c r="S177" s="7" t="str">
        <f t="shared" si="4"/>
        <v>Valid</v>
      </c>
      <c r="T177" t="str">
        <f>IF(Table1[[#This Row],[Age]]&lt;25,"18-24",IF(Table1[[#This Row],[Age]]&lt;30,"25-29",IF(Table1[[#This Row],[Age]]&lt;35,"30-34",IF(Table1[[#This Row],[Age]]&lt;40,"35-39",IF(Table1[[#This Row],[Age]]&lt;50,"40-49","50+")))))</f>
        <v>50+</v>
      </c>
    </row>
    <row r="178" spans="1:20" x14ac:dyDescent="0.35">
      <c r="A178">
        <v>1177</v>
      </c>
      <c r="B178" t="s">
        <v>67</v>
      </c>
      <c r="C178" t="s">
        <v>26</v>
      </c>
      <c r="D178" t="s">
        <v>27</v>
      </c>
      <c r="E178">
        <v>56</v>
      </c>
      <c r="F178" t="s">
        <v>33</v>
      </c>
      <c r="G178" t="s">
        <v>19</v>
      </c>
      <c r="H178" t="s">
        <v>20</v>
      </c>
      <c r="I178" s="1">
        <v>37646</v>
      </c>
      <c r="J178" t="s">
        <v>1424</v>
      </c>
      <c r="K178" t="s">
        <v>46</v>
      </c>
      <c r="L178">
        <v>11</v>
      </c>
      <c r="M178">
        <v>3</v>
      </c>
      <c r="N178" t="s">
        <v>23</v>
      </c>
      <c r="O178" t="s">
        <v>22</v>
      </c>
      <c r="P178" t="s">
        <v>271</v>
      </c>
      <c r="Q178" s="9" t="str">
        <f t="shared" si="5"/>
        <v>Valid</v>
      </c>
      <c r="R178">
        <v>9451587618</v>
      </c>
      <c r="S178" s="7" t="str">
        <f t="shared" si="4"/>
        <v>Valid</v>
      </c>
      <c r="T178" t="str">
        <f>IF(Table1[[#This Row],[Age]]&lt;25,"18-24",IF(Table1[[#This Row],[Age]]&lt;30,"25-29",IF(Table1[[#This Row],[Age]]&lt;35,"30-34",IF(Table1[[#This Row],[Age]]&lt;40,"35-39",IF(Table1[[#This Row],[Age]]&lt;50,"40-49","50+")))))</f>
        <v>50+</v>
      </c>
    </row>
    <row r="179" spans="1:20" x14ac:dyDescent="0.35">
      <c r="A179">
        <v>1178</v>
      </c>
      <c r="B179" t="s">
        <v>37</v>
      </c>
      <c r="C179" t="s">
        <v>61</v>
      </c>
      <c r="D179" t="s">
        <v>17</v>
      </c>
      <c r="E179">
        <v>38</v>
      </c>
      <c r="F179" t="s">
        <v>18</v>
      </c>
      <c r="G179" t="s">
        <v>19</v>
      </c>
      <c r="H179" t="s">
        <v>44</v>
      </c>
      <c r="I179" s="1">
        <v>52331</v>
      </c>
      <c r="J179" t="s">
        <v>272</v>
      </c>
      <c r="K179" t="s">
        <v>30</v>
      </c>
      <c r="L179">
        <v>21</v>
      </c>
      <c r="M179">
        <v>5</v>
      </c>
      <c r="N179" t="s">
        <v>22</v>
      </c>
      <c r="O179" t="s">
        <v>22</v>
      </c>
      <c r="P179" t="s">
        <v>273</v>
      </c>
      <c r="Q179" s="9" t="str">
        <f t="shared" si="5"/>
        <v>Valid</v>
      </c>
      <c r="R179">
        <v>9685260543</v>
      </c>
      <c r="S179" s="7" t="str">
        <f t="shared" si="4"/>
        <v>Valid</v>
      </c>
      <c r="T179" t="str">
        <f>IF(Table1[[#This Row],[Age]]&lt;25,"18-24",IF(Table1[[#This Row],[Age]]&lt;30,"25-29",IF(Table1[[#This Row],[Age]]&lt;35,"30-34",IF(Table1[[#This Row],[Age]]&lt;40,"35-39",IF(Table1[[#This Row],[Age]]&lt;50,"40-49","50+")))))</f>
        <v>35-39</v>
      </c>
    </row>
    <row r="180" spans="1:20" x14ac:dyDescent="0.35">
      <c r="A180">
        <v>1179</v>
      </c>
      <c r="B180" t="s">
        <v>42</v>
      </c>
      <c r="C180" t="s">
        <v>32</v>
      </c>
      <c r="D180" t="s">
        <v>27</v>
      </c>
      <c r="E180">
        <v>28</v>
      </c>
      <c r="F180" t="s">
        <v>69</v>
      </c>
      <c r="G180" t="s">
        <v>77</v>
      </c>
      <c r="H180" t="s">
        <v>56</v>
      </c>
      <c r="I180" s="1">
        <v>94282</v>
      </c>
      <c r="J180" t="s">
        <v>1425</v>
      </c>
      <c r="K180" t="s">
        <v>21</v>
      </c>
      <c r="L180">
        <v>7</v>
      </c>
      <c r="M180">
        <v>2</v>
      </c>
      <c r="N180" t="s">
        <v>22</v>
      </c>
      <c r="O180" t="s">
        <v>22</v>
      </c>
      <c r="P180" t="s">
        <v>274</v>
      </c>
      <c r="Q180" s="9" t="str">
        <f t="shared" si="5"/>
        <v>Valid</v>
      </c>
      <c r="R180">
        <v>9787326313</v>
      </c>
      <c r="S180" s="7" t="str">
        <f t="shared" si="4"/>
        <v>Valid</v>
      </c>
      <c r="T180" t="str">
        <f>IF(Table1[[#This Row],[Age]]&lt;25,"18-24",IF(Table1[[#This Row],[Age]]&lt;30,"25-29",IF(Table1[[#This Row],[Age]]&lt;35,"30-34",IF(Table1[[#This Row],[Age]]&lt;40,"35-39",IF(Table1[[#This Row],[Age]]&lt;50,"40-49","50+")))))</f>
        <v>25-29</v>
      </c>
    </row>
    <row r="181" spans="1:20" x14ac:dyDescent="0.35">
      <c r="A181">
        <v>1180</v>
      </c>
      <c r="B181" t="s">
        <v>37</v>
      </c>
      <c r="C181" t="s">
        <v>43</v>
      </c>
      <c r="D181" t="s">
        <v>27</v>
      </c>
      <c r="E181">
        <v>32</v>
      </c>
      <c r="F181" t="s">
        <v>38</v>
      </c>
      <c r="G181" t="s">
        <v>55</v>
      </c>
      <c r="H181" t="s">
        <v>56</v>
      </c>
      <c r="I181" s="1">
        <v>36624</v>
      </c>
      <c r="J181" t="s">
        <v>275</v>
      </c>
      <c r="K181" t="s">
        <v>46</v>
      </c>
      <c r="L181">
        <v>8</v>
      </c>
      <c r="M181">
        <v>5</v>
      </c>
      <c r="N181" t="s">
        <v>23</v>
      </c>
      <c r="O181" t="s">
        <v>23</v>
      </c>
      <c r="P181" t="s">
        <v>276</v>
      </c>
      <c r="Q181" s="9" t="str">
        <f t="shared" si="5"/>
        <v>Valid</v>
      </c>
      <c r="R181">
        <v>9622181854</v>
      </c>
      <c r="S181" s="7" t="str">
        <f t="shared" si="4"/>
        <v>Valid</v>
      </c>
      <c r="T181" t="str">
        <f>IF(Table1[[#This Row],[Age]]&lt;25,"18-24",IF(Table1[[#This Row],[Age]]&lt;30,"25-29",IF(Table1[[#This Row],[Age]]&lt;35,"30-34",IF(Table1[[#This Row],[Age]]&lt;40,"35-39",IF(Table1[[#This Row],[Age]]&lt;50,"40-49","50+")))))</f>
        <v>30-34</v>
      </c>
    </row>
    <row r="182" spans="1:20" x14ac:dyDescent="0.35">
      <c r="A182">
        <v>1181</v>
      </c>
      <c r="B182" t="s">
        <v>54</v>
      </c>
      <c r="C182" t="s">
        <v>61</v>
      </c>
      <c r="D182" t="s">
        <v>27</v>
      </c>
      <c r="E182">
        <v>56</v>
      </c>
      <c r="F182" t="s">
        <v>33</v>
      </c>
      <c r="G182" t="s">
        <v>39</v>
      </c>
      <c r="H182" t="s">
        <v>28</v>
      </c>
      <c r="I182" s="1">
        <v>27552</v>
      </c>
      <c r="J182" t="s">
        <v>574</v>
      </c>
      <c r="K182" t="s">
        <v>40</v>
      </c>
      <c r="L182">
        <v>10</v>
      </c>
      <c r="M182">
        <v>2</v>
      </c>
      <c r="N182" t="s">
        <v>23</v>
      </c>
      <c r="O182" t="s">
        <v>22</v>
      </c>
      <c r="P182" t="s">
        <v>277</v>
      </c>
      <c r="Q182" s="9" t="str">
        <f t="shared" si="5"/>
        <v>Valid</v>
      </c>
      <c r="R182">
        <v>9260647902</v>
      </c>
      <c r="S182" s="7" t="str">
        <f t="shared" si="4"/>
        <v>Valid</v>
      </c>
      <c r="T182" t="str">
        <f>IF(Table1[[#This Row],[Age]]&lt;25,"18-24",IF(Table1[[#This Row],[Age]]&lt;30,"25-29",IF(Table1[[#This Row],[Age]]&lt;35,"30-34",IF(Table1[[#This Row],[Age]]&lt;40,"35-39",IF(Table1[[#This Row],[Age]]&lt;50,"40-49","50+")))))</f>
        <v>50+</v>
      </c>
    </row>
    <row r="183" spans="1:20" x14ac:dyDescent="0.35">
      <c r="A183">
        <v>1182</v>
      </c>
      <c r="B183" t="s">
        <v>60</v>
      </c>
      <c r="C183" t="s">
        <v>26</v>
      </c>
      <c r="D183" t="s">
        <v>17</v>
      </c>
      <c r="E183">
        <v>44</v>
      </c>
      <c r="F183" t="s">
        <v>38</v>
      </c>
      <c r="G183" t="s">
        <v>55</v>
      </c>
      <c r="H183" t="s">
        <v>20</v>
      </c>
      <c r="I183" s="1">
        <v>55361</v>
      </c>
      <c r="J183" t="s">
        <v>1426</v>
      </c>
      <c r="K183" t="s">
        <v>49</v>
      </c>
      <c r="L183">
        <v>18</v>
      </c>
      <c r="M183">
        <v>3</v>
      </c>
      <c r="N183" t="s">
        <v>23</v>
      </c>
      <c r="O183" t="s">
        <v>23</v>
      </c>
      <c r="P183" t="s">
        <v>278</v>
      </c>
      <c r="Q183" s="9" t="str">
        <f t="shared" si="5"/>
        <v>Valid</v>
      </c>
      <c r="R183">
        <v>9035193576</v>
      </c>
      <c r="S183" s="7" t="str">
        <f t="shared" si="4"/>
        <v>Valid</v>
      </c>
      <c r="T183" t="str">
        <f>IF(Table1[[#This Row],[Age]]&lt;25,"18-24",IF(Table1[[#This Row],[Age]]&lt;30,"25-29",IF(Table1[[#This Row],[Age]]&lt;35,"30-34",IF(Table1[[#This Row],[Age]]&lt;40,"35-39",IF(Table1[[#This Row],[Age]]&lt;50,"40-49","50+")))))</f>
        <v>40-49</v>
      </c>
    </row>
    <row r="184" spans="1:20" x14ac:dyDescent="0.35">
      <c r="A184">
        <v>1183</v>
      </c>
      <c r="B184" t="s">
        <v>54</v>
      </c>
      <c r="C184" t="s">
        <v>61</v>
      </c>
      <c r="D184" t="s">
        <v>27</v>
      </c>
      <c r="E184">
        <v>39</v>
      </c>
      <c r="F184" t="s">
        <v>33</v>
      </c>
      <c r="G184" t="s">
        <v>55</v>
      </c>
      <c r="H184" t="s">
        <v>44</v>
      </c>
      <c r="I184" s="1">
        <v>46481</v>
      </c>
      <c r="J184" t="s">
        <v>1427</v>
      </c>
      <c r="K184" t="s">
        <v>30</v>
      </c>
      <c r="L184">
        <v>20</v>
      </c>
      <c r="M184">
        <v>1</v>
      </c>
      <c r="N184" t="s">
        <v>22</v>
      </c>
      <c r="O184" t="s">
        <v>22</v>
      </c>
      <c r="P184" t="s">
        <v>279</v>
      </c>
      <c r="Q184" s="9" t="str">
        <f t="shared" si="5"/>
        <v>Valid</v>
      </c>
      <c r="R184">
        <v>9771874144</v>
      </c>
      <c r="S184" s="7" t="str">
        <f t="shared" si="4"/>
        <v>Valid</v>
      </c>
      <c r="T184" t="str">
        <f>IF(Table1[[#This Row],[Age]]&lt;25,"18-24",IF(Table1[[#This Row],[Age]]&lt;30,"25-29",IF(Table1[[#This Row],[Age]]&lt;35,"30-34",IF(Table1[[#This Row],[Age]]&lt;40,"35-39",IF(Table1[[#This Row],[Age]]&lt;50,"40-49","50+")))))</f>
        <v>35-39</v>
      </c>
    </row>
    <row r="185" spans="1:20" x14ac:dyDescent="0.35">
      <c r="A185">
        <v>1184</v>
      </c>
      <c r="B185" t="s">
        <v>67</v>
      </c>
      <c r="C185" t="s">
        <v>26</v>
      </c>
      <c r="D185" t="s">
        <v>17</v>
      </c>
      <c r="E185">
        <v>30</v>
      </c>
      <c r="F185" t="s">
        <v>33</v>
      </c>
      <c r="G185" t="s">
        <v>77</v>
      </c>
      <c r="H185" t="s">
        <v>35</v>
      </c>
      <c r="I185" s="1">
        <v>41134</v>
      </c>
      <c r="J185" t="s">
        <v>280</v>
      </c>
      <c r="K185" t="s">
        <v>49</v>
      </c>
      <c r="L185">
        <v>17</v>
      </c>
      <c r="M185">
        <v>3</v>
      </c>
      <c r="N185" t="s">
        <v>23</v>
      </c>
      <c r="O185" t="s">
        <v>22</v>
      </c>
      <c r="P185" t="s">
        <v>281</v>
      </c>
      <c r="Q185" s="9" t="str">
        <f t="shared" si="5"/>
        <v>Valid</v>
      </c>
      <c r="R185">
        <v>9295999694</v>
      </c>
      <c r="S185" s="7" t="str">
        <f t="shared" si="4"/>
        <v>Valid</v>
      </c>
      <c r="T185" t="str">
        <f>IF(Table1[[#This Row],[Age]]&lt;25,"18-24",IF(Table1[[#This Row],[Age]]&lt;30,"25-29",IF(Table1[[#This Row],[Age]]&lt;35,"30-34",IF(Table1[[#This Row],[Age]]&lt;40,"35-39",IF(Table1[[#This Row],[Age]]&lt;50,"40-49","50+")))))</f>
        <v>30-34</v>
      </c>
    </row>
    <row r="186" spans="1:20" x14ac:dyDescent="0.35">
      <c r="A186">
        <v>1185</v>
      </c>
      <c r="B186" t="s">
        <v>15</v>
      </c>
      <c r="C186" t="s">
        <v>16</v>
      </c>
      <c r="D186" t="s">
        <v>17</v>
      </c>
      <c r="E186">
        <v>32</v>
      </c>
      <c r="F186" t="s">
        <v>18</v>
      </c>
      <c r="G186" t="s">
        <v>55</v>
      </c>
      <c r="H186" t="s">
        <v>44</v>
      </c>
      <c r="I186" s="1">
        <v>81694</v>
      </c>
      <c r="J186" t="s">
        <v>282</v>
      </c>
      <c r="K186" t="s">
        <v>46</v>
      </c>
      <c r="L186">
        <v>20</v>
      </c>
      <c r="M186">
        <v>5</v>
      </c>
      <c r="N186" t="s">
        <v>22</v>
      </c>
      <c r="O186" t="s">
        <v>23</v>
      </c>
      <c r="P186" t="s">
        <v>283</v>
      </c>
      <c r="Q186" s="9" t="str">
        <f t="shared" si="5"/>
        <v>Invalid</v>
      </c>
      <c r="R186">
        <v>9420563966</v>
      </c>
      <c r="S186" s="7" t="str">
        <f t="shared" si="4"/>
        <v>Valid</v>
      </c>
      <c r="T186" t="str">
        <f>IF(Table1[[#This Row],[Age]]&lt;25,"18-24",IF(Table1[[#This Row],[Age]]&lt;30,"25-29",IF(Table1[[#This Row],[Age]]&lt;35,"30-34",IF(Table1[[#This Row],[Age]]&lt;40,"35-39",IF(Table1[[#This Row],[Age]]&lt;50,"40-49","50+")))))</f>
        <v>30-34</v>
      </c>
    </row>
    <row r="187" spans="1:20" x14ac:dyDescent="0.35">
      <c r="A187">
        <v>1186</v>
      </c>
      <c r="B187" t="s">
        <v>58</v>
      </c>
      <c r="C187" t="s">
        <v>16</v>
      </c>
      <c r="D187" t="s">
        <v>17</v>
      </c>
      <c r="E187">
        <v>55</v>
      </c>
      <c r="F187" t="s">
        <v>33</v>
      </c>
      <c r="G187" t="s">
        <v>39</v>
      </c>
      <c r="H187" t="s">
        <v>35</v>
      </c>
      <c r="I187" s="1">
        <v>47729</v>
      </c>
      <c r="J187" t="s">
        <v>1336</v>
      </c>
      <c r="K187" t="s">
        <v>46</v>
      </c>
      <c r="L187">
        <v>20</v>
      </c>
      <c r="M187">
        <v>1</v>
      </c>
      <c r="N187" t="s">
        <v>23</v>
      </c>
      <c r="O187" t="s">
        <v>22</v>
      </c>
      <c r="P187" t="s">
        <v>284</v>
      </c>
      <c r="Q187" s="9" t="str">
        <f t="shared" si="5"/>
        <v>Valid</v>
      </c>
      <c r="R187">
        <v>9605090029</v>
      </c>
      <c r="S187" s="7" t="str">
        <f t="shared" si="4"/>
        <v>Valid</v>
      </c>
      <c r="T187" t="str">
        <f>IF(Table1[[#This Row],[Age]]&lt;25,"18-24",IF(Table1[[#This Row],[Age]]&lt;30,"25-29",IF(Table1[[#This Row],[Age]]&lt;35,"30-34",IF(Table1[[#This Row],[Age]]&lt;40,"35-39",IF(Table1[[#This Row],[Age]]&lt;50,"40-49","50+")))))</f>
        <v>50+</v>
      </c>
    </row>
    <row r="188" spans="1:20" x14ac:dyDescent="0.35">
      <c r="A188">
        <v>1187</v>
      </c>
      <c r="B188" t="s">
        <v>64</v>
      </c>
      <c r="C188" t="s">
        <v>43</v>
      </c>
      <c r="D188" t="s">
        <v>27</v>
      </c>
      <c r="E188">
        <v>48</v>
      </c>
      <c r="F188" t="s">
        <v>33</v>
      </c>
      <c r="G188" t="s">
        <v>39</v>
      </c>
      <c r="H188" t="s">
        <v>56</v>
      </c>
      <c r="I188" s="1">
        <v>98924</v>
      </c>
      <c r="J188" t="s">
        <v>1428</v>
      </c>
      <c r="K188" t="s">
        <v>46</v>
      </c>
      <c r="L188">
        <v>23</v>
      </c>
      <c r="M188">
        <v>2</v>
      </c>
      <c r="N188" t="s">
        <v>22</v>
      </c>
      <c r="O188" t="s">
        <v>22</v>
      </c>
      <c r="P188" t="s">
        <v>285</v>
      </c>
      <c r="Q188" s="9" t="str">
        <f t="shared" si="5"/>
        <v>Valid</v>
      </c>
      <c r="R188">
        <v>9138447206</v>
      </c>
      <c r="S188" s="7" t="str">
        <f t="shared" si="4"/>
        <v>Valid</v>
      </c>
      <c r="T188" t="str">
        <f>IF(Table1[[#This Row],[Age]]&lt;25,"18-24",IF(Table1[[#This Row],[Age]]&lt;30,"25-29",IF(Table1[[#This Row],[Age]]&lt;35,"30-34",IF(Table1[[#This Row],[Age]]&lt;40,"35-39",IF(Table1[[#This Row],[Age]]&lt;50,"40-49","50+")))))</f>
        <v>40-49</v>
      </c>
    </row>
    <row r="189" spans="1:20" x14ac:dyDescent="0.35">
      <c r="A189">
        <v>1188</v>
      </c>
      <c r="B189" t="s">
        <v>42</v>
      </c>
      <c r="C189" t="s">
        <v>26</v>
      </c>
      <c r="D189" t="s">
        <v>27</v>
      </c>
      <c r="E189">
        <v>47</v>
      </c>
      <c r="F189" t="s">
        <v>62</v>
      </c>
      <c r="G189" t="s">
        <v>55</v>
      </c>
      <c r="H189" t="s">
        <v>44</v>
      </c>
      <c r="I189" s="1">
        <v>74108</v>
      </c>
      <c r="J189" t="s">
        <v>1429</v>
      </c>
      <c r="K189" t="s">
        <v>30</v>
      </c>
      <c r="L189">
        <v>13</v>
      </c>
      <c r="M189">
        <v>2</v>
      </c>
      <c r="N189" t="s">
        <v>23</v>
      </c>
      <c r="O189" t="s">
        <v>22</v>
      </c>
      <c r="P189" t="s">
        <v>286</v>
      </c>
      <c r="Q189" s="9" t="str">
        <f t="shared" si="5"/>
        <v>Valid</v>
      </c>
      <c r="R189">
        <v>9707048344</v>
      </c>
      <c r="S189" s="7" t="str">
        <f t="shared" si="4"/>
        <v>Valid</v>
      </c>
      <c r="T189" t="str">
        <f>IF(Table1[[#This Row],[Age]]&lt;25,"18-24",IF(Table1[[#This Row],[Age]]&lt;30,"25-29",IF(Table1[[#This Row],[Age]]&lt;35,"30-34",IF(Table1[[#This Row],[Age]]&lt;40,"35-39",IF(Table1[[#This Row],[Age]]&lt;50,"40-49","50+")))))</f>
        <v>40-49</v>
      </c>
    </row>
    <row r="190" spans="1:20" x14ac:dyDescent="0.35">
      <c r="A190">
        <v>1189</v>
      </c>
      <c r="B190" t="s">
        <v>54</v>
      </c>
      <c r="C190" t="s">
        <v>61</v>
      </c>
      <c r="D190" t="s">
        <v>27</v>
      </c>
      <c r="E190">
        <v>56</v>
      </c>
      <c r="F190" t="s">
        <v>69</v>
      </c>
      <c r="G190" t="s">
        <v>39</v>
      </c>
      <c r="H190" t="s">
        <v>28</v>
      </c>
      <c r="I190" s="1">
        <v>-63827</v>
      </c>
      <c r="J190" t="s">
        <v>1430</v>
      </c>
      <c r="K190" t="s">
        <v>30</v>
      </c>
      <c r="L190">
        <v>13</v>
      </c>
      <c r="M190">
        <v>3</v>
      </c>
      <c r="N190" t="s">
        <v>23</v>
      </c>
      <c r="O190" t="s">
        <v>23</v>
      </c>
      <c r="P190" t="s">
        <v>287</v>
      </c>
      <c r="Q190" s="9" t="str">
        <f t="shared" si="5"/>
        <v>Valid</v>
      </c>
      <c r="R190">
        <v>9199998478</v>
      </c>
      <c r="S190" s="7" t="str">
        <f t="shared" si="4"/>
        <v>Valid</v>
      </c>
      <c r="T190" t="str">
        <f>IF(Table1[[#This Row],[Age]]&lt;25,"18-24",IF(Table1[[#This Row],[Age]]&lt;30,"25-29",IF(Table1[[#This Row],[Age]]&lt;35,"30-34",IF(Table1[[#This Row],[Age]]&lt;40,"35-39",IF(Table1[[#This Row],[Age]]&lt;50,"40-49","50+")))))</f>
        <v>50+</v>
      </c>
    </row>
    <row r="191" spans="1:20" x14ac:dyDescent="0.35">
      <c r="A191">
        <v>1190</v>
      </c>
      <c r="B191" t="s">
        <v>60</v>
      </c>
      <c r="C191" t="s">
        <v>32</v>
      </c>
      <c r="D191" t="s">
        <v>17</v>
      </c>
      <c r="E191">
        <v>28</v>
      </c>
      <c r="F191" t="s">
        <v>69</v>
      </c>
      <c r="G191" t="s">
        <v>34</v>
      </c>
      <c r="H191" t="s">
        <v>28</v>
      </c>
      <c r="I191" s="1">
        <v>94175</v>
      </c>
      <c r="J191" t="s">
        <v>1431</v>
      </c>
      <c r="K191" t="s">
        <v>49</v>
      </c>
      <c r="L191">
        <v>7</v>
      </c>
      <c r="M191">
        <v>3</v>
      </c>
      <c r="N191" t="s">
        <v>22</v>
      </c>
      <c r="O191" t="s">
        <v>22</v>
      </c>
      <c r="P191" t="s">
        <v>288</v>
      </c>
      <c r="Q191" s="9" t="str">
        <f t="shared" si="5"/>
        <v>Valid</v>
      </c>
      <c r="R191">
        <v>9195615255</v>
      </c>
      <c r="S191" s="7" t="str">
        <f t="shared" si="4"/>
        <v>Valid</v>
      </c>
      <c r="T191" t="str">
        <f>IF(Table1[[#This Row],[Age]]&lt;25,"18-24",IF(Table1[[#This Row],[Age]]&lt;30,"25-29",IF(Table1[[#This Row],[Age]]&lt;35,"30-34",IF(Table1[[#This Row],[Age]]&lt;40,"35-39",IF(Table1[[#This Row],[Age]]&lt;50,"40-49","50+")))))</f>
        <v>25-29</v>
      </c>
    </row>
    <row r="192" spans="1:20" x14ac:dyDescent="0.35">
      <c r="A192">
        <v>1191</v>
      </c>
      <c r="B192" t="s">
        <v>25</v>
      </c>
      <c r="C192" t="s">
        <v>32</v>
      </c>
      <c r="D192" t="s">
        <v>27</v>
      </c>
      <c r="E192">
        <v>50</v>
      </c>
      <c r="F192" t="s">
        <v>38</v>
      </c>
      <c r="G192" t="s">
        <v>77</v>
      </c>
      <c r="H192" t="s">
        <v>28</v>
      </c>
      <c r="I192" s="1">
        <v>29365</v>
      </c>
      <c r="J192" t="s">
        <v>1432</v>
      </c>
      <c r="K192" t="s">
        <v>30</v>
      </c>
      <c r="L192">
        <v>19</v>
      </c>
      <c r="M192">
        <v>2</v>
      </c>
      <c r="N192" t="s">
        <v>22</v>
      </c>
      <c r="O192" t="s">
        <v>22</v>
      </c>
      <c r="P192" t="s">
        <v>289</v>
      </c>
      <c r="Q192" s="9" t="str">
        <f t="shared" si="5"/>
        <v>Valid</v>
      </c>
      <c r="R192">
        <v>99623506</v>
      </c>
      <c r="S192" s="7" t="str">
        <f t="shared" si="4"/>
        <v>Invalid</v>
      </c>
      <c r="T192" t="str">
        <f>IF(Table1[[#This Row],[Age]]&lt;25,"18-24",IF(Table1[[#This Row],[Age]]&lt;30,"25-29",IF(Table1[[#This Row],[Age]]&lt;35,"30-34",IF(Table1[[#This Row],[Age]]&lt;40,"35-39",IF(Table1[[#This Row],[Age]]&lt;50,"40-49","50+")))))</f>
        <v>50+</v>
      </c>
    </row>
    <row r="193" spans="1:20" x14ac:dyDescent="0.35">
      <c r="A193">
        <v>1192</v>
      </c>
      <c r="B193" t="s">
        <v>42</v>
      </c>
      <c r="C193" t="s">
        <v>43</v>
      </c>
      <c r="D193" t="s">
        <v>27</v>
      </c>
      <c r="E193">
        <v>49</v>
      </c>
      <c r="F193" t="s">
        <v>38</v>
      </c>
      <c r="G193" t="s">
        <v>39</v>
      </c>
      <c r="H193" t="s">
        <v>28</v>
      </c>
      <c r="I193" s="1">
        <v>60537</v>
      </c>
      <c r="J193" t="s">
        <v>1433</v>
      </c>
      <c r="K193" t="s">
        <v>30</v>
      </c>
      <c r="L193">
        <v>15</v>
      </c>
      <c r="M193">
        <v>3</v>
      </c>
      <c r="N193" t="s">
        <v>23</v>
      </c>
      <c r="O193" t="s">
        <v>22</v>
      </c>
      <c r="P193" t="s">
        <v>290</v>
      </c>
      <c r="Q193" s="9" t="str">
        <f t="shared" si="5"/>
        <v>Valid</v>
      </c>
      <c r="R193">
        <v>9414059717</v>
      </c>
      <c r="S193" s="7" t="str">
        <f t="shared" si="4"/>
        <v>Valid</v>
      </c>
      <c r="T193" t="str">
        <f>IF(Table1[[#This Row],[Age]]&lt;25,"18-24",IF(Table1[[#This Row],[Age]]&lt;30,"25-29",IF(Table1[[#This Row],[Age]]&lt;35,"30-34",IF(Table1[[#This Row],[Age]]&lt;40,"35-39",IF(Table1[[#This Row],[Age]]&lt;50,"40-49","50+")))))</f>
        <v>40-49</v>
      </c>
    </row>
    <row r="194" spans="1:20" x14ac:dyDescent="0.35">
      <c r="A194">
        <v>1193</v>
      </c>
      <c r="B194" t="s">
        <v>82</v>
      </c>
      <c r="C194" t="s">
        <v>61</v>
      </c>
      <c r="D194" t="s">
        <v>27</v>
      </c>
      <c r="E194">
        <v>46</v>
      </c>
      <c r="F194" t="s">
        <v>62</v>
      </c>
      <c r="G194" t="s">
        <v>19</v>
      </c>
      <c r="H194" t="s">
        <v>28</v>
      </c>
      <c r="I194" s="1">
        <v>55745</v>
      </c>
      <c r="J194" t="s">
        <v>291</v>
      </c>
      <c r="K194" t="s">
        <v>30</v>
      </c>
      <c r="L194">
        <v>25</v>
      </c>
      <c r="M194">
        <v>4</v>
      </c>
      <c r="N194" t="s">
        <v>23</v>
      </c>
      <c r="O194" t="s">
        <v>23</v>
      </c>
      <c r="P194" t="s">
        <v>292</v>
      </c>
      <c r="Q194" s="9" t="str">
        <f t="shared" si="5"/>
        <v>Valid</v>
      </c>
      <c r="R194">
        <v>9728986190</v>
      </c>
      <c r="S194" s="7" t="str">
        <f t="shared" ref="S194:S257" si="6">IF(AND(ISNUMBER(R194),LEN(R194)=10),"Valid","Invalid")</f>
        <v>Valid</v>
      </c>
      <c r="T194" t="str">
        <f>IF(Table1[[#This Row],[Age]]&lt;25,"18-24",IF(Table1[[#This Row],[Age]]&lt;30,"25-29",IF(Table1[[#This Row],[Age]]&lt;35,"30-34",IF(Table1[[#This Row],[Age]]&lt;40,"35-39",IF(Table1[[#This Row],[Age]]&lt;50,"40-49","50+")))))</f>
        <v>40-49</v>
      </c>
    </row>
    <row r="195" spans="1:20" x14ac:dyDescent="0.35">
      <c r="A195">
        <v>1194</v>
      </c>
      <c r="B195" t="s">
        <v>82</v>
      </c>
      <c r="C195" t="s">
        <v>32</v>
      </c>
      <c r="D195" t="s">
        <v>17</v>
      </c>
      <c r="E195">
        <v>44</v>
      </c>
      <c r="F195" t="s">
        <v>69</v>
      </c>
      <c r="G195" t="s">
        <v>77</v>
      </c>
      <c r="H195" t="s">
        <v>44</v>
      </c>
      <c r="I195" s="1">
        <v>70270</v>
      </c>
      <c r="J195" t="s">
        <v>1434</v>
      </c>
      <c r="K195" t="s">
        <v>49</v>
      </c>
      <c r="L195">
        <v>8</v>
      </c>
      <c r="M195">
        <v>4</v>
      </c>
      <c r="N195" t="s">
        <v>22</v>
      </c>
      <c r="O195" t="s">
        <v>22</v>
      </c>
      <c r="P195" t="s">
        <v>293</v>
      </c>
      <c r="Q195" s="9" t="str">
        <f t="shared" ref="Q195:Q258" si="7">IF(AND(ISNUMBER(SEARCH("@",P195)),ISNUMBER(SEARCH(".",P195))),"Valid","Invalid")</f>
        <v>Valid</v>
      </c>
      <c r="R195">
        <v>9490716040</v>
      </c>
      <c r="S195" s="7" t="str">
        <f t="shared" si="6"/>
        <v>Valid</v>
      </c>
      <c r="T195" t="str">
        <f>IF(Table1[[#This Row],[Age]]&lt;25,"18-24",IF(Table1[[#This Row],[Age]]&lt;30,"25-29",IF(Table1[[#This Row],[Age]]&lt;35,"30-34",IF(Table1[[#This Row],[Age]]&lt;40,"35-39",IF(Table1[[#This Row],[Age]]&lt;50,"40-49","50+")))))</f>
        <v>40-49</v>
      </c>
    </row>
    <row r="196" spans="1:20" x14ac:dyDescent="0.35">
      <c r="A196">
        <v>1195</v>
      </c>
      <c r="B196" t="s">
        <v>37</v>
      </c>
      <c r="C196" t="s">
        <v>32</v>
      </c>
      <c r="D196" t="s">
        <v>17</v>
      </c>
      <c r="E196">
        <v>34</v>
      </c>
      <c r="F196" t="s">
        <v>38</v>
      </c>
      <c r="G196" t="s">
        <v>19</v>
      </c>
      <c r="H196" t="s">
        <v>44</v>
      </c>
      <c r="I196" s="1">
        <v>43562</v>
      </c>
      <c r="J196" t="s">
        <v>294</v>
      </c>
      <c r="K196" t="s">
        <v>30</v>
      </c>
      <c r="L196">
        <v>2</v>
      </c>
      <c r="M196">
        <v>2</v>
      </c>
      <c r="N196" t="s">
        <v>23</v>
      </c>
      <c r="O196" t="s">
        <v>23</v>
      </c>
      <c r="P196" t="s">
        <v>295</v>
      </c>
      <c r="Q196" s="9" t="str">
        <f t="shared" si="7"/>
        <v>Valid</v>
      </c>
      <c r="R196">
        <v>9952794756</v>
      </c>
      <c r="S196" s="7" t="str">
        <f t="shared" si="6"/>
        <v>Valid</v>
      </c>
      <c r="T196" t="str">
        <f>IF(Table1[[#This Row],[Age]]&lt;25,"18-24",IF(Table1[[#This Row],[Age]]&lt;30,"25-29",IF(Table1[[#This Row],[Age]]&lt;35,"30-34",IF(Table1[[#This Row],[Age]]&lt;40,"35-39",IF(Table1[[#This Row],[Age]]&lt;50,"40-49","50+")))))</f>
        <v>30-34</v>
      </c>
    </row>
    <row r="197" spans="1:20" x14ac:dyDescent="0.35">
      <c r="A197">
        <v>1196</v>
      </c>
      <c r="B197" t="s">
        <v>64</v>
      </c>
      <c r="C197" t="s">
        <v>43</v>
      </c>
      <c r="D197" t="s">
        <v>17</v>
      </c>
      <c r="E197">
        <v>48</v>
      </c>
      <c r="F197" t="s">
        <v>62</v>
      </c>
      <c r="G197" t="s">
        <v>55</v>
      </c>
      <c r="H197" t="s">
        <v>20</v>
      </c>
      <c r="I197" s="1">
        <v>96090</v>
      </c>
      <c r="J197" t="s">
        <v>1323</v>
      </c>
      <c r="K197" t="s">
        <v>46</v>
      </c>
      <c r="L197">
        <v>21</v>
      </c>
      <c r="M197">
        <v>1</v>
      </c>
      <c r="N197" t="s">
        <v>22</v>
      </c>
      <c r="O197" t="s">
        <v>23</v>
      </c>
      <c r="P197" t="s">
        <v>296</v>
      </c>
      <c r="Q197" s="9" t="str">
        <f t="shared" si="7"/>
        <v>Valid</v>
      </c>
      <c r="R197">
        <v>9181423219</v>
      </c>
      <c r="S197" s="7" t="str">
        <f t="shared" si="6"/>
        <v>Valid</v>
      </c>
      <c r="T197" t="str">
        <f>IF(Table1[[#This Row],[Age]]&lt;25,"18-24",IF(Table1[[#This Row],[Age]]&lt;30,"25-29",IF(Table1[[#This Row],[Age]]&lt;35,"30-34",IF(Table1[[#This Row],[Age]]&lt;40,"35-39",IF(Table1[[#This Row],[Age]]&lt;50,"40-49","50+")))))</f>
        <v>40-49</v>
      </c>
    </row>
    <row r="198" spans="1:20" x14ac:dyDescent="0.35">
      <c r="A198">
        <v>1197</v>
      </c>
      <c r="B198" t="s">
        <v>15</v>
      </c>
      <c r="C198" t="s">
        <v>26</v>
      </c>
      <c r="D198" t="s">
        <v>17</v>
      </c>
      <c r="E198">
        <v>48</v>
      </c>
      <c r="F198" t="s">
        <v>62</v>
      </c>
      <c r="G198" t="s">
        <v>34</v>
      </c>
      <c r="H198" t="s">
        <v>56</v>
      </c>
      <c r="I198" s="1">
        <v>41080</v>
      </c>
      <c r="J198" t="s">
        <v>1435</v>
      </c>
      <c r="K198" t="s">
        <v>30</v>
      </c>
      <c r="L198">
        <v>13</v>
      </c>
      <c r="M198">
        <v>3</v>
      </c>
      <c r="N198" t="s">
        <v>22</v>
      </c>
      <c r="O198" t="s">
        <v>23</v>
      </c>
      <c r="P198" t="s">
        <v>297</v>
      </c>
      <c r="Q198" s="9" t="str">
        <f t="shared" si="7"/>
        <v>Valid</v>
      </c>
      <c r="R198">
        <v>9960147130</v>
      </c>
      <c r="S198" s="7" t="str">
        <f t="shared" si="6"/>
        <v>Valid</v>
      </c>
      <c r="T198" t="str">
        <f>IF(Table1[[#This Row],[Age]]&lt;25,"18-24",IF(Table1[[#This Row],[Age]]&lt;30,"25-29",IF(Table1[[#This Row],[Age]]&lt;35,"30-34",IF(Table1[[#This Row],[Age]]&lt;40,"35-39",IF(Table1[[#This Row],[Age]]&lt;50,"40-49","50+")))))</f>
        <v>40-49</v>
      </c>
    </row>
    <row r="199" spans="1:20" x14ac:dyDescent="0.35">
      <c r="A199">
        <v>1198</v>
      </c>
      <c r="B199" t="s">
        <v>54</v>
      </c>
      <c r="C199" t="s">
        <v>16</v>
      </c>
      <c r="D199" t="s">
        <v>17</v>
      </c>
      <c r="E199">
        <v>56</v>
      </c>
      <c r="F199" t="s">
        <v>18</v>
      </c>
      <c r="G199" t="s">
        <v>55</v>
      </c>
      <c r="H199" t="s">
        <v>44</v>
      </c>
      <c r="I199" s="1">
        <v>116891</v>
      </c>
      <c r="J199" t="s">
        <v>1398</v>
      </c>
      <c r="K199" t="s">
        <v>49</v>
      </c>
      <c r="L199">
        <v>14</v>
      </c>
      <c r="M199">
        <v>5</v>
      </c>
      <c r="N199" t="s">
        <v>22</v>
      </c>
      <c r="O199" t="s">
        <v>23</v>
      </c>
      <c r="P199" t="s">
        <v>298</v>
      </c>
      <c r="Q199" s="9" t="str">
        <f t="shared" si="7"/>
        <v>Valid</v>
      </c>
      <c r="R199">
        <v>9122331674</v>
      </c>
      <c r="S199" s="7" t="str">
        <f t="shared" si="6"/>
        <v>Valid</v>
      </c>
      <c r="T199" t="str">
        <f>IF(Table1[[#This Row],[Age]]&lt;25,"18-24",IF(Table1[[#This Row],[Age]]&lt;30,"25-29",IF(Table1[[#This Row],[Age]]&lt;35,"30-34",IF(Table1[[#This Row],[Age]]&lt;40,"35-39",IF(Table1[[#This Row],[Age]]&lt;50,"40-49","50+")))))</f>
        <v>50+</v>
      </c>
    </row>
    <row r="200" spans="1:20" x14ac:dyDescent="0.35">
      <c r="A200">
        <v>1199</v>
      </c>
      <c r="B200" t="s">
        <v>25</v>
      </c>
      <c r="C200" t="s">
        <v>16</v>
      </c>
      <c r="D200" t="s">
        <v>17</v>
      </c>
      <c r="E200">
        <v>53</v>
      </c>
      <c r="F200" t="s">
        <v>62</v>
      </c>
      <c r="G200" t="s">
        <v>77</v>
      </c>
      <c r="H200" t="s">
        <v>44</v>
      </c>
      <c r="I200" s="1">
        <v>54781</v>
      </c>
      <c r="J200" t="s">
        <v>1436</v>
      </c>
      <c r="K200" t="s">
        <v>40</v>
      </c>
      <c r="L200">
        <v>22</v>
      </c>
      <c r="M200">
        <v>4</v>
      </c>
      <c r="N200" t="s">
        <v>22</v>
      </c>
      <c r="O200" t="s">
        <v>23</v>
      </c>
      <c r="P200" t="s">
        <v>299</v>
      </c>
      <c r="Q200" s="9" t="str">
        <f t="shared" si="7"/>
        <v>Valid</v>
      </c>
      <c r="R200">
        <v>9699879638</v>
      </c>
      <c r="S200" s="7" t="str">
        <f t="shared" si="6"/>
        <v>Valid</v>
      </c>
      <c r="T200" t="str">
        <f>IF(Table1[[#This Row],[Age]]&lt;25,"18-24",IF(Table1[[#This Row],[Age]]&lt;30,"25-29",IF(Table1[[#This Row],[Age]]&lt;35,"30-34",IF(Table1[[#This Row],[Age]]&lt;40,"35-39",IF(Table1[[#This Row],[Age]]&lt;50,"40-49","50+")))))</f>
        <v>50+</v>
      </c>
    </row>
    <row r="201" spans="1:20" x14ac:dyDescent="0.35">
      <c r="A201">
        <v>1200</v>
      </c>
      <c r="B201" t="s">
        <v>64</v>
      </c>
      <c r="C201" t="s">
        <v>61</v>
      </c>
      <c r="D201" t="s">
        <v>17</v>
      </c>
      <c r="E201">
        <v>53</v>
      </c>
      <c r="F201" t="s">
        <v>33</v>
      </c>
      <c r="G201" t="s">
        <v>55</v>
      </c>
      <c r="H201" t="s">
        <v>44</v>
      </c>
      <c r="I201" s="1">
        <v>99932</v>
      </c>
      <c r="J201" t="s">
        <v>1437</v>
      </c>
      <c r="K201" t="s">
        <v>46</v>
      </c>
      <c r="L201">
        <v>8</v>
      </c>
      <c r="M201">
        <v>3</v>
      </c>
      <c r="N201" t="s">
        <v>23</v>
      </c>
      <c r="O201" t="s">
        <v>23</v>
      </c>
      <c r="P201" t="s">
        <v>300</v>
      </c>
      <c r="Q201" s="9" t="str">
        <f t="shared" si="7"/>
        <v>Valid</v>
      </c>
      <c r="R201">
        <v>9847016355</v>
      </c>
      <c r="S201" s="7" t="str">
        <f t="shared" si="6"/>
        <v>Valid</v>
      </c>
      <c r="T201" t="str">
        <f>IF(Table1[[#This Row],[Age]]&lt;25,"18-24",IF(Table1[[#This Row],[Age]]&lt;30,"25-29",IF(Table1[[#This Row],[Age]]&lt;35,"30-34",IF(Table1[[#This Row],[Age]]&lt;40,"35-39",IF(Table1[[#This Row],[Age]]&lt;50,"40-49","50+")))))</f>
        <v>50+</v>
      </c>
    </row>
    <row r="202" spans="1:20" x14ac:dyDescent="0.35">
      <c r="A202">
        <v>1201</v>
      </c>
      <c r="B202" t="s">
        <v>64</v>
      </c>
      <c r="C202" t="s">
        <v>61</v>
      </c>
      <c r="D202" t="s">
        <v>27</v>
      </c>
      <c r="E202">
        <v>43</v>
      </c>
      <c r="F202" t="s">
        <v>18</v>
      </c>
      <c r="G202" t="s">
        <v>34</v>
      </c>
      <c r="H202" t="s">
        <v>44</v>
      </c>
      <c r="I202" s="1">
        <v>30229</v>
      </c>
      <c r="J202" t="s">
        <v>1438</v>
      </c>
      <c r="K202" t="s">
        <v>30</v>
      </c>
      <c r="L202">
        <v>6</v>
      </c>
      <c r="M202">
        <v>3</v>
      </c>
      <c r="N202" t="s">
        <v>22</v>
      </c>
      <c r="O202" t="s">
        <v>23</v>
      </c>
      <c r="P202" t="s">
        <v>301</v>
      </c>
      <c r="Q202" s="9" t="str">
        <f t="shared" si="7"/>
        <v>Valid</v>
      </c>
      <c r="R202">
        <v>9110021842</v>
      </c>
      <c r="S202" s="7" t="str">
        <f t="shared" si="6"/>
        <v>Valid</v>
      </c>
      <c r="T202" t="str">
        <f>IF(Table1[[#This Row],[Age]]&lt;25,"18-24",IF(Table1[[#This Row],[Age]]&lt;30,"25-29",IF(Table1[[#This Row],[Age]]&lt;35,"30-34",IF(Table1[[#This Row],[Age]]&lt;40,"35-39",IF(Table1[[#This Row],[Age]]&lt;50,"40-49","50+")))))</f>
        <v>40-49</v>
      </c>
    </row>
    <row r="203" spans="1:20" x14ac:dyDescent="0.35">
      <c r="A203">
        <v>1202</v>
      </c>
      <c r="B203" t="s">
        <v>15</v>
      </c>
      <c r="C203" t="s">
        <v>61</v>
      </c>
      <c r="D203" t="s">
        <v>17</v>
      </c>
      <c r="E203">
        <v>39</v>
      </c>
      <c r="F203" t="s">
        <v>38</v>
      </c>
      <c r="G203" t="s">
        <v>39</v>
      </c>
      <c r="H203" t="s">
        <v>35</v>
      </c>
      <c r="I203" s="1">
        <v>25225</v>
      </c>
      <c r="J203" t="s">
        <v>302</v>
      </c>
      <c r="K203" t="s">
        <v>46</v>
      </c>
      <c r="L203">
        <v>20</v>
      </c>
      <c r="M203">
        <v>4</v>
      </c>
      <c r="N203" t="s">
        <v>22</v>
      </c>
      <c r="O203" t="s">
        <v>22</v>
      </c>
      <c r="P203" t="s">
        <v>303</v>
      </c>
      <c r="Q203" s="9" t="str">
        <f t="shared" si="7"/>
        <v>Valid</v>
      </c>
      <c r="R203">
        <v>9571618380</v>
      </c>
      <c r="S203" s="7" t="str">
        <f t="shared" si="6"/>
        <v>Valid</v>
      </c>
      <c r="T203" t="str">
        <f>IF(Table1[[#This Row],[Age]]&lt;25,"18-24",IF(Table1[[#This Row],[Age]]&lt;30,"25-29",IF(Table1[[#This Row],[Age]]&lt;35,"30-34",IF(Table1[[#This Row],[Age]]&lt;40,"35-39",IF(Table1[[#This Row],[Age]]&lt;50,"40-49","50+")))))</f>
        <v>35-39</v>
      </c>
    </row>
    <row r="204" spans="1:20" x14ac:dyDescent="0.35">
      <c r="A204">
        <v>1203</v>
      </c>
      <c r="B204" t="s">
        <v>64</v>
      </c>
      <c r="C204" t="s">
        <v>16</v>
      </c>
      <c r="D204" t="s">
        <v>17</v>
      </c>
      <c r="E204">
        <v>41</v>
      </c>
      <c r="F204" t="s">
        <v>69</v>
      </c>
      <c r="G204" t="s">
        <v>34</v>
      </c>
      <c r="H204" t="s">
        <v>56</v>
      </c>
      <c r="I204" s="1">
        <v>105265</v>
      </c>
      <c r="J204" t="s">
        <v>304</v>
      </c>
      <c r="K204" t="s">
        <v>21</v>
      </c>
      <c r="L204">
        <v>22</v>
      </c>
      <c r="M204">
        <v>5</v>
      </c>
      <c r="N204" t="s">
        <v>23</v>
      </c>
      <c r="O204" t="s">
        <v>23</v>
      </c>
      <c r="P204" t="s">
        <v>305</v>
      </c>
      <c r="Q204" s="9" t="str">
        <f t="shared" si="7"/>
        <v>Valid</v>
      </c>
      <c r="R204">
        <v>9421494991</v>
      </c>
      <c r="S204" s="7" t="str">
        <f t="shared" si="6"/>
        <v>Valid</v>
      </c>
      <c r="T204" t="str">
        <f>IF(Table1[[#This Row],[Age]]&lt;25,"18-24",IF(Table1[[#This Row],[Age]]&lt;30,"25-29",IF(Table1[[#This Row],[Age]]&lt;35,"30-34",IF(Table1[[#This Row],[Age]]&lt;40,"35-39",IF(Table1[[#This Row],[Age]]&lt;50,"40-49","50+")))))</f>
        <v>40-49</v>
      </c>
    </row>
    <row r="205" spans="1:20" x14ac:dyDescent="0.35">
      <c r="A205">
        <v>1204</v>
      </c>
      <c r="B205" t="s">
        <v>67</v>
      </c>
      <c r="C205" t="s">
        <v>32</v>
      </c>
      <c r="D205" t="s">
        <v>27</v>
      </c>
      <c r="E205">
        <v>26</v>
      </c>
      <c r="F205" t="s">
        <v>62</v>
      </c>
      <c r="G205" t="s">
        <v>19</v>
      </c>
      <c r="H205" t="s">
        <v>56</v>
      </c>
      <c r="I205" s="1">
        <v>30479</v>
      </c>
      <c r="J205" t="s">
        <v>1439</v>
      </c>
      <c r="K205" t="s">
        <v>30</v>
      </c>
      <c r="L205">
        <v>5</v>
      </c>
      <c r="M205">
        <v>2</v>
      </c>
      <c r="N205" t="s">
        <v>23</v>
      </c>
      <c r="O205" t="s">
        <v>22</v>
      </c>
      <c r="P205" t="s">
        <v>306</v>
      </c>
      <c r="Q205" s="9" t="str">
        <f t="shared" si="7"/>
        <v>Valid</v>
      </c>
      <c r="R205">
        <v>9956711724</v>
      </c>
      <c r="S205" s="7" t="str">
        <f t="shared" si="6"/>
        <v>Valid</v>
      </c>
      <c r="T205" t="str">
        <f>IF(Table1[[#This Row],[Age]]&lt;25,"18-24",IF(Table1[[#This Row],[Age]]&lt;30,"25-29",IF(Table1[[#This Row],[Age]]&lt;35,"30-34",IF(Table1[[#This Row],[Age]]&lt;40,"35-39",IF(Table1[[#This Row],[Age]]&lt;50,"40-49","50+")))))</f>
        <v>25-29</v>
      </c>
    </row>
    <row r="206" spans="1:20" x14ac:dyDescent="0.35">
      <c r="A206">
        <v>1205</v>
      </c>
      <c r="B206" t="s">
        <v>67</v>
      </c>
      <c r="C206" t="s">
        <v>32</v>
      </c>
      <c r="D206" t="s">
        <v>17</v>
      </c>
      <c r="E206">
        <v>48</v>
      </c>
      <c r="F206" t="s">
        <v>69</v>
      </c>
      <c r="G206" t="s">
        <v>34</v>
      </c>
      <c r="H206" t="s">
        <v>44</v>
      </c>
      <c r="I206" s="1">
        <v>56956</v>
      </c>
      <c r="J206" t="s">
        <v>1345</v>
      </c>
      <c r="K206" t="s">
        <v>49</v>
      </c>
      <c r="L206">
        <v>14</v>
      </c>
      <c r="M206">
        <v>3</v>
      </c>
      <c r="N206" t="s">
        <v>23</v>
      </c>
      <c r="O206" t="s">
        <v>22</v>
      </c>
      <c r="P206" t="s">
        <v>307</v>
      </c>
      <c r="Q206" s="9" t="str">
        <f t="shared" si="7"/>
        <v>Valid</v>
      </c>
      <c r="R206">
        <v>9539518127</v>
      </c>
      <c r="S206" s="7" t="str">
        <f t="shared" si="6"/>
        <v>Valid</v>
      </c>
      <c r="T206" t="str">
        <f>IF(Table1[[#This Row],[Age]]&lt;25,"18-24",IF(Table1[[#This Row],[Age]]&lt;30,"25-29",IF(Table1[[#This Row],[Age]]&lt;35,"30-34",IF(Table1[[#This Row],[Age]]&lt;40,"35-39",IF(Table1[[#This Row],[Age]]&lt;50,"40-49","50+")))))</f>
        <v>40-49</v>
      </c>
    </row>
    <row r="207" spans="1:20" x14ac:dyDescent="0.35">
      <c r="A207">
        <v>1206</v>
      </c>
      <c r="B207" t="s">
        <v>82</v>
      </c>
      <c r="C207" t="s">
        <v>61</v>
      </c>
      <c r="D207" t="s">
        <v>17</v>
      </c>
      <c r="E207">
        <v>58</v>
      </c>
      <c r="F207" t="s">
        <v>62</v>
      </c>
      <c r="G207" t="s">
        <v>39</v>
      </c>
      <c r="H207" t="s">
        <v>28</v>
      </c>
      <c r="I207" s="1">
        <v>60620</v>
      </c>
      <c r="J207" t="s">
        <v>308</v>
      </c>
      <c r="K207" t="s">
        <v>49</v>
      </c>
      <c r="L207">
        <v>18</v>
      </c>
      <c r="M207">
        <v>2</v>
      </c>
      <c r="N207" t="s">
        <v>22</v>
      </c>
      <c r="O207" t="s">
        <v>22</v>
      </c>
      <c r="P207" t="s">
        <v>309</v>
      </c>
      <c r="Q207" s="9" t="str">
        <f t="shared" si="7"/>
        <v>Valid</v>
      </c>
      <c r="R207">
        <v>9260211299</v>
      </c>
      <c r="S207" s="7" t="str">
        <f t="shared" si="6"/>
        <v>Valid</v>
      </c>
      <c r="T207" t="str">
        <f>IF(Table1[[#This Row],[Age]]&lt;25,"18-24",IF(Table1[[#This Row],[Age]]&lt;30,"25-29",IF(Table1[[#This Row],[Age]]&lt;35,"30-34",IF(Table1[[#This Row],[Age]]&lt;40,"35-39",IF(Table1[[#This Row],[Age]]&lt;50,"40-49","50+")))))</f>
        <v>50+</v>
      </c>
    </row>
    <row r="208" spans="1:20" x14ac:dyDescent="0.35">
      <c r="A208">
        <v>1207</v>
      </c>
      <c r="B208" t="s">
        <v>37</v>
      </c>
      <c r="C208" t="s">
        <v>43</v>
      </c>
      <c r="D208" t="s">
        <v>17</v>
      </c>
      <c r="E208">
        <v>31</v>
      </c>
      <c r="F208" t="s">
        <v>33</v>
      </c>
      <c r="G208" t="s">
        <v>34</v>
      </c>
      <c r="H208" t="s">
        <v>28</v>
      </c>
      <c r="I208" s="1">
        <v>32620</v>
      </c>
      <c r="J208" t="s">
        <v>310</v>
      </c>
      <c r="K208" t="s">
        <v>30</v>
      </c>
      <c r="L208">
        <v>10</v>
      </c>
      <c r="M208">
        <v>1</v>
      </c>
      <c r="N208" t="s">
        <v>22</v>
      </c>
      <c r="O208" t="s">
        <v>23</v>
      </c>
      <c r="P208" t="s">
        <v>311</v>
      </c>
      <c r="Q208" s="9" t="str">
        <f t="shared" si="7"/>
        <v>Valid</v>
      </c>
      <c r="R208">
        <v>9824590259</v>
      </c>
      <c r="S208" s="7" t="str">
        <f t="shared" si="6"/>
        <v>Valid</v>
      </c>
      <c r="T208" t="str">
        <f>IF(Table1[[#This Row],[Age]]&lt;25,"18-24",IF(Table1[[#This Row],[Age]]&lt;30,"25-29",IF(Table1[[#This Row],[Age]]&lt;35,"30-34",IF(Table1[[#This Row],[Age]]&lt;40,"35-39",IF(Table1[[#This Row],[Age]]&lt;50,"40-49","50+")))))</f>
        <v>30-34</v>
      </c>
    </row>
    <row r="209" spans="1:20" x14ac:dyDescent="0.35">
      <c r="A209">
        <v>1208</v>
      </c>
      <c r="B209" t="s">
        <v>64</v>
      </c>
      <c r="C209" t="s">
        <v>61</v>
      </c>
      <c r="D209" t="s">
        <v>17</v>
      </c>
      <c r="E209">
        <v>25</v>
      </c>
      <c r="F209" t="s">
        <v>18</v>
      </c>
      <c r="G209" t="s">
        <v>39</v>
      </c>
      <c r="H209" t="s">
        <v>56</v>
      </c>
      <c r="I209" s="1">
        <v>43271</v>
      </c>
      <c r="J209" t="s">
        <v>1440</v>
      </c>
      <c r="K209" t="s">
        <v>30</v>
      </c>
      <c r="L209">
        <v>5</v>
      </c>
      <c r="M209">
        <v>2</v>
      </c>
      <c r="N209" t="s">
        <v>22</v>
      </c>
      <c r="O209" t="s">
        <v>23</v>
      </c>
      <c r="P209" t="s">
        <v>312</v>
      </c>
      <c r="Q209" s="9" t="str">
        <f t="shared" si="7"/>
        <v>Valid</v>
      </c>
      <c r="R209">
        <v>9541631609</v>
      </c>
      <c r="S209" s="7" t="str">
        <f t="shared" si="6"/>
        <v>Valid</v>
      </c>
      <c r="T209" t="str">
        <f>IF(Table1[[#This Row],[Age]]&lt;25,"18-24",IF(Table1[[#This Row],[Age]]&lt;30,"25-29",IF(Table1[[#This Row],[Age]]&lt;35,"30-34",IF(Table1[[#This Row],[Age]]&lt;40,"35-39",IF(Table1[[#This Row],[Age]]&lt;50,"40-49","50+")))))</f>
        <v>25-29</v>
      </c>
    </row>
    <row r="210" spans="1:20" x14ac:dyDescent="0.35">
      <c r="A210">
        <v>1209</v>
      </c>
      <c r="B210" t="s">
        <v>42</v>
      </c>
      <c r="C210" t="s">
        <v>61</v>
      </c>
      <c r="D210" t="s">
        <v>27</v>
      </c>
      <c r="E210">
        <v>51</v>
      </c>
      <c r="F210" t="s">
        <v>18</v>
      </c>
      <c r="G210" t="s">
        <v>39</v>
      </c>
      <c r="H210" t="s">
        <v>44</v>
      </c>
      <c r="I210" s="1">
        <v>93089</v>
      </c>
      <c r="J210" t="s">
        <v>868</v>
      </c>
      <c r="K210" t="s">
        <v>46</v>
      </c>
      <c r="L210">
        <v>2</v>
      </c>
      <c r="M210">
        <v>1</v>
      </c>
      <c r="N210" t="s">
        <v>23</v>
      </c>
      <c r="O210" t="s">
        <v>22</v>
      </c>
      <c r="P210" t="s">
        <v>313</v>
      </c>
      <c r="Q210" s="9" t="str">
        <f t="shared" si="7"/>
        <v>Valid</v>
      </c>
      <c r="R210">
        <v>96753391</v>
      </c>
      <c r="S210" s="7" t="str">
        <f t="shared" si="6"/>
        <v>Invalid</v>
      </c>
      <c r="T210" t="str">
        <f>IF(Table1[[#This Row],[Age]]&lt;25,"18-24",IF(Table1[[#This Row],[Age]]&lt;30,"25-29",IF(Table1[[#This Row],[Age]]&lt;35,"30-34",IF(Table1[[#This Row],[Age]]&lt;40,"35-39",IF(Table1[[#This Row],[Age]]&lt;50,"40-49","50+")))))</f>
        <v>50+</v>
      </c>
    </row>
    <row r="211" spans="1:20" x14ac:dyDescent="0.35">
      <c r="A211">
        <v>1210</v>
      </c>
      <c r="B211" t="s">
        <v>60</v>
      </c>
      <c r="C211" t="s">
        <v>32</v>
      </c>
      <c r="D211" t="s">
        <v>17</v>
      </c>
      <c r="E211">
        <v>58</v>
      </c>
      <c r="F211" t="s">
        <v>62</v>
      </c>
      <c r="G211" t="s">
        <v>39</v>
      </c>
      <c r="H211" t="s">
        <v>28</v>
      </c>
      <c r="I211" s="1">
        <v>48123</v>
      </c>
      <c r="J211" t="s">
        <v>1441</v>
      </c>
      <c r="K211" t="s">
        <v>46</v>
      </c>
      <c r="L211">
        <v>25</v>
      </c>
      <c r="M211">
        <v>2</v>
      </c>
      <c r="N211" t="s">
        <v>23</v>
      </c>
      <c r="O211" t="s">
        <v>22</v>
      </c>
      <c r="P211" t="s">
        <v>314</v>
      </c>
      <c r="Q211" s="9" t="str">
        <f t="shared" si="7"/>
        <v>Valid</v>
      </c>
      <c r="R211">
        <v>9886510952</v>
      </c>
      <c r="S211" s="7" t="str">
        <f t="shared" si="6"/>
        <v>Valid</v>
      </c>
      <c r="T211" t="str">
        <f>IF(Table1[[#This Row],[Age]]&lt;25,"18-24",IF(Table1[[#This Row],[Age]]&lt;30,"25-29",IF(Table1[[#This Row],[Age]]&lt;35,"30-34",IF(Table1[[#This Row],[Age]]&lt;40,"35-39",IF(Table1[[#This Row],[Age]]&lt;50,"40-49","50+")))))</f>
        <v>50+</v>
      </c>
    </row>
    <row r="212" spans="1:20" x14ac:dyDescent="0.35">
      <c r="A212">
        <v>1211</v>
      </c>
      <c r="B212" t="s">
        <v>58</v>
      </c>
      <c r="C212" t="s">
        <v>16</v>
      </c>
      <c r="D212" t="s">
        <v>17</v>
      </c>
      <c r="E212">
        <v>36</v>
      </c>
      <c r="F212" t="s">
        <v>18</v>
      </c>
      <c r="G212" t="s">
        <v>55</v>
      </c>
      <c r="H212" t="s">
        <v>44</v>
      </c>
      <c r="I212" s="1">
        <v>34832</v>
      </c>
      <c r="J212" t="s">
        <v>315</v>
      </c>
      <c r="K212" t="s">
        <v>49</v>
      </c>
      <c r="L212">
        <v>22</v>
      </c>
      <c r="M212">
        <v>4</v>
      </c>
      <c r="N212" t="s">
        <v>23</v>
      </c>
      <c r="O212" t="s">
        <v>23</v>
      </c>
      <c r="P212" t="s">
        <v>316</v>
      </c>
      <c r="Q212" s="9" t="str">
        <f t="shared" si="7"/>
        <v>Valid</v>
      </c>
      <c r="R212">
        <v>9530146288</v>
      </c>
      <c r="S212" s="7" t="str">
        <f t="shared" si="6"/>
        <v>Valid</v>
      </c>
      <c r="T212" t="str">
        <f>IF(Table1[[#This Row],[Age]]&lt;25,"18-24",IF(Table1[[#This Row],[Age]]&lt;30,"25-29",IF(Table1[[#This Row],[Age]]&lt;35,"30-34",IF(Table1[[#This Row],[Age]]&lt;40,"35-39",IF(Table1[[#This Row],[Age]]&lt;50,"40-49","50+")))))</f>
        <v>35-39</v>
      </c>
    </row>
    <row r="213" spans="1:20" x14ac:dyDescent="0.35">
      <c r="A213">
        <v>1212</v>
      </c>
      <c r="B213" t="s">
        <v>67</v>
      </c>
      <c r="C213" t="s">
        <v>43</v>
      </c>
      <c r="D213" t="s">
        <v>17</v>
      </c>
      <c r="E213">
        <v>54</v>
      </c>
      <c r="F213" t="s">
        <v>38</v>
      </c>
      <c r="G213" t="s">
        <v>19</v>
      </c>
      <c r="H213" t="s">
        <v>28</v>
      </c>
      <c r="I213" s="1">
        <v>41016</v>
      </c>
      <c r="J213" t="s">
        <v>1442</v>
      </c>
      <c r="K213" t="s">
        <v>30</v>
      </c>
      <c r="L213">
        <v>9</v>
      </c>
      <c r="M213">
        <v>2</v>
      </c>
      <c r="N213" t="s">
        <v>23</v>
      </c>
      <c r="O213" t="s">
        <v>22</v>
      </c>
      <c r="P213" t="s">
        <v>317</v>
      </c>
      <c r="Q213" s="9" t="str">
        <f t="shared" si="7"/>
        <v>Valid</v>
      </c>
      <c r="R213">
        <v>9528156445</v>
      </c>
      <c r="S213" s="7" t="str">
        <f t="shared" si="6"/>
        <v>Valid</v>
      </c>
      <c r="T213" t="str">
        <f>IF(Table1[[#This Row],[Age]]&lt;25,"18-24",IF(Table1[[#This Row],[Age]]&lt;30,"25-29",IF(Table1[[#This Row],[Age]]&lt;35,"30-34",IF(Table1[[#This Row],[Age]]&lt;40,"35-39",IF(Table1[[#This Row],[Age]]&lt;50,"40-49","50+")))))</f>
        <v>50+</v>
      </c>
    </row>
    <row r="214" spans="1:20" x14ac:dyDescent="0.35">
      <c r="A214">
        <v>1213</v>
      </c>
      <c r="B214" t="s">
        <v>37</v>
      </c>
      <c r="C214" t="s">
        <v>43</v>
      </c>
      <c r="D214" t="s">
        <v>27</v>
      </c>
      <c r="E214">
        <v>37</v>
      </c>
      <c r="F214" t="s">
        <v>69</v>
      </c>
      <c r="G214" t="s">
        <v>19</v>
      </c>
      <c r="H214" t="s">
        <v>56</v>
      </c>
      <c r="I214" s="1">
        <v>108075</v>
      </c>
      <c r="J214" t="s">
        <v>1443</v>
      </c>
      <c r="K214" t="s">
        <v>49</v>
      </c>
      <c r="L214">
        <v>2</v>
      </c>
      <c r="M214">
        <v>5</v>
      </c>
      <c r="N214" t="s">
        <v>22</v>
      </c>
      <c r="O214" t="s">
        <v>23</v>
      </c>
      <c r="P214" t="s">
        <v>318</v>
      </c>
      <c r="Q214" s="9" t="str">
        <f t="shared" si="7"/>
        <v>Valid</v>
      </c>
      <c r="R214">
        <v>9540834508</v>
      </c>
      <c r="S214" s="7" t="str">
        <f t="shared" si="6"/>
        <v>Valid</v>
      </c>
      <c r="T214" t="str">
        <f>IF(Table1[[#This Row],[Age]]&lt;25,"18-24",IF(Table1[[#This Row],[Age]]&lt;30,"25-29",IF(Table1[[#This Row],[Age]]&lt;35,"30-34",IF(Table1[[#This Row],[Age]]&lt;40,"35-39",IF(Table1[[#This Row],[Age]]&lt;50,"40-49","50+")))))</f>
        <v>35-39</v>
      </c>
    </row>
    <row r="215" spans="1:20" x14ac:dyDescent="0.35">
      <c r="A215">
        <v>1214</v>
      </c>
      <c r="B215" t="s">
        <v>82</v>
      </c>
      <c r="C215" t="s">
        <v>61</v>
      </c>
      <c r="D215" t="s">
        <v>27</v>
      </c>
      <c r="E215">
        <v>41</v>
      </c>
      <c r="F215" t="s">
        <v>62</v>
      </c>
      <c r="G215" t="s">
        <v>39</v>
      </c>
      <c r="H215" t="s">
        <v>20</v>
      </c>
      <c r="I215" s="1">
        <v>75754</v>
      </c>
      <c r="J215" t="s">
        <v>1444</v>
      </c>
      <c r="K215" t="s">
        <v>40</v>
      </c>
      <c r="L215">
        <v>13</v>
      </c>
      <c r="M215">
        <v>2</v>
      </c>
      <c r="N215" t="s">
        <v>22</v>
      </c>
      <c r="O215" t="s">
        <v>23</v>
      </c>
      <c r="P215" s="3" t="s">
        <v>1318</v>
      </c>
      <c r="Q215" s="9" t="str">
        <f t="shared" si="7"/>
        <v>Invalid</v>
      </c>
      <c r="R215">
        <v>9362321018</v>
      </c>
      <c r="S215" s="7" t="str">
        <f t="shared" si="6"/>
        <v>Valid</v>
      </c>
      <c r="T215" t="str">
        <f>IF(Table1[[#This Row],[Age]]&lt;25,"18-24",IF(Table1[[#This Row],[Age]]&lt;30,"25-29",IF(Table1[[#This Row],[Age]]&lt;35,"30-34",IF(Table1[[#This Row],[Age]]&lt;40,"35-39",IF(Table1[[#This Row],[Age]]&lt;50,"40-49","50+")))))</f>
        <v>40-49</v>
      </c>
    </row>
    <row r="216" spans="1:20" x14ac:dyDescent="0.35">
      <c r="A216">
        <v>1215</v>
      </c>
      <c r="B216" t="s">
        <v>58</v>
      </c>
      <c r="C216" t="s">
        <v>32</v>
      </c>
      <c r="D216" t="s">
        <v>17</v>
      </c>
      <c r="E216">
        <v>55</v>
      </c>
      <c r="F216" t="s">
        <v>62</v>
      </c>
      <c r="G216" t="s">
        <v>34</v>
      </c>
      <c r="H216" t="s">
        <v>35</v>
      </c>
      <c r="I216" s="1">
        <v>69138</v>
      </c>
      <c r="J216" t="s">
        <v>1445</v>
      </c>
      <c r="K216" t="s">
        <v>49</v>
      </c>
      <c r="L216">
        <v>19</v>
      </c>
      <c r="M216">
        <v>1</v>
      </c>
      <c r="N216" t="s">
        <v>23</v>
      </c>
      <c r="O216" t="s">
        <v>22</v>
      </c>
      <c r="P216" t="s">
        <v>319</v>
      </c>
      <c r="Q216" s="9" t="str">
        <f t="shared" si="7"/>
        <v>Valid</v>
      </c>
      <c r="R216">
        <v>9154698407</v>
      </c>
      <c r="S216" s="7" t="str">
        <f t="shared" si="6"/>
        <v>Valid</v>
      </c>
      <c r="T216" t="str">
        <f>IF(Table1[[#This Row],[Age]]&lt;25,"18-24",IF(Table1[[#This Row],[Age]]&lt;30,"25-29",IF(Table1[[#This Row],[Age]]&lt;35,"30-34",IF(Table1[[#This Row],[Age]]&lt;40,"35-39",IF(Table1[[#This Row],[Age]]&lt;50,"40-49","50+")))))</f>
        <v>50+</v>
      </c>
    </row>
    <row r="217" spans="1:20" x14ac:dyDescent="0.35">
      <c r="A217">
        <v>1216</v>
      </c>
      <c r="B217" t="s">
        <v>60</v>
      </c>
      <c r="C217" t="s">
        <v>61</v>
      </c>
      <c r="D217" t="s">
        <v>17</v>
      </c>
      <c r="E217">
        <v>25</v>
      </c>
      <c r="F217" t="s">
        <v>38</v>
      </c>
      <c r="G217" t="s">
        <v>19</v>
      </c>
      <c r="H217" t="s">
        <v>28</v>
      </c>
      <c r="I217" s="1">
        <v>85373</v>
      </c>
      <c r="J217" t="s">
        <v>1446</v>
      </c>
      <c r="K217" t="s">
        <v>40</v>
      </c>
      <c r="L217">
        <v>20</v>
      </c>
      <c r="M217">
        <v>2</v>
      </c>
      <c r="N217" t="s">
        <v>22</v>
      </c>
      <c r="O217" t="s">
        <v>22</v>
      </c>
      <c r="P217" t="s">
        <v>320</v>
      </c>
      <c r="Q217" s="9" t="str">
        <f t="shared" si="7"/>
        <v>Valid</v>
      </c>
      <c r="R217">
        <v>9777438793</v>
      </c>
      <c r="S217" s="7" t="str">
        <f t="shared" si="6"/>
        <v>Valid</v>
      </c>
      <c r="T217" t="str">
        <f>IF(Table1[[#This Row],[Age]]&lt;25,"18-24",IF(Table1[[#This Row],[Age]]&lt;30,"25-29",IF(Table1[[#This Row],[Age]]&lt;35,"30-34",IF(Table1[[#This Row],[Age]]&lt;40,"35-39",IF(Table1[[#This Row],[Age]]&lt;50,"40-49","50+")))))</f>
        <v>25-29</v>
      </c>
    </row>
    <row r="218" spans="1:20" x14ac:dyDescent="0.35">
      <c r="A218">
        <v>1217</v>
      </c>
      <c r="B218" t="s">
        <v>82</v>
      </c>
      <c r="C218" t="s">
        <v>61</v>
      </c>
      <c r="D218" t="s">
        <v>27</v>
      </c>
      <c r="E218">
        <v>48</v>
      </c>
      <c r="F218" t="s">
        <v>18</v>
      </c>
      <c r="G218" t="s">
        <v>19</v>
      </c>
      <c r="H218" t="s">
        <v>28</v>
      </c>
      <c r="I218" s="1">
        <v>79205</v>
      </c>
      <c r="J218" t="s">
        <v>1447</v>
      </c>
      <c r="K218" t="s">
        <v>30</v>
      </c>
      <c r="L218">
        <v>7</v>
      </c>
      <c r="M218">
        <v>2</v>
      </c>
      <c r="N218" t="s">
        <v>23</v>
      </c>
      <c r="O218" t="s">
        <v>22</v>
      </c>
      <c r="P218" t="s">
        <v>321</v>
      </c>
      <c r="Q218" s="9" t="str">
        <f t="shared" si="7"/>
        <v>Invalid</v>
      </c>
      <c r="R218">
        <v>9888076199</v>
      </c>
      <c r="S218" s="7" t="str">
        <f t="shared" si="6"/>
        <v>Valid</v>
      </c>
      <c r="T218" t="str">
        <f>IF(Table1[[#This Row],[Age]]&lt;25,"18-24",IF(Table1[[#This Row],[Age]]&lt;30,"25-29",IF(Table1[[#This Row],[Age]]&lt;35,"30-34",IF(Table1[[#This Row],[Age]]&lt;40,"35-39",IF(Table1[[#This Row],[Age]]&lt;50,"40-49","50+")))))</f>
        <v>40-49</v>
      </c>
    </row>
    <row r="219" spans="1:20" x14ac:dyDescent="0.35">
      <c r="A219">
        <v>1218</v>
      </c>
      <c r="B219" t="s">
        <v>82</v>
      </c>
      <c r="C219" t="s">
        <v>61</v>
      </c>
      <c r="D219" t="s">
        <v>27</v>
      </c>
      <c r="E219">
        <v>30</v>
      </c>
      <c r="F219" t="s">
        <v>18</v>
      </c>
      <c r="G219" t="s">
        <v>77</v>
      </c>
      <c r="H219" t="s">
        <v>35</v>
      </c>
      <c r="I219" s="1">
        <v>107729</v>
      </c>
      <c r="J219" t="s">
        <v>1448</v>
      </c>
      <c r="K219" t="s">
        <v>21</v>
      </c>
      <c r="L219">
        <v>11</v>
      </c>
      <c r="M219">
        <v>1</v>
      </c>
      <c r="N219" t="s">
        <v>22</v>
      </c>
      <c r="O219" t="s">
        <v>22</v>
      </c>
      <c r="P219" t="s">
        <v>322</v>
      </c>
      <c r="Q219" s="9" t="str">
        <f t="shared" si="7"/>
        <v>Valid</v>
      </c>
      <c r="R219">
        <v>9236208513</v>
      </c>
      <c r="S219" s="7" t="str">
        <f t="shared" si="6"/>
        <v>Valid</v>
      </c>
      <c r="T219" t="str">
        <f>IF(Table1[[#This Row],[Age]]&lt;25,"18-24",IF(Table1[[#This Row],[Age]]&lt;30,"25-29",IF(Table1[[#This Row],[Age]]&lt;35,"30-34",IF(Table1[[#This Row],[Age]]&lt;40,"35-39",IF(Table1[[#This Row],[Age]]&lt;50,"40-49","50+")))))</f>
        <v>30-34</v>
      </c>
    </row>
    <row r="220" spans="1:20" x14ac:dyDescent="0.35">
      <c r="A220">
        <v>1219</v>
      </c>
      <c r="B220" t="s">
        <v>37</v>
      </c>
      <c r="C220" t="s">
        <v>61</v>
      </c>
      <c r="D220" t="s">
        <v>27</v>
      </c>
      <c r="E220">
        <v>28</v>
      </c>
      <c r="F220" t="s">
        <v>38</v>
      </c>
      <c r="G220" t="s">
        <v>55</v>
      </c>
      <c r="H220" t="s">
        <v>44</v>
      </c>
      <c r="I220" s="1">
        <v>64355</v>
      </c>
      <c r="J220" t="s">
        <v>323</v>
      </c>
      <c r="K220" t="s">
        <v>49</v>
      </c>
      <c r="L220">
        <v>6</v>
      </c>
      <c r="M220">
        <v>2</v>
      </c>
      <c r="N220" t="s">
        <v>22</v>
      </c>
      <c r="O220" t="s">
        <v>23</v>
      </c>
      <c r="P220" t="s">
        <v>324</v>
      </c>
      <c r="Q220" s="9" t="str">
        <f t="shared" si="7"/>
        <v>Valid</v>
      </c>
      <c r="R220">
        <v>9252371726</v>
      </c>
      <c r="S220" s="7" t="str">
        <f t="shared" si="6"/>
        <v>Valid</v>
      </c>
      <c r="T220" t="str">
        <f>IF(Table1[[#This Row],[Age]]&lt;25,"18-24",IF(Table1[[#This Row],[Age]]&lt;30,"25-29",IF(Table1[[#This Row],[Age]]&lt;35,"30-34",IF(Table1[[#This Row],[Age]]&lt;40,"35-39",IF(Table1[[#This Row],[Age]]&lt;50,"40-49","50+")))))</f>
        <v>25-29</v>
      </c>
    </row>
    <row r="221" spans="1:20" x14ac:dyDescent="0.35">
      <c r="A221">
        <v>1220</v>
      </c>
      <c r="B221" t="s">
        <v>54</v>
      </c>
      <c r="C221" t="s">
        <v>26</v>
      </c>
      <c r="D221" t="s">
        <v>27</v>
      </c>
      <c r="E221">
        <v>26</v>
      </c>
      <c r="F221" t="s">
        <v>69</v>
      </c>
      <c r="G221" t="s">
        <v>34</v>
      </c>
      <c r="H221" t="s">
        <v>28</v>
      </c>
      <c r="I221" s="1">
        <v>29463</v>
      </c>
      <c r="J221" t="s">
        <v>325</v>
      </c>
      <c r="K221" t="s">
        <v>30</v>
      </c>
      <c r="L221">
        <v>18</v>
      </c>
      <c r="M221">
        <v>2</v>
      </c>
      <c r="N221" t="s">
        <v>22</v>
      </c>
      <c r="O221" t="s">
        <v>22</v>
      </c>
      <c r="P221" t="s">
        <v>326</v>
      </c>
      <c r="Q221" s="9" t="str">
        <f t="shared" si="7"/>
        <v>Valid</v>
      </c>
      <c r="R221">
        <v>9551702516</v>
      </c>
      <c r="S221" s="7" t="str">
        <f t="shared" si="6"/>
        <v>Valid</v>
      </c>
      <c r="T221" t="str">
        <f>IF(Table1[[#This Row],[Age]]&lt;25,"18-24",IF(Table1[[#This Row],[Age]]&lt;30,"25-29",IF(Table1[[#This Row],[Age]]&lt;35,"30-34",IF(Table1[[#This Row],[Age]]&lt;40,"35-39",IF(Table1[[#This Row],[Age]]&lt;50,"40-49","50+")))))</f>
        <v>25-29</v>
      </c>
    </row>
    <row r="222" spans="1:20" x14ac:dyDescent="0.35">
      <c r="A222">
        <v>1221</v>
      </c>
      <c r="B222" t="s">
        <v>25</v>
      </c>
      <c r="C222" t="s">
        <v>61</v>
      </c>
      <c r="D222" t="s">
        <v>17</v>
      </c>
      <c r="E222">
        <v>40</v>
      </c>
      <c r="F222" t="s">
        <v>18</v>
      </c>
      <c r="G222" t="s">
        <v>19</v>
      </c>
      <c r="H222" t="s">
        <v>35</v>
      </c>
      <c r="I222" s="1">
        <v>37469</v>
      </c>
      <c r="J222" t="s">
        <v>327</v>
      </c>
      <c r="K222" t="s">
        <v>40</v>
      </c>
      <c r="L222">
        <v>10</v>
      </c>
      <c r="M222">
        <v>4</v>
      </c>
      <c r="N222" t="s">
        <v>23</v>
      </c>
      <c r="O222" t="s">
        <v>22</v>
      </c>
      <c r="P222" t="s">
        <v>328</v>
      </c>
      <c r="Q222" s="9" t="str">
        <f t="shared" si="7"/>
        <v>Valid</v>
      </c>
      <c r="R222">
        <v>9080152253</v>
      </c>
      <c r="S222" s="7" t="str">
        <f t="shared" si="6"/>
        <v>Valid</v>
      </c>
      <c r="T222" t="str">
        <f>IF(Table1[[#This Row],[Age]]&lt;25,"18-24",IF(Table1[[#This Row],[Age]]&lt;30,"25-29",IF(Table1[[#This Row],[Age]]&lt;35,"30-34",IF(Table1[[#This Row],[Age]]&lt;40,"35-39",IF(Table1[[#This Row],[Age]]&lt;50,"40-49","50+")))))</f>
        <v>40-49</v>
      </c>
    </row>
    <row r="223" spans="1:20" x14ac:dyDescent="0.35">
      <c r="A223">
        <v>1222</v>
      </c>
      <c r="B223" t="s">
        <v>54</v>
      </c>
      <c r="C223" t="s">
        <v>43</v>
      </c>
      <c r="D223" t="s">
        <v>17</v>
      </c>
      <c r="E223">
        <v>39</v>
      </c>
      <c r="F223" t="s">
        <v>18</v>
      </c>
      <c r="G223" t="s">
        <v>39</v>
      </c>
      <c r="H223" t="s">
        <v>35</v>
      </c>
      <c r="I223" s="1">
        <v>60868</v>
      </c>
      <c r="J223" t="s">
        <v>1449</v>
      </c>
      <c r="K223" t="s">
        <v>46</v>
      </c>
      <c r="L223">
        <v>2</v>
      </c>
      <c r="M223">
        <v>2</v>
      </c>
      <c r="N223" t="s">
        <v>23</v>
      </c>
      <c r="O223" t="s">
        <v>22</v>
      </c>
      <c r="P223" t="s">
        <v>329</v>
      </c>
      <c r="Q223" s="9" t="str">
        <f t="shared" si="7"/>
        <v>Invalid</v>
      </c>
      <c r="R223">
        <v>9938589838</v>
      </c>
      <c r="S223" s="7" t="str">
        <f t="shared" si="6"/>
        <v>Valid</v>
      </c>
      <c r="T223" t="str">
        <f>IF(Table1[[#This Row],[Age]]&lt;25,"18-24",IF(Table1[[#This Row],[Age]]&lt;30,"25-29",IF(Table1[[#This Row],[Age]]&lt;35,"30-34",IF(Table1[[#This Row],[Age]]&lt;40,"35-39",IF(Table1[[#This Row],[Age]]&lt;50,"40-49","50+")))))</f>
        <v>35-39</v>
      </c>
    </row>
    <row r="224" spans="1:20" x14ac:dyDescent="0.35">
      <c r="A224">
        <v>1223</v>
      </c>
      <c r="B224" t="s">
        <v>64</v>
      </c>
      <c r="C224" t="s">
        <v>26</v>
      </c>
      <c r="D224" t="s">
        <v>17</v>
      </c>
      <c r="E224">
        <v>66</v>
      </c>
      <c r="F224" t="s">
        <v>38</v>
      </c>
      <c r="G224" t="s">
        <v>55</v>
      </c>
      <c r="H224" t="s">
        <v>35</v>
      </c>
      <c r="I224" s="1">
        <v>31230</v>
      </c>
      <c r="J224" t="s">
        <v>1385</v>
      </c>
      <c r="K224" t="s">
        <v>49</v>
      </c>
      <c r="L224">
        <v>3</v>
      </c>
      <c r="M224">
        <v>2</v>
      </c>
      <c r="N224" t="s">
        <v>22</v>
      </c>
      <c r="O224" t="s">
        <v>23</v>
      </c>
      <c r="P224" t="s">
        <v>330</v>
      </c>
      <c r="Q224" s="9" t="str">
        <f t="shared" si="7"/>
        <v>Valid</v>
      </c>
      <c r="R224">
        <v>9919364833</v>
      </c>
      <c r="S224" s="7" t="str">
        <f t="shared" si="6"/>
        <v>Valid</v>
      </c>
      <c r="T224" t="str">
        <f>IF(Table1[[#This Row],[Age]]&lt;25,"18-24",IF(Table1[[#This Row],[Age]]&lt;30,"25-29",IF(Table1[[#This Row],[Age]]&lt;35,"30-34",IF(Table1[[#This Row],[Age]]&lt;40,"35-39",IF(Table1[[#This Row],[Age]]&lt;50,"40-49","50+")))))</f>
        <v>50+</v>
      </c>
    </row>
    <row r="225" spans="1:20" x14ac:dyDescent="0.35">
      <c r="A225">
        <v>1224</v>
      </c>
      <c r="B225" t="s">
        <v>25</v>
      </c>
      <c r="C225" t="s">
        <v>26</v>
      </c>
      <c r="D225" t="s">
        <v>17</v>
      </c>
      <c r="E225">
        <v>57</v>
      </c>
      <c r="F225" t="s">
        <v>18</v>
      </c>
      <c r="G225" t="s">
        <v>34</v>
      </c>
      <c r="H225" t="s">
        <v>28</v>
      </c>
      <c r="I225" s="1">
        <v>106590</v>
      </c>
      <c r="J225" t="s">
        <v>336</v>
      </c>
      <c r="K225" t="s">
        <v>49</v>
      </c>
      <c r="L225">
        <v>16</v>
      </c>
      <c r="M225">
        <v>1</v>
      </c>
      <c r="N225" t="s">
        <v>23</v>
      </c>
      <c r="O225" t="s">
        <v>22</v>
      </c>
      <c r="P225" t="s">
        <v>331</v>
      </c>
      <c r="Q225" s="9" t="str">
        <f t="shared" si="7"/>
        <v>Valid</v>
      </c>
      <c r="R225">
        <v>9617138162</v>
      </c>
      <c r="S225" s="7" t="str">
        <f t="shared" si="6"/>
        <v>Valid</v>
      </c>
      <c r="T225" t="str">
        <f>IF(Table1[[#This Row],[Age]]&lt;25,"18-24",IF(Table1[[#This Row],[Age]]&lt;30,"25-29",IF(Table1[[#This Row],[Age]]&lt;35,"30-34",IF(Table1[[#This Row],[Age]]&lt;40,"35-39",IF(Table1[[#This Row],[Age]]&lt;50,"40-49","50+")))))</f>
        <v>50+</v>
      </c>
    </row>
    <row r="226" spans="1:20" x14ac:dyDescent="0.35">
      <c r="A226">
        <v>1225</v>
      </c>
      <c r="B226" t="s">
        <v>58</v>
      </c>
      <c r="C226" t="s">
        <v>43</v>
      </c>
      <c r="D226" t="s">
        <v>27</v>
      </c>
      <c r="E226">
        <v>55</v>
      </c>
      <c r="F226" t="s">
        <v>62</v>
      </c>
      <c r="G226" t="s">
        <v>34</v>
      </c>
      <c r="H226" t="s">
        <v>35</v>
      </c>
      <c r="I226" s="1">
        <v>43185</v>
      </c>
      <c r="J226" t="s">
        <v>332</v>
      </c>
      <c r="K226" t="s">
        <v>40</v>
      </c>
      <c r="L226">
        <v>4</v>
      </c>
      <c r="M226">
        <v>2</v>
      </c>
      <c r="N226" t="s">
        <v>23</v>
      </c>
      <c r="O226" t="s">
        <v>22</v>
      </c>
      <c r="P226" t="s">
        <v>333</v>
      </c>
      <c r="Q226" s="9" t="str">
        <f t="shared" si="7"/>
        <v>Valid</v>
      </c>
      <c r="R226">
        <v>9638930282</v>
      </c>
      <c r="S226" s="7" t="str">
        <f t="shared" si="6"/>
        <v>Valid</v>
      </c>
      <c r="T226" t="str">
        <f>IF(Table1[[#This Row],[Age]]&lt;25,"18-24",IF(Table1[[#This Row],[Age]]&lt;30,"25-29",IF(Table1[[#This Row],[Age]]&lt;35,"30-34",IF(Table1[[#This Row],[Age]]&lt;40,"35-39",IF(Table1[[#This Row],[Age]]&lt;50,"40-49","50+")))))</f>
        <v>50+</v>
      </c>
    </row>
    <row r="227" spans="1:20" x14ac:dyDescent="0.35">
      <c r="A227">
        <v>1226</v>
      </c>
      <c r="B227" t="s">
        <v>54</v>
      </c>
      <c r="C227" t="s">
        <v>16</v>
      </c>
      <c r="D227" t="s">
        <v>27</v>
      </c>
      <c r="E227">
        <v>30</v>
      </c>
      <c r="F227" t="s">
        <v>62</v>
      </c>
      <c r="G227" t="s">
        <v>34</v>
      </c>
      <c r="H227" t="s">
        <v>44</v>
      </c>
      <c r="I227" s="1">
        <v>-51021</v>
      </c>
      <c r="J227" t="s">
        <v>1285</v>
      </c>
      <c r="K227" t="s">
        <v>21</v>
      </c>
      <c r="L227">
        <v>14</v>
      </c>
      <c r="M227">
        <v>5</v>
      </c>
      <c r="N227" t="s">
        <v>23</v>
      </c>
      <c r="O227" t="s">
        <v>23</v>
      </c>
      <c r="P227" t="s">
        <v>334</v>
      </c>
      <c r="Q227" s="9" t="str">
        <f t="shared" si="7"/>
        <v>Valid</v>
      </c>
      <c r="R227">
        <v>9000834933</v>
      </c>
      <c r="S227" s="7" t="str">
        <f t="shared" si="6"/>
        <v>Valid</v>
      </c>
      <c r="T227" t="str">
        <f>IF(Table1[[#This Row],[Age]]&lt;25,"18-24",IF(Table1[[#This Row],[Age]]&lt;30,"25-29",IF(Table1[[#This Row],[Age]]&lt;35,"30-34",IF(Table1[[#This Row],[Age]]&lt;40,"35-39",IF(Table1[[#This Row],[Age]]&lt;50,"40-49","50+")))))</f>
        <v>30-34</v>
      </c>
    </row>
    <row r="228" spans="1:20" x14ac:dyDescent="0.35">
      <c r="A228">
        <v>1227</v>
      </c>
      <c r="B228" t="s">
        <v>58</v>
      </c>
      <c r="C228" t="s">
        <v>43</v>
      </c>
      <c r="D228" t="s">
        <v>27</v>
      </c>
      <c r="E228">
        <v>54</v>
      </c>
      <c r="F228" t="s">
        <v>18</v>
      </c>
      <c r="G228" t="s">
        <v>77</v>
      </c>
      <c r="H228" t="s">
        <v>56</v>
      </c>
      <c r="I228" s="1">
        <v>97503</v>
      </c>
      <c r="J228" t="s">
        <v>799</v>
      </c>
      <c r="K228" t="s">
        <v>49</v>
      </c>
      <c r="L228">
        <v>23</v>
      </c>
      <c r="M228">
        <v>3</v>
      </c>
      <c r="N228" t="s">
        <v>23</v>
      </c>
      <c r="O228" t="s">
        <v>23</v>
      </c>
      <c r="P228" t="s">
        <v>335</v>
      </c>
      <c r="Q228" s="9" t="str">
        <f t="shared" si="7"/>
        <v>Valid</v>
      </c>
      <c r="R228">
        <v>92713821</v>
      </c>
      <c r="S228" s="7" t="str">
        <f t="shared" si="6"/>
        <v>Invalid</v>
      </c>
      <c r="T228" t="str">
        <f>IF(Table1[[#This Row],[Age]]&lt;25,"18-24",IF(Table1[[#This Row],[Age]]&lt;30,"25-29",IF(Table1[[#This Row],[Age]]&lt;35,"30-34",IF(Table1[[#This Row],[Age]]&lt;40,"35-39",IF(Table1[[#This Row],[Age]]&lt;50,"40-49","50+")))))</f>
        <v>50+</v>
      </c>
    </row>
    <row r="229" spans="1:20" x14ac:dyDescent="0.35">
      <c r="A229">
        <v>1228</v>
      </c>
      <c r="B229" t="s">
        <v>64</v>
      </c>
      <c r="C229" t="s">
        <v>43</v>
      </c>
      <c r="D229" t="s">
        <v>17</v>
      </c>
      <c r="E229">
        <v>55</v>
      </c>
      <c r="F229" t="s">
        <v>69</v>
      </c>
      <c r="G229" t="s">
        <v>39</v>
      </c>
      <c r="H229" t="s">
        <v>20</v>
      </c>
      <c r="I229" s="1">
        <v>39244</v>
      </c>
      <c r="J229" t="s">
        <v>336</v>
      </c>
      <c r="K229" t="s">
        <v>40</v>
      </c>
      <c r="L229">
        <v>13</v>
      </c>
      <c r="M229">
        <v>4</v>
      </c>
      <c r="N229" t="s">
        <v>22</v>
      </c>
      <c r="O229" t="s">
        <v>22</v>
      </c>
      <c r="P229" t="s">
        <v>337</v>
      </c>
      <c r="Q229" s="9" t="str">
        <f t="shared" si="7"/>
        <v>Valid</v>
      </c>
      <c r="R229">
        <v>9849898174</v>
      </c>
      <c r="S229" s="7" t="str">
        <f t="shared" si="6"/>
        <v>Valid</v>
      </c>
      <c r="T229" t="str">
        <f>IF(Table1[[#This Row],[Age]]&lt;25,"18-24",IF(Table1[[#This Row],[Age]]&lt;30,"25-29",IF(Table1[[#This Row],[Age]]&lt;35,"30-34",IF(Table1[[#This Row],[Age]]&lt;40,"35-39",IF(Table1[[#This Row],[Age]]&lt;50,"40-49","50+")))))</f>
        <v>50+</v>
      </c>
    </row>
    <row r="230" spans="1:20" x14ac:dyDescent="0.35">
      <c r="A230">
        <v>1229</v>
      </c>
      <c r="B230" t="s">
        <v>37</v>
      </c>
      <c r="C230" t="s">
        <v>16</v>
      </c>
      <c r="D230" t="s">
        <v>27</v>
      </c>
      <c r="E230">
        <v>32</v>
      </c>
      <c r="F230" t="s">
        <v>33</v>
      </c>
      <c r="G230" t="s">
        <v>34</v>
      </c>
      <c r="H230" t="s">
        <v>44</v>
      </c>
      <c r="I230" s="1">
        <v>109473</v>
      </c>
      <c r="J230" t="s">
        <v>1450</v>
      </c>
      <c r="K230" t="s">
        <v>40</v>
      </c>
      <c r="L230">
        <v>22</v>
      </c>
      <c r="M230">
        <v>5</v>
      </c>
      <c r="N230" t="s">
        <v>23</v>
      </c>
      <c r="O230" t="s">
        <v>23</v>
      </c>
      <c r="P230" t="s">
        <v>338</v>
      </c>
      <c r="Q230" s="9" t="str">
        <f t="shared" si="7"/>
        <v>Valid</v>
      </c>
      <c r="R230">
        <v>9276063226</v>
      </c>
      <c r="S230" s="7" t="str">
        <f t="shared" si="6"/>
        <v>Valid</v>
      </c>
      <c r="T230" t="str">
        <f>IF(Table1[[#This Row],[Age]]&lt;25,"18-24",IF(Table1[[#This Row],[Age]]&lt;30,"25-29",IF(Table1[[#This Row],[Age]]&lt;35,"30-34",IF(Table1[[#This Row],[Age]]&lt;40,"35-39",IF(Table1[[#This Row],[Age]]&lt;50,"40-49","50+")))))</f>
        <v>30-34</v>
      </c>
    </row>
    <row r="231" spans="1:20" x14ac:dyDescent="0.35">
      <c r="A231">
        <v>1230</v>
      </c>
      <c r="B231" t="s">
        <v>25</v>
      </c>
      <c r="C231" t="s">
        <v>61</v>
      </c>
      <c r="D231" t="s">
        <v>17</v>
      </c>
      <c r="E231">
        <v>43</v>
      </c>
      <c r="F231" t="s">
        <v>33</v>
      </c>
      <c r="G231" t="s">
        <v>34</v>
      </c>
      <c r="H231" t="s">
        <v>44</v>
      </c>
      <c r="I231" s="1">
        <v>72969</v>
      </c>
      <c r="J231" t="s">
        <v>339</v>
      </c>
      <c r="K231" t="s">
        <v>21</v>
      </c>
      <c r="L231">
        <v>17</v>
      </c>
      <c r="M231">
        <v>5</v>
      </c>
      <c r="N231" t="s">
        <v>23</v>
      </c>
      <c r="O231" t="s">
        <v>22</v>
      </c>
      <c r="P231" t="s">
        <v>340</v>
      </c>
      <c r="Q231" s="9" t="str">
        <f t="shared" si="7"/>
        <v>Valid</v>
      </c>
      <c r="R231">
        <v>9876230527</v>
      </c>
      <c r="S231" s="7" t="str">
        <f t="shared" si="6"/>
        <v>Valid</v>
      </c>
      <c r="T231" t="str">
        <f>IF(Table1[[#This Row],[Age]]&lt;25,"18-24",IF(Table1[[#This Row],[Age]]&lt;30,"25-29",IF(Table1[[#This Row],[Age]]&lt;35,"30-34",IF(Table1[[#This Row],[Age]]&lt;40,"35-39",IF(Table1[[#This Row],[Age]]&lt;50,"40-49","50+")))))</f>
        <v>40-49</v>
      </c>
    </row>
    <row r="232" spans="1:20" x14ac:dyDescent="0.35">
      <c r="A232">
        <v>1231</v>
      </c>
      <c r="B232" t="s">
        <v>54</v>
      </c>
      <c r="C232" t="s">
        <v>43</v>
      </c>
      <c r="D232" t="s">
        <v>17</v>
      </c>
      <c r="E232">
        <v>30</v>
      </c>
      <c r="F232" t="s">
        <v>18</v>
      </c>
      <c r="G232" t="s">
        <v>55</v>
      </c>
      <c r="H232" t="s">
        <v>28</v>
      </c>
      <c r="I232" s="1">
        <v>92211</v>
      </c>
      <c r="J232" t="s">
        <v>1451</v>
      </c>
      <c r="K232" t="s">
        <v>21</v>
      </c>
      <c r="L232">
        <v>3</v>
      </c>
      <c r="M232">
        <v>3</v>
      </c>
      <c r="N232" t="s">
        <v>22</v>
      </c>
      <c r="O232" t="s">
        <v>23</v>
      </c>
      <c r="P232" t="s">
        <v>341</v>
      </c>
      <c r="Q232" s="9" t="str">
        <f t="shared" si="7"/>
        <v>Invalid</v>
      </c>
      <c r="R232">
        <v>9685931536</v>
      </c>
      <c r="S232" s="7" t="str">
        <f t="shared" si="6"/>
        <v>Valid</v>
      </c>
      <c r="T232" t="str">
        <f>IF(Table1[[#This Row],[Age]]&lt;25,"18-24",IF(Table1[[#This Row],[Age]]&lt;30,"25-29",IF(Table1[[#This Row],[Age]]&lt;35,"30-34",IF(Table1[[#This Row],[Age]]&lt;40,"35-39",IF(Table1[[#This Row],[Age]]&lt;50,"40-49","50+")))))</f>
        <v>30-34</v>
      </c>
    </row>
    <row r="233" spans="1:20" x14ac:dyDescent="0.35">
      <c r="A233">
        <v>1232</v>
      </c>
      <c r="B233" t="s">
        <v>60</v>
      </c>
      <c r="C233" t="s">
        <v>43</v>
      </c>
      <c r="D233" t="s">
        <v>27</v>
      </c>
      <c r="E233">
        <v>43</v>
      </c>
      <c r="F233" t="s">
        <v>33</v>
      </c>
      <c r="G233" t="s">
        <v>39</v>
      </c>
      <c r="H233" t="s">
        <v>20</v>
      </c>
      <c r="I233" s="1">
        <v>108188</v>
      </c>
      <c r="J233" t="s">
        <v>486</v>
      </c>
      <c r="K233" t="s">
        <v>40</v>
      </c>
      <c r="L233">
        <v>10</v>
      </c>
      <c r="M233">
        <v>3</v>
      </c>
      <c r="N233" t="s">
        <v>22</v>
      </c>
      <c r="O233" t="s">
        <v>23</v>
      </c>
      <c r="P233" t="s">
        <v>342</v>
      </c>
      <c r="Q233" s="9" t="str">
        <f t="shared" si="7"/>
        <v>Valid</v>
      </c>
      <c r="R233">
        <v>9356082519</v>
      </c>
      <c r="S233" s="7" t="str">
        <f t="shared" si="6"/>
        <v>Valid</v>
      </c>
      <c r="T233" t="str">
        <f>IF(Table1[[#This Row],[Age]]&lt;25,"18-24",IF(Table1[[#This Row],[Age]]&lt;30,"25-29",IF(Table1[[#This Row],[Age]]&lt;35,"30-34",IF(Table1[[#This Row],[Age]]&lt;40,"35-39",IF(Table1[[#This Row],[Age]]&lt;50,"40-49","50+")))))</f>
        <v>40-49</v>
      </c>
    </row>
    <row r="234" spans="1:20" x14ac:dyDescent="0.35">
      <c r="A234">
        <v>1233</v>
      </c>
      <c r="B234" t="s">
        <v>15</v>
      </c>
      <c r="C234" t="s">
        <v>43</v>
      </c>
      <c r="D234" t="s">
        <v>17</v>
      </c>
      <c r="E234">
        <v>53</v>
      </c>
      <c r="F234" t="s">
        <v>33</v>
      </c>
      <c r="G234" t="s">
        <v>34</v>
      </c>
      <c r="H234" t="s">
        <v>35</v>
      </c>
      <c r="I234" s="1">
        <v>114994</v>
      </c>
      <c r="J234" t="s">
        <v>1452</v>
      </c>
      <c r="K234" t="s">
        <v>21</v>
      </c>
      <c r="L234">
        <v>15</v>
      </c>
      <c r="M234">
        <v>1</v>
      </c>
      <c r="N234" t="s">
        <v>22</v>
      </c>
      <c r="O234" t="s">
        <v>22</v>
      </c>
      <c r="P234" t="s">
        <v>343</v>
      </c>
      <c r="Q234" s="9" t="str">
        <f t="shared" si="7"/>
        <v>Valid</v>
      </c>
      <c r="R234">
        <v>9035042107</v>
      </c>
      <c r="S234" s="7" t="str">
        <f t="shared" si="6"/>
        <v>Valid</v>
      </c>
      <c r="T234" t="str">
        <f>IF(Table1[[#This Row],[Age]]&lt;25,"18-24",IF(Table1[[#This Row],[Age]]&lt;30,"25-29",IF(Table1[[#This Row],[Age]]&lt;35,"30-34",IF(Table1[[#This Row],[Age]]&lt;40,"35-39",IF(Table1[[#This Row],[Age]]&lt;50,"40-49","50+")))))</f>
        <v>50+</v>
      </c>
    </row>
    <row r="235" spans="1:20" x14ac:dyDescent="0.35">
      <c r="A235">
        <v>1234</v>
      </c>
      <c r="B235" t="s">
        <v>82</v>
      </c>
      <c r="C235" t="s">
        <v>61</v>
      </c>
      <c r="D235" t="s">
        <v>27</v>
      </c>
      <c r="E235">
        <v>31</v>
      </c>
      <c r="F235" t="s">
        <v>69</v>
      </c>
      <c r="G235" t="s">
        <v>39</v>
      </c>
      <c r="H235" t="s">
        <v>56</v>
      </c>
      <c r="I235" s="1">
        <v>104075</v>
      </c>
      <c r="J235" t="s">
        <v>344</v>
      </c>
      <c r="K235" t="s">
        <v>49</v>
      </c>
      <c r="L235">
        <v>23</v>
      </c>
      <c r="M235">
        <v>3</v>
      </c>
      <c r="N235" t="s">
        <v>22</v>
      </c>
      <c r="O235" t="s">
        <v>23</v>
      </c>
      <c r="P235" t="s">
        <v>345</v>
      </c>
      <c r="Q235" s="9" t="str">
        <f t="shared" si="7"/>
        <v>Valid</v>
      </c>
      <c r="R235">
        <v>9537724093</v>
      </c>
      <c r="S235" s="7" t="str">
        <f t="shared" si="6"/>
        <v>Valid</v>
      </c>
      <c r="T235" t="str">
        <f>IF(Table1[[#This Row],[Age]]&lt;25,"18-24",IF(Table1[[#This Row],[Age]]&lt;30,"25-29",IF(Table1[[#This Row],[Age]]&lt;35,"30-34",IF(Table1[[#This Row],[Age]]&lt;40,"35-39",IF(Table1[[#This Row],[Age]]&lt;50,"40-49","50+")))))</f>
        <v>30-34</v>
      </c>
    </row>
    <row r="236" spans="1:20" x14ac:dyDescent="0.35">
      <c r="A236">
        <v>1235</v>
      </c>
      <c r="B236" t="s">
        <v>58</v>
      </c>
      <c r="C236" t="s">
        <v>43</v>
      </c>
      <c r="D236" t="s">
        <v>27</v>
      </c>
      <c r="E236">
        <v>51</v>
      </c>
      <c r="F236" t="s">
        <v>38</v>
      </c>
      <c r="G236" t="s">
        <v>77</v>
      </c>
      <c r="H236" t="s">
        <v>44</v>
      </c>
      <c r="I236" s="1">
        <v>55648</v>
      </c>
      <c r="J236" t="s">
        <v>1453</v>
      </c>
      <c r="K236" t="s">
        <v>46</v>
      </c>
      <c r="L236">
        <v>9</v>
      </c>
      <c r="M236">
        <v>5</v>
      </c>
      <c r="N236" t="s">
        <v>22</v>
      </c>
      <c r="O236" t="s">
        <v>23</v>
      </c>
      <c r="P236" t="s">
        <v>346</v>
      </c>
      <c r="Q236" s="9" t="str">
        <f t="shared" si="7"/>
        <v>Valid</v>
      </c>
      <c r="R236">
        <v>9966311089</v>
      </c>
      <c r="S236" s="7" t="str">
        <f t="shared" si="6"/>
        <v>Valid</v>
      </c>
      <c r="T236" t="str">
        <f>IF(Table1[[#This Row],[Age]]&lt;25,"18-24",IF(Table1[[#This Row],[Age]]&lt;30,"25-29",IF(Table1[[#This Row],[Age]]&lt;35,"30-34",IF(Table1[[#This Row],[Age]]&lt;40,"35-39",IF(Table1[[#This Row],[Age]]&lt;50,"40-49","50+")))))</f>
        <v>50+</v>
      </c>
    </row>
    <row r="237" spans="1:20" x14ac:dyDescent="0.35">
      <c r="A237">
        <v>1236</v>
      </c>
      <c r="B237" t="s">
        <v>60</v>
      </c>
      <c r="C237" t="s">
        <v>32</v>
      </c>
      <c r="D237" t="s">
        <v>27</v>
      </c>
      <c r="E237">
        <v>49</v>
      </c>
      <c r="F237" t="s">
        <v>38</v>
      </c>
      <c r="G237" t="s">
        <v>34</v>
      </c>
      <c r="H237" t="s">
        <v>35</v>
      </c>
      <c r="I237" s="1">
        <v>65300</v>
      </c>
      <c r="J237" t="s">
        <v>1454</v>
      </c>
      <c r="K237" t="s">
        <v>40</v>
      </c>
      <c r="L237">
        <v>17</v>
      </c>
      <c r="M237">
        <v>2</v>
      </c>
      <c r="N237" t="s">
        <v>23</v>
      </c>
      <c r="O237" t="s">
        <v>23</v>
      </c>
      <c r="P237" t="s">
        <v>347</v>
      </c>
      <c r="Q237" s="9" t="str">
        <f t="shared" si="7"/>
        <v>Valid</v>
      </c>
      <c r="R237">
        <v>9373879681</v>
      </c>
      <c r="S237" s="7" t="str">
        <f t="shared" si="6"/>
        <v>Valid</v>
      </c>
      <c r="T237" t="str">
        <f>IF(Table1[[#This Row],[Age]]&lt;25,"18-24",IF(Table1[[#This Row],[Age]]&lt;30,"25-29",IF(Table1[[#This Row],[Age]]&lt;35,"30-34",IF(Table1[[#This Row],[Age]]&lt;40,"35-39",IF(Table1[[#This Row],[Age]]&lt;50,"40-49","50+")))))</f>
        <v>40-49</v>
      </c>
    </row>
    <row r="238" spans="1:20" x14ac:dyDescent="0.35">
      <c r="A238">
        <v>1237</v>
      </c>
      <c r="B238" t="s">
        <v>15</v>
      </c>
      <c r="C238" t="s">
        <v>43</v>
      </c>
      <c r="D238" t="s">
        <v>27</v>
      </c>
      <c r="E238">
        <v>42</v>
      </c>
      <c r="F238" t="s">
        <v>33</v>
      </c>
      <c r="G238" t="s">
        <v>77</v>
      </c>
      <c r="H238" t="s">
        <v>28</v>
      </c>
      <c r="I238" s="1">
        <v>28079</v>
      </c>
      <c r="J238" t="s">
        <v>1455</v>
      </c>
      <c r="K238" t="s">
        <v>40</v>
      </c>
      <c r="L238">
        <v>1</v>
      </c>
      <c r="M238">
        <v>2</v>
      </c>
      <c r="N238" t="s">
        <v>22</v>
      </c>
      <c r="O238" t="s">
        <v>22</v>
      </c>
      <c r="P238" t="s">
        <v>348</v>
      </c>
      <c r="Q238" s="9" t="str">
        <f t="shared" si="7"/>
        <v>Valid</v>
      </c>
      <c r="R238">
        <v>9592444947</v>
      </c>
      <c r="S238" s="7" t="str">
        <f t="shared" si="6"/>
        <v>Valid</v>
      </c>
      <c r="T238" t="str">
        <f>IF(Table1[[#This Row],[Age]]&lt;25,"18-24",IF(Table1[[#This Row],[Age]]&lt;30,"25-29",IF(Table1[[#This Row],[Age]]&lt;35,"30-34",IF(Table1[[#This Row],[Age]]&lt;40,"35-39",IF(Table1[[#This Row],[Age]]&lt;50,"40-49","50+")))))</f>
        <v>40-49</v>
      </c>
    </row>
    <row r="239" spans="1:20" x14ac:dyDescent="0.35">
      <c r="A239">
        <v>1238</v>
      </c>
      <c r="B239" t="s">
        <v>37</v>
      </c>
      <c r="C239" t="s">
        <v>43</v>
      </c>
      <c r="D239" t="s">
        <v>27</v>
      </c>
      <c r="E239">
        <v>52</v>
      </c>
      <c r="F239" t="s">
        <v>33</v>
      </c>
      <c r="G239" t="s">
        <v>34</v>
      </c>
      <c r="H239" t="s">
        <v>35</v>
      </c>
      <c r="I239" s="1">
        <v>87604</v>
      </c>
      <c r="J239" t="s">
        <v>1456</v>
      </c>
      <c r="K239" t="s">
        <v>30</v>
      </c>
      <c r="L239">
        <v>20</v>
      </c>
      <c r="M239">
        <v>3</v>
      </c>
      <c r="N239" t="s">
        <v>22</v>
      </c>
      <c r="O239" t="s">
        <v>23</v>
      </c>
      <c r="P239" t="s">
        <v>349</v>
      </c>
      <c r="Q239" s="9" t="str">
        <f t="shared" si="7"/>
        <v>Valid</v>
      </c>
      <c r="R239">
        <v>9201400574</v>
      </c>
      <c r="S239" s="7" t="str">
        <f t="shared" si="6"/>
        <v>Valid</v>
      </c>
      <c r="T239" t="str">
        <f>IF(Table1[[#This Row],[Age]]&lt;25,"18-24",IF(Table1[[#This Row],[Age]]&lt;30,"25-29",IF(Table1[[#This Row],[Age]]&lt;35,"30-34",IF(Table1[[#This Row],[Age]]&lt;40,"35-39",IF(Table1[[#This Row],[Age]]&lt;50,"40-49","50+")))))</f>
        <v>50+</v>
      </c>
    </row>
    <row r="240" spans="1:20" x14ac:dyDescent="0.35">
      <c r="A240">
        <v>1239</v>
      </c>
      <c r="B240" t="s">
        <v>37</v>
      </c>
      <c r="C240" t="s">
        <v>61</v>
      </c>
      <c r="D240" t="s">
        <v>27</v>
      </c>
      <c r="E240">
        <v>39</v>
      </c>
      <c r="F240" t="s">
        <v>62</v>
      </c>
      <c r="G240" t="s">
        <v>55</v>
      </c>
      <c r="H240" t="s">
        <v>28</v>
      </c>
      <c r="I240" s="1">
        <v>33816</v>
      </c>
      <c r="J240" t="s">
        <v>1457</v>
      </c>
      <c r="K240" t="s">
        <v>46</v>
      </c>
      <c r="L240">
        <v>17</v>
      </c>
      <c r="M240">
        <v>3</v>
      </c>
      <c r="N240" t="s">
        <v>22</v>
      </c>
      <c r="O240" t="s">
        <v>22</v>
      </c>
      <c r="P240" t="s">
        <v>350</v>
      </c>
      <c r="Q240" s="9" t="str">
        <f t="shared" si="7"/>
        <v>Valid</v>
      </c>
      <c r="R240">
        <v>9782281829</v>
      </c>
      <c r="S240" s="7" t="str">
        <f t="shared" si="6"/>
        <v>Valid</v>
      </c>
      <c r="T240" t="str">
        <f>IF(Table1[[#This Row],[Age]]&lt;25,"18-24",IF(Table1[[#This Row],[Age]]&lt;30,"25-29",IF(Table1[[#This Row],[Age]]&lt;35,"30-34",IF(Table1[[#This Row],[Age]]&lt;40,"35-39",IF(Table1[[#This Row],[Age]]&lt;50,"40-49","50+")))))</f>
        <v>35-39</v>
      </c>
    </row>
    <row r="241" spans="1:20" x14ac:dyDescent="0.35">
      <c r="A241">
        <v>1240</v>
      </c>
      <c r="B241" t="s">
        <v>42</v>
      </c>
      <c r="C241" t="s">
        <v>32</v>
      </c>
      <c r="D241" t="s">
        <v>17</v>
      </c>
      <c r="E241">
        <v>38</v>
      </c>
      <c r="F241" t="s">
        <v>69</v>
      </c>
      <c r="G241" t="s">
        <v>55</v>
      </c>
      <c r="H241" t="s">
        <v>44</v>
      </c>
      <c r="I241" s="1">
        <v>73569</v>
      </c>
      <c r="J241" t="s">
        <v>1458</v>
      </c>
      <c r="K241" t="s">
        <v>49</v>
      </c>
      <c r="L241">
        <v>18</v>
      </c>
      <c r="M241">
        <v>5</v>
      </c>
      <c r="N241" t="s">
        <v>23</v>
      </c>
      <c r="O241" t="s">
        <v>22</v>
      </c>
      <c r="P241" t="s">
        <v>351</v>
      </c>
      <c r="Q241" s="9" t="str">
        <f t="shared" si="7"/>
        <v>Valid</v>
      </c>
      <c r="R241">
        <v>9534576122</v>
      </c>
      <c r="S241" s="7" t="str">
        <f t="shared" si="6"/>
        <v>Valid</v>
      </c>
      <c r="T241" t="str">
        <f>IF(Table1[[#This Row],[Age]]&lt;25,"18-24",IF(Table1[[#This Row],[Age]]&lt;30,"25-29",IF(Table1[[#This Row],[Age]]&lt;35,"30-34",IF(Table1[[#This Row],[Age]]&lt;40,"35-39",IF(Table1[[#This Row],[Age]]&lt;50,"40-49","50+")))))</f>
        <v>35-39</v>
      </c>
    </row>
    <row r="242" spans="1:20" x14ac:dyDescent="0.35">
      <c r="A242">
        <v>1241</v>
      </c>
      <c r="B242" t="s">
        <v>37</v>
      </c>
      <c r="C242" t="s">
        <v>16</v>
      </c>
      <c r="D242" t="s">
        <v>17</v>
      </c>
      <c r="E242">
        <v>38</v>
      </c>
      <c r="F242" t="s">
        <v>69</v>
      </c>
      <c r="G242" t="s">
        <v>19</v>
      </c>
      <c r="H242" t="s">
        <v>44</v>
      </c>
      <c r="I242" s="1">
        <v>39873</v>
      </c>
      <c r="J242" t="s">
        <v>352</v>
      </c>
      <c r="K242" t="s">
        <v>40</v>
      </c>
      <c r="L242">
        <v>20</v>
      </c>
      <c r="M242">
        <v>2</v>
      </c>
      <c r="N242" t="s">
        <v>23</v>
      </c>
      <c r="O242" t="s">
        <v>22</v>
      </c>
      <c r="P242" t="s">
        <v>353</v>
      </c>
      <c r="Q242" s="9" t="str">
        <f t="shared" si="7"/>
        <v>Valid</v>
      </c>
      <c r="R242">
        <v>9944546974</v>
      </c>
      <c r="S242" s="7" t="str">
        <f t="shared" si="6"/>
        <v>Valid</v>
      </c>
      <c r="T242" t="str">
        <f>IF(Table1[[#This Row],[Age]]&lt;25,"18-24",IF(Table1[[#This Row],[Age]]&lt;30,"25-29",IF(Table1[[#This Row],[Age]]&lt;35,"30-34",IF(Table1[[#This Row],[Age]]&lt;40,"35-39",IF(Table1[[#This Row],[Age]]&lt;50,"40-49","50+")))))</f>
        <v>35-39</v>
      </c>
    </row>
    <row r="243" spans="1:20" x14ac:dyDescent="0.35">
      <c r="A243">
        <v>1242</v>
      </c>
      <c r="B243" t="s">
        <v>15</v>
      </c>
      <c r="C243" t="s">
        <v>61</v>
      </c>
      <c r="D243" t="s">
        <v>17</v>
      </c>
      <c r="E243">
        <v>44</v>
      </c>
      <c r="F243" t="s">
        <v>33</v>
      </c>
      <c r="G243" t="s">
        <v>77</v>
      </c>
      <c r="H243" t="s">
        <v>56</v>
      </c>
      <c r="I243" s="1">
        <v>111398</v>
      </c>
      <c r="J243" t="s">
        <v>354</v>
      </c>
      <c r="K243" t="s">
        <v>40</v>
      </c>
      <c r="L243">
        <v>21</v>
      </c>
      <c r="M243">
        <v>2</v>
      </c>
      <c r="N243" t="s">
        <v>23</v>
      </c>
      <c r="O243" t="s">
        <v>22</v>
      </c>
      <c r="P243" t="s">
        <v>355</v>
      </c>
      <c r="Q243" s="9" t="str">
        <f t="shared" si="7"/>
        <v>Valid</v>
      </c>
      <c r="R243">
        <v>9297926707</v>
      </c>
      <c r="S243" s="7" t="str">
        <f t="shared" si="6"/>
        <v>Valid</v>
      </c>
      <c r="T243" t="str">
        <f>IF(Table1[[#This Row],[Age]]&lt;25,"18-24",IF(Table1[[#This Row],[Age]]&lt;30,"25-29",IF(Table1[[#This Row],[Age]]&lt;35,"30-34",IF(Table1[[#This Row],[Age]]&lt;40,"35-39",IF(Table1[[#This Row],[Age]]&lt;50,"40-49","50+")))))</f>
        <v>40-49</v>
      </c>
    </row>
    <row r="244" spans="1:20" x14ac:dyDescent="0.35">
      <c r="A244">
        <v>1243</v>
      </c>
      <c r="B244" t="s">
        <v>42</v>
      </c>
      <c r="C244" t="s">
        <v>43</v>
      </c>
      <c r="D244" t="s">
        <v>17</v>
      </c>
      <c r="E244">
        <v>39</v>
      </c>
      <c r="F244" t="s">
        <v>38</v>
      </c>
      <c r="G244" t="s">
        <v>55</v>
      </c>
      <c r="H244" t="s">
        <v>44</v>
      </c>
      <c r="I244" s="1">
        <v>51984</v>
      </c>
      <c r="J244" t="s">
        <v>1459</v>
      </c>
      <c r="K244" t="s">
        <v>40</v>
      </c>
      <c r="L244">
        <v>10</v>
      </c>
      <c r="M244">
        <v>4</v>
      </c>
      <c r="N244" t="s">
        <v>22</v>
      </c>
      <c r="O244" t="s">
        <v>23</v>
      </c>
      <c r="P244" t="s">
        <v>356</v>
      </c>
      <c r="Q244" s="9" t="str">
        <f t="shared" si="7"/>
        <v>Valid</v>
      </c>
      <c r="R244">
        <v>9360745864</v>
      </c>
      <c r="S244" s="7" t="str">
        <f t="shared" si="6"/>
        <v>Valid</v>
      </c>
      <c r="T244" t="str">
        <f>IF(Table1[[#This Row],[Age]]&lt;25,"18-24",IF(Table1[[#This Row],[Age]]&lt;30,"25-29",IF(Table1[[#This Row],[Age]]&lt;35,"30-34",IF(Table1[[#This Row],[Age]]&lt;40,"35-39",IF(Table1[[#This Row],[Age]]&lt;50,"40-49","50+")))))</f>
        <v>35-39</v>
      </c>
    </row>
    <row r="245" spans="1:20" x14ac:dyDescent="0.35">
      <c r="A245">
        <v>1244</v>
      </c>
      <c r="B245" t="s">
        <v>54</v>
      </c>
      <c r="C245" t="s">
        <v>16</v>
      </c>
      <c r="D245" t="s">
        <v>17</v>
      </c>
      <c r="E245">
        <v>38</v>
      </c>
      <c r="F245" t="s">
        <v>69</v>
      </c>
      <c r="G245" t="s">
        <v>34</v>
      </c>
      <c r="H245" t="s">
        <v>20</v>
      </c>
      <c r="I245" s="1">
        <v>107760</v>
      </c>
      <c r="J245" t="s">
        <v>1460</v>
      </c>
      <c r="K245" t="s">
        <v>30</v>
      </c>
      <c r="L245">
        <v>3</v>
      </c>
      <c r="M245">
        <v>5</v>
      </c>
      <c r="N245" t="s">
        <v>22</v>
      </c>
      <c r="O245" t="s">
        <v>23</v>
      </c>
      <c r="P245" t="s">
        <v>357</v>
      </c>
      <c r="Q245" s="9" t="str">
        <f t="shared" si="7"/>
        <v>Valid</v>
      </c>
      <c r="R245">
        <v>9368067928</v>
      </c>
      <c r="S245" s="7" t="str">
        <f t="shared" si="6"/>
        <v>Valid</v>
      </c>
      <c r="T245" t="str">
        <f>IF(Table1[[#This Row],[Age]]&lt;25,"18-24",IF(Table1[[#This Row],[Age]]&lt;30,"25-29",IF(Table1[[#This Row],[Age]]&lt;35,"30-34",IF(Table1[[#This Row],[Age]]&lt;40,"35-39",IF(Table1[[#This Row],[Age]]&lt;50,"40-49","50+")))))</f>
        <v>35-39</v>
      </c>
    </row>
    <row r="246" spans="1:20" x14ac:dyDescent="0.35">
      <c r="A246">
        <v>1245</v>
      </c>
      <c r="B246" t="s">
        <v>54</v>
      </c>
      <c r="C246" t="s">
        <v>43</v>
      </c>
      <c r="D246" t="s">
        <v>27</v>
      </c>
      <c r="E246">
        <v>47</v>
      </c>
      <c r="F246" t="s">
        <v>38</v>
      </c>
      <c r="G246" t="s">
        <v>19</v>
      </c>
      <c r="H246" t="s">
        <v>44</v>
      </c>
      <c r="I246" s="1">
        <v>88121</v>
      </c>
      <c r="J246" t="s">
        <v>1461</v>
      </c>
      <c r="K246" t="s">
        <v>30</v>
      </c>
      <c r="L246">
        <v>8</v>
      </c>
      <c r="M246">
        <v>3</v>
      </c>
      <c r="N246" t="s">
        <v>23</v>
      </c>
      <c r="O246" t="s">
        <v>23</v>
      </c>
      <c r="P246" t="s">
        <v>358</v>
      </c>
      <c r="Q246" s="9" t="str">
        <f t="shared" si="7"/>
        <v>Valid</v>
      </c>
      <c r="R246">
        <v>9164865665</v>
      </c>
      <c r="S246" s="7" t="str">
        <f t="shared" si="6"/>
        <v>Valid</v>
      </c>
      <c r="T246" t="str">
        <f>IF(Table1[[#This Row],[Age]]&lt;25,"18-24",IF(Table1[[#This Row],[Age]]&lt;30,"25-29",IF(Table1[[#This Row],[Age]]&lt;35,"30-34",IF(Table1[[#This Row],[Age]]&lt;40,"35-39",IF(Table1[[#This Row],[Age]]&lt;50,"40-49","50+")))))</f>
        <v>40-49</v>
      </c>
    </row>
    <row r="247" spans="1:20" x14ac:dyDescent="0.35">
      <c r="A247">
        <v>1246</v>
      </c>
      <c r="B247" t="s">
        <v>42</v>
      </c>
      <c r="C247" t="s">
        <v>61</v>
      </c>
      <c r="D247" t="s">
        <v>17</v>
      </c>
      <c r="E247">
        <v>41</v>
      </c>
      <c r="F247" t="s">
        <v>18</v>
      </c>
      <c r="G247" t="s">
        <v>34</v>
      </c>
      <c r="H247" t="s">
        <v>44</v>
      </c>
      <c r="I247" s="2" t="s">
        <v>1316</v>
      </c>
      <c r="J247" t="s">
        <v>1462</v>
      </c>
      <c r="K247" t="s">
        <v>49</v>
      </c>
      <c r="L247">
        <v>14</v>
      </c>
      <c r="M247">
        <v>5</v>
      </c>
      <c r="N247" t="s">
        <v>23</v>
      </c>
      <c r="O247" t="s">
        <v>22</v>
      </c>
      <c r="P247" t="s">
        <v>359</v>
      </c>
      <c r="Q247" s="9" t="str">
        <f t="shared" si="7"/>
        <v>Valid</v>
      </c>
      <c r="R247">
        <v>9638211599</v>
      </c>
      <c r="S247" s="7" t="str">
        <f t="shared" si="6"/>
        <v>Valid</v>
      </c>
      <c r="T247" t="str">
        <f>IF(Table1[[#This Row],[Age]]&lt;25,"18-24",IF(Table1[[#This Row],[Age]]&lt;30,"25-29",IF(Table1[[#This Row],[Age]]&lt;35,"30-34",IF(Table1[[#This Row],[Age]]&lt;40,"35-39",IF(Table1[[#This Row],[Age]]&lt;50,"40-49","50+")))))</f>
        <v>40-49</v>
      </c>
    </row>
    <row r="248" spans="1:20" x14ac:dyDescent="0.35">
      <c r="A248">
        <v>1247</v>
      </c>
      <c r="B248" t="s">
        <v>54</v>
      </c>
      <c r="C248" t="s">
        <v>16</v>
      </c>
      <c r="D248" t="s">
        <v>27</v>
      </c>
      <c r="E248">
        <v>27</v>
      </c>
      <c r="F248" t="s">
        <v>33</v>
      </c>
      <c r="G248" t="s">
        <v>77</v>
      </c>
      <c r="H248" t="s">
        <v>56</v>
      </c>
      <c r="I248" s="1">
        <v>94064</v>
      </c>
      <c r="J248" t="s">
        <v>1314</v>
      </c>
      <c r="K248" t="s">
        <v>40</v>
      </c>
      <c r="L248">
        <v>22</v>
      </c>
      <c r="M248">
        <v>3</v>
      </c>
      <c r="N248" t="s">
        <v>22</v>
      </c>
      <c r="O248" t="s">
        <v>23</v>
      </c>
      <c r="P248" t="s">
        <v>360</v>
      </c>
      <c r="Q248" s="9" t="str">
        <f t="shared" si="7"/>
        <v>Valid</v>
      </c>
      <c r="R248">
        <v>9664474787</v>
      </c>
      <c r="S248" s="7" t="str">
        <f t="shared" si="6"/>
        <v>Valid</v>
      </c>
      <c r="T248" t="str">
        <f>IF(Table1[[#This Row],[Age]]&lt;25,"18-24",IF(Table1[[#This Row],[Age]]&lt;30,"25-29",IF(Table1[[#This Row],[Age]]&lt;35,"30-34",IF(Table1[[#This Row],[Age]]&lt;40,"35-39",IF(Table1[[#This Row],[Age]]&lt;50,"40-49","50+")))))</f>
        <v>25-29</v>
      </c>
    </row>
    <row r="249" spans="1:20" x14ac:dyDescent="0.35">
      <c r="A249">
        <v>1248</v>
      </c>
      <c r="B249" t="s">
        <v>54</v>
      </c>
      <c r="C249" t="s">
        <v>32</v>
      </c>
      <c r="D249" t="s">
        <v>27</v>
      </c>
      <c r="E249">
        <v>38</v>
      </c>
      <c r="F249" t="s">
        <v>18</v>
      </c>
      <c r="G249" t="s">
        <v>19</v>
      </c>
      <c r="H249" t="s">
        <v>56</v>
      </c>
      <c r="I249" s="1">
        <v>31448</v>
      </c>
      <c r="J249" t="s">
        <v>361</v>
      </c>
      <c r="K249" t="s">
        <v>30</v>
      </c>
      <c r="L249">
        <v>19</v>
      </c>
      <c r="M249">
        <v>5</v>
      </c>
      <c r="N249" t="s">
        <v>23</v>
      </c>
      <c r="O249" t="s">
        <v>22</v>
      </c>
      <c r="P249" t="s">
        <v>362</v>
      </c>
      <c r="Q249" s="9" t="str">
        <f t="shared" si="7"/>
        <v>Valid</v>
      </c>
      <c r="R249">
        <v>9939075487</v>
      </c>
      <c r="S249" s="7" t="str">
        <f t="shared" si="6"/>
        <v>Valid</v>
      </c>
      <c r="T249" t="str">
        <f>IF(Table1[[#This Row],[Age]]&lt;25,"18-24",IF(Table1[[#This Row],[Age]]&lt;30,"25-29",IF(Table1[[#This Row],[Age]]&lt;35,"30-34",IF(Table1[[#This Row],[Age]]&lt;40,"35-39",IF(Table1[[#This Row],[Age]]&lt;50,"40-49","50+")))))</f>
        <v>35-39</v>
      </c>
    </row>
    <row r="250" spans="1:20" x14ac:dyDescent="0.35">
      <c r="A250">
        <v>1249</v>
      </c>
      <c r="B250" t="s">
        <v>42</v>
      </c>
      <c r="C250" t="s">
        <v>26</v>
      </c>
      <c r="D250" t="s">
        <v>27</v>
      </c>
      <c r="E250">
        <v>45</v>
      </c>
      <c r="F250" t="s">
        <v>18</v>
      </c>
      <c r="G250" t="s">
        <v>19</v>
      </c>
      <c r="H250" t="s">
        <v>20</v>
      </c>
      <c r="I250" s="1">
        <v>110475</v>
      </c>
      <c r="J250" t="s">
        <v>363</v>
      </c>
      <c r="K250" t="s">
        <v>40</v>
      </c>
      <c r="L250">
        <v>1</v>
      </c>
      <c r="M250">
        <v>1</v>
      </c>
      <c r="N250" t="s">
        <v>23</v>
      </c>
      <c r="O250" t="s">
        <v>22</v>
      </c>
      <c r="P250" t="s">
        <v>364</v>
      </c>
      <c r="Q250" s="9" t="str">
        <f t="shared" si="7"/>
        <v>Valid</v>
      </c>
      <c r="R250">
        <v>9500106859</v>
      </c>
      <c r="S250" s="7" t="str">
        <f t="shared" si="6"/>
        <v>Valid</v>
      </c>
      <c r="T250" t="str">
        <f>IF(Table1[[#This Row],[Age]]&lt;25,"18-24",IF(Table1[[#This Row],[Age]]&lt;30,"25-29",IF(Table1[[#This Row],[Age]]&lt;35,"30-34",IF(Table1[[#This Row],[Age]]&lt;40,"35-39",IF(Table1[[#This Row],[Age]]&lt;50,"40-49","50+")))))</f>
        <v>40-49</v>
      </c>
    </row>
    <row r="251" spans="1:20" x14ac:dyDescent="0.35">
      <c r="A251">
        <v>1250</v>
      </c>
      <c r="B251" t="s">
        <v>82</v>
      </c>
      <c r="C251" t="s">
        <v>32</v>
      </c>
      <c r="D251" t="s">
        <v>17</v>
      </c>
      <c r="E251">
        <v>46</v>
      </c>
      <c r="F251" t="s">
        <v>62</v>
      </c>
      <c r="G251" t="s">
        <v>19</v>
      </c>
      <c r="H251" t="s">
        <v>44</v>
      </c>
      <c r="I251" s="1">
        <v>75897</v>
      </c>
      <c r="J251" t="s">
        <v>1225</v>
      </c>
      <c r="K251" t="s">
        <v>46</v>
      </c>
      <c r="L251">
        <v>18</v>
      </c>
      <c r="M251">
        <v>1</v>
      </c>
      <c r="N251" t="s">
        <v>22</v>
      </c>
      <c r="O251" t="s">
        <v>23</v>
      </c>
      <c r="P251" t="s">
        <v>365</v>
      </c>
      <c r="Q251" s="9" t="str">
        <f t="shared" si="7"/>
        <v>Invalid</v>
      </c>
      <c r="R251">
        <v>9279082683</v>
      </c>
      <c r="S251" s="7" t="str">
        <f t="shared" si="6"/>
        <v>Valid</v>
      </c>
      <c r="T251" t="str">
        <f>IF(Table1[[#This Row],[Age]]&lt;25,"18-24",IF(Table1[[#This Row],[Age]]&lt;30,"25-29",IF(Table1[[#This Row],[Age]]&lt;35,"30-34",IF(Table1[[#This Row],[Age]]&lt;40,"35-39",IF(Table1[[#This Row],[Age]]&lt;50,"40-49","50+")))))</f>
        <v>40-49</v>
      </c>
    </row>
    <row r="252" spans="1:20" x14ac:dyDescent="0.35">
      <c r="A252">
        <v>1251</v>
      </c>
      <c r="B252" t="s">
        <v>37</v>
      </c>
      <c r="C252" t="s">
        <v>61</v>
      </c>
      <c r="D252" t="s">
        <v>27</v>
      </c>
      <c r="E252">
        <v>48</v>
      </c>
      <c r="F252" t="s">
        <v>38</v>
      </c>
      <c r="G252" t="s">
        <v>39</v>
      </c>
      <c r="H252" t="s">
        <v>20</v>
      </c>
      <c r="I252" s="1">
        <v>93429</v>
      </c>
      <c r="J252" t="s">
        <v>1463</v>
      </c>
      <c r="K252" t="s">
        <v>46</v>
      </c>
      <c r="L252">
        <v>8</v>
      </c>
      <c r="M252">
        <v>5</v>
      </c>
      <c r="N252" t="s">
        <v>22</v>
      </c>
      <c r="O252" t="s">
        <v>22</v>
      </c>
      <c r="P252" t="s">
        <v>366</v>
      </c>
      <c r="Q252" s="9" t="str">
        <f t="shared" si="7"/>
        <v>Valid</v>
      </c>
      <c r="R252">
        <v>9488747618</v>
      </c>
      <c r="S252" s="7" t="str">
        <f t="shared" si="6"/>
        <v>Valid</v>
      </c>
      <c r="T252" t="str">
        <f>IF(Table1[[#This Row],[Age]]&lt;25,"18-24",IF(Table1[[#This Row],[Age]]&lt;30,"25-29",IF(Table1[[#This Row],[Age]]&lt;35,"30-34",IF(Table1[[#This Row],[Age]]&lt;40,"35-39",IF(Table1[[#This Row],[Age]]&lt;50,"40-49","50+")))))</f>
        <v>40-49</v>
      </c>
    </row>
    <row r="253" spans="1:20" x14ac:dyDescent="0.35">
      <c r="A253">
        <v>1252</v>
      </c>
      <c r="B253" t="s">
        <v>60</v>
      </c>
      <c r="C253" t="s">
        <v>16</v>
      </c>
      <c r="D253" t="s">
        <v>17</v>
      </c>
      <c r="E253">
        <v>58</v>
      </c>
      <c r="F253" t="s">
        <v>62</v>
      </c>
      <c r="G253" t="s">
        <v>34</v>
      </c>
      <c r="H253" t="s">
        <v>44</v>
      </c>
      <c r="I253" s="1">
        <v>63873</v>
      </c>
      <c r="J253" t="s">
        <v>367</v>
      </c>
      <c r="K253" t="s">
        <v>30</v>
      </c>
      <c r="L253">
        <v>20</v>
      </c>
      <c r="M253">
        <v>1</v>
      </c>
      <c r="N253" t="s">
        <v>23</v>
      </c>
      <c r="O253" t="s">
        <v>23</v>
      </c>
      <c r="P253" t="s">
        <v>368</v>
      </c>
      <c r="Q253" s="9" t="str">
        <f t="shared" si="7"/>
        <v>Valid</v>
      </c>
      <c r="R253">
        <v>9998620256</v>
      </c>
      <c r="S253" s="7" t="str">
        <f t="shared" si="6"/>
        <v>Valid</v>
      </c>
      <c r="T253" t="str">
        <f>IF(Table1[[#This Row],[Age]]&lt;25,"18-24",IF(Table1[[#This Row],[Age]]&lt;30,"25-29",IF(Table1[[#This Row],[Age]]&lt;35,"30-34",IF(Table1[[#This Row],[Age]]&lt;40,"35-39",IF(Table1[[#This Row],[Age]]&lt;50,"40-49","50+")))))</f>
        <v>50+</v>
      </c>
    </row>
    <row r="254" spans="1:20" x14ac:dyDescent="0.35">
      <c r="A254">
        <v>1253</v>
      </c>
      <c r="B254" t="s">
        <v>58</v>
      </c>
      <c r="C254" t="s">
        <v>32</v>
      </c>
      <c r="D254" t="s">
        <v>27</v>
      </c>
      <c r="E254">
        <v>23</v>
      </c>
      <c r="F254" t="s">
        <v>62</v>
      </c>
      <c r="G254" t="s">
        <v>55</v>
      </c>
      <c r="H254" t="s">
        <v>20</v>
      </c>
      <c r="I254" s="1">
        <v>29432</v>
      </c>
      <c r="J254" t="s">
        <v>369</v>
      </c>
      <c r="K254" t="s">
        <v>46</v>
      </c>
      <c r="L254">
        <v>8</v>
      </c>
      <c r="M254">
        <v>1</v>
      </c>
      <c r="N254" t="s">
        <v>22</v>
      </c>
      <c r="O254" t="s">
        <v>22</v>
      </c>
      <c r="P254" t="s">
        <v>370</v>
      </c>
      <c r="Q254" s="9" t="str">
        <f t="shared" si="7"/>
        <v>Valid</v>
      </c>
      <c r="R254">
        <v>9885533770</v>
      </c>
      <c r="S254" s="7" t="str">
        <f t="shared" si="6"/>
        <v>Valid</v>
      </c>
      <c r="T254" t="str">
        <f>IF(Table1[[#This Row],[Age]]&lt;25,"18-24",IF(Table1[[#This Row],[Age]]&lt;30,"25-29",IF(Table1[[#This Row],[Age]]&lt;35,"30-34",IF(Table1[[#This Row],[Age]]&lt;40,"35-39",IF(Table1[[#This Row],[Age]]&lt;50,"40-49","50+")))))</f>
        <v>18-24</v>
      </c>
    </row>
    <row r="255" spans="1:20" x14ac:dyDescent="0.35">
      <c r="A255">
        <v>1254</v>
      </c>
      <c r="B255" t="s">
        <v>64</v>
      </c>
      <c r="C255" t="s">
        <v>43</v>
      </c>
      <c r="D255" t="s">
        <v>27</v>
      </c>
      <c r="E255">
        <v>34</v>
      </c>
      <c r="F255" t="s">
        <v>69</v>
      </c>
      <c r="G255" t="s">
        <v>77</v>
      </c>
      <c r="H255" t="s">
        <v>56</v>
      </c>
      <c r="I255" s="1">
        <v>34046</v>
      </c>
      <c r="J255" t="s">
        <v>1464</v>
      </c>
      <c r="K255" t="s">
        <v>49</v>
      </c>
      <c r="L255">
        <v>14</v>
      </c>
      <c r="M255">
        <v>3</v>
      </c>
      <c r="N255" t="s">
        <v>22</v>
      </c>
      <c r="O255" t="s">
        <v>23</v>
      </c>
      <c r="P255" t="s">
        <v>371</v>
      </c>
      <c r="Q255" s="9" t="str">
        <f t="shared" si="7"/>
        <v>Valid</v>
      </c>
      <c r="R255">
        <v>9798380923</v>
      </c>
      <c r="S255" s="7" t="str">
        <f t="shared" si="6"/>
        <v>Valid</v>
      </c>
      <c r="T255" t="str">
        <f>IF(Table1[[#This Row],[Age]]&lt;25,"18-24",IF(Table1[[#This Row],[Age]]&lt;30,"25-29",IF(Table1[[#This Row],[Age]]&lt;35,"30-34",IF(Table1[[#This Row],[Age]]&lt;40,"35-39",IF(Table1[[#This Row],[Age]]&lt;50,"40-49","50+")))))</f>
        <v>30-34</v>
      </c>
    </row>
    <row r="256" spans="1:20" x14ac:dyDescent="0.35">
      <c r="A256">
        <v>1255</v>
      </c>
      <c r="B256" t="s">
        <v>82</v>
      </c>
      <c r="C256" t="s">
        <v>32</v>
      </c>
      <c r="D256" t="s">
        <v>17</v>
      </c>
      <c r="E256">
        <v>41</v>
      </c>
      <c r="F256" t="s">
        <v>69</v>
      </c>
      <c r="G256" t="s">
        <v>34</v>
      </c>
      <c r="H256" t="s">
        <v>20</v>
      </c>
      <c r="I256" s="1">
        <v>110358</v>
      </c>
      <c r="J256" t="s">
        <v>1465</v>
      </c>
      <c r="K256" t="s">
        <v>40</v>
      </c>
      <c r="L256">
        <v>1</v>
      </c>
      <c r="M256">
        <v>5</v>
      </c>
      <c r="N256" t="s">
        <v>22</v>
      </c>
      <c r="O256" t="s">
        <v>23</v>
      </c>
      <c r="P256" t="s">
        <v>372</v>
      </c>
      <c r="Q256" s="9" t="str">
        <f t="shared" si="7"/>
        <v>Valid</v>
      </c>
      <c r="R256">
        <v>9103311959</v>
      </c>
      <c r="S256" s="7" t="str">
        <f t="shared" si="6"/>
        <v>Valid</v>
      </c>
      <c r="T256" t="str">
        <f>IF(Table1[[#This Row],[Age]]&lt;25,"18-24",IF(Table1[[#This Row],[Age]]&lt;30,"25-29",IF(Table1[[#This Row],[Age]]&lt;35,"30-34",IF(Table1[[#This Row],[Age]]&lt;40,"35-39",IF(Table1[[#This Row],[Age]]&lt;50,"40-49","50+")))))</f>
        <v>40-49</v>
      </c>
    </row>
    <row r="257" spans="1:20" x14ac:dyDescent="0.35">
      <c r="A257">
        <v>1256</v>
      </c>
      <c r="B257" t="s">
        <v>82</v>
      </c>
      <c r="C257" t="s">
        <v>16</v>
      </c>
      <c r="D257" t="s">
        <v>17</v>
      </c>
      <c r="E257">
        <v>53</v>
      </c>
      <c r="F257" t="s">
        <v>33</v>
      </c>
      <c r="G257" t="s">
        <v>55</v>
      </c>
      <c r="H257" t="s">
        <v>56</v>
      </c>
      <c r="I257" s="1">
        <v>111018</v>
      </c>
      <c r="J257" t="s">
        <v>1466</v>
      </c>
      <c r="K257" t="s">
        <v>46</v>
      </c>
      <c r="L257">
        <v>0</v>
      </c>
      <c r="M257">
        <v>2</v>
      </c>
      <c r="N257" t="s">
        <v>23</v>
      </c>
      <c r="O257" t="s">
        <v>22</v>
      </c>
      <c r="P257" t="s">
        <v>373</v>
      </c>
      <c r="Q257" s="9" t="str">
        <f t="shared" si="7"/>
        <v>Valid</v>
      </c>
      <c r="R257">
        <v>9620943055</v>
      </c>
      <c r="S257" s="7" t="str">
        <f t="shared" si="6"/>
        <v>Valid</v>
      </c>
      <c r="T257" t="str">
        <f>IF(Table1[[#This Row],[Age]]&lt;25,"18-24",IF(Table1[[#This Row],[Age]]&lt;30,"25-29",IF(Table1[[#This Row],[Age]]&lt;35,"30-34",IF(Table1[[#This Row],[Age]]&lt;40,"35-39",IF(Table1[[#This Row],[Age]]&lt;50,"40-49","50+")))))</f>
        <v>50+</v>
      </c>
    </row>
    <row r="258" spans="1:20" x14ac:dyDescent="0.35">
      <c r="A258">
        <v>1257</v>
      </c>
      <c r="B258" t="s">
        <v>60</v>
      </c>
      <c r="C258" t="s">
        <v>43</v>
      </c>
      <c r="D258" t="s">
        <v>27</v>
      </c>
      <c r="E258">
        <v>35</v>
      </c>
      <c r="F258" t="s">
        <v>38</v>
      </c>
      <c r="G258" t="s">
        <v>39</v>
      </c>
      <c r="H258" t="s">
        <v>28</v>
      </c>
      <c r="I258" s="1">
        <v>115631</v>
      </c>
      <c r="J258" t="s">
        <v>374</v>
      </c>
      <c r="K258" t="s">
        <v>40</v>
      </c>
      <c r="L258">
        <v>4</v>
      </c>
      <c r="M258">
        <v>3</v>
      </c>
      <c r="N258" t="s">
        <v>22</v>
      </c>
      <c r="O258" t="s">
        <v>22</v>
      </c>
      <c r="P258" t="s">
        <v>375</v>
      </c>
      <c r="Q258" s="9" t="str">
        <f t="shared" si="7"/>
        <v>Valid</v>
      </c>
      <c r="R258">
        <v>9797553624</v>
      </c>
      <c r="S258" s="7" t="str">
        <f t="shared" ref="S258:S321" si="8">IF(AND(ISNUMBER(R258),LEN(R258)=10),"Valid","Invalid")</f>
        <v>Valid</v>
      </c>
      <c r="T258" t="str">
        <f>IF(Table1[[#This Row],[Age]]&lt;25,"18-24",IF(Table1[[#This Row],[Age]]&lt;30,"25-29",IF(Table1[[#This Row],[Age]]&lt;35,"30-34",IF(Table1[[#This Row],[Age]]&lt;40,"35-39",IF(Table1[[#This Row],[Age]]&lt;50,"40-49","50+")))))</f>
        <v>35-39</v>
      </c>
    </row>
    <row r="259" spans="1:20" x14ac:dyDescent="0.35">
      <c r="A259">
        <v>1258</v>
      </c>
      <c r="B259" t="s">
        <v>64</v>
      </c>
      <c r="C259" t="s">
        <v>43</v>
      </c>
      <c r="D259" t="s">
        <v>17</v>
      </c>
      <c r="E259">
        <v>23</v>
      </c>
      <c r="F259" t="s">
        <v>38</v>
      </c>
      <c r="G259" t="s">
        <v>55</v>
      </c>
      <c r="H259" t="s">
        <v>56</v>
      </c>
      <c r="I259" s="1">
        <v>100276</v>
      </c>
      <c r="J259" t="s">
        <v>1467</v>
      </c>
      <c r="K259" t="s">
        <v>49</v>
      </c>
      <c r="L259">
        <v>24</v>
      </c>
      <c r="M259">
        <v>3</v>
      </c>
      <c r="N259" t="s">
        <v>23</v>
      </c>
      <c r="O259" t="s">
        <v>22</v>
      </c>
      <c r="P259" t="s">
        <v>376</v>
      </c>
      <c r="Q259" s="9" t="str">
        <f t="shared" ref="Q259:Q322" si="9">IF(AND(ISNUMBER(SEARCH("@",P259)),ISNUMBER(SEARCH(".",P259))),"Valid","Invalid")</f>
        <v>Valid</v>
      </c>
      <c r="R259">
        <v>9963587059</v>
      </c>
      <c r="S259" s="7" t="str">
        <f t="shared" si="8"/>
        <v>Valid</v>
      </c>
      <c r="T259" t="str">
        <f>IF(Table1[[#This Row],[Age]]&lt;25,"18-24",IF(Table1[[#This Row],[Age]]&lt;30,"25-29",IF(Table1[[#This Row],[Age]]&lt;35,"30-34",IF(Table1[[#This Row],[Age]]&lt;40,"35-39",IF(Table1[[#This Row],[Age]]&lt;50,"40-49","50+")))))</f>
        <v>18-24</v>
      </c>
    </row>
    <row r="260" spans="1:20" x14ac:dyDescent="0.35">
      <c r="A260">
        <v>1259</v>
      </c>
      <c r="B260" t="s">
        <v>60</v>
      </c>
      <c r="C260" t="s">
        <v>32</v>
      </c>
      <c r="D260" t="s">
        <v>27</v>
      </c>
      <c r="E260">
        <v>38</v>
      </c>
      <c r="F260" t="s">
        <v>38</v>
      </c>
      <c r="G260" t="s">
        <v>55</v>
      </c>
      <c r="H260" t="s">
        <v>28</v>
      </c>
      <c r="I260" s="1">
        <v>67898</v>
      </c>
      <c r="J260" t="s">
        <v>377</v>
      </c>
      <c r="K260" t="s">
        <v>49</v>
      </c>
      <c r="L260">
        <v>23</v>
      </c>
      <c r="M260">
        <v>2</v>
      </c>
      <c r="N260" t="s">
        <v>22</v>
      </c>
      <c r="O260" t="s">
        <v>23</v>
      </c>
      <c r="P260" t="s">
        <v>378</v>
      </c>
      <c r="Q260" s="9" t="str">
        <f t="shared" si="9"/>
        <v>Valid</v>
      </c>
      <c r="R260">
        <v>9870596439</v>
      </c>
      <c r="S260" s="7" t="str">
        <f t="shared" si="8"/>
        <v>Valid</v>
      </c>
      <c r="T260" t="str">
        <f>IF(Table1[[#This Row],[Age]]&lt;25,"18-24",IF(Table1[[#This Row],[Age]]&lt;30,"25-29",IF(Table1[[#This Row],[Age]]&lt;35,"30-34",IF(Table1[[#This Row],[Age]]&lt;40,"35-39",IF(Table1[[#This Row],[Age]]&lt;50,"40-49","50+")))))</f>
        <v>35-39</v>
      </c>
    </row>
    <row r="261" spans="1:20" x14ac:dyDescent="0.35">
      <c r="A261">
        <v>1260</v>
      </c>
      <c r="B261" t="s">
        <v>82</v>
      </c>
      <c r="C261" t="s">
        <v>16</v>
      </c>
      <c r="D261" t="s">
        <v>27</v>
      </c>
      <c r="E261">
        <v>42</v>
      </c>
      <c r="F261" t="s">
        <v>38</v>
      </c>
      <c r="G261" t="s">
        <v>19</v>
      </c>
      <c r="H261" t="s">
        <v>28</v>
      </c>
      <c r="I261" s="1">
        <v>84788</v>
      </c>
      <c r="J261" t="s">
        <v>1468</v>
      </c>
      <c r="K261" t="s">
        <v>40</v>
      </c>
      <c r="L261">
        <v>0</v>
      </c>
      <c r="M261">
        <v>5</v>
      </c>
      <c r="N261" t="s">
        <v>22</v>
      </c>
      <c r="O261" t="s">
        <v>23</v>
      </c>
      <c r="P261" t="s">
        <v>379</v>
      </c>
      <c r="Q261" s="9" t="str">
        <f t="shared" si="9"/>
        <v>Valid</v>
      </c>
      <c r="R261">
        <v>9526495273</v>
      </c>
      <c r="S261" s="7" t="str">
        <f t="shared" si="8"/>
        <v>Valid</v>
      </c>
      <c r="T261" t="str">
        <f>IF(Table1[[#This Row],[Age]]&lt;25,"18-24",IF(Table1[[#This Row],[Age]]&lt;30,"25-29",IF(Table1[[#This Row],[Age]]&lt;35,"30-34",IF(Table1[[#This Row],[Age]]&lt;40,"35-39",IF(Table1[[#This Row],[Age]]&lt;50,"40-49","50+")))))</f>
        <v>40-49</v>
      </c>
    </row>
    <row r="262" spans="1:20" x14ac:dyDescent="0.35">
      <c r="A262">
        <v>1261</v>
      </c>
      <c r="B262" t="s">
        <v>42</v>
      </c>
      <c r="C262" t="s">
        <v>61</v>
      </c>
      <c r="D262" t="s">
        <v>27</v>
      </c>
      <c r="E262">
        <v>49</v>
      </c>
      <c r="F262" t="s">
        <v>18</v>
      </c>
      <c r="G262" t="s">
        <v>34</v>
      </c>
      <c r="H262" t="s">
        <v>56</v>
      </c>
      <c r="I262" s="1">
        <v>31047</v>
      </c>
      <c r="J262" t="s">
        <v>1469</v>
      </c>
      <c r="K262" t="s">
        <v>49</v>
      </c>
      <c r="L262">
        <v>25</v>
      </c>
      <c r="M262">
        <v>2</v>
      </c>
      <c r="N262" t="s">
        <v>23</v>
      </c>
      <c r="O262" t="s">
        <v>22</v>
      </c>
      <c r="P262" t="s">
        <v>380</v>
      </c>
      <c r="Q262" s="9" t="str">
        <f t="shared" si="9"/>
        <v>Valid</v>
      </c>
      <c r="R262">
        <v>9832563164</v>
      </c>
      <c r="S262" s="7" t="str">
        <f t="shared" si="8"/>
        <v>Valid</v>
      </c>
      <c r="T262" t="str">
        <f>IF(Table1[[#This Row],[Age]]&lt;25,"18-24",IF(Table1[[#This Row],[Age]]&lt;30,"25-29",IF(Table1[[#This Row],[Age]]&lt;35,"30-34",IF(Table1[[#This Row],[Age]]&lt;40,"35-39",IF(Table1[[#This Row],[Age]]&lt;50,"40-49","50+")))))</f>
        <v>40-49</v>
      </c>
    </row>
    <row r="263" spans="1:20" x14ac:dyDescent="0.35">
      <c r="A263">
        <v>1262</v>
      </c>
      <c r="B263" t="s">
        <v>37</v>
      </c>
      <c r="C263" t="s">
        <v>43</v>
      </c>
      <c r="D263" t="s">
        <v>17</v>
      </c>
      <c r="E263">
        <v>46</v>
      </c>
      <c r="F263" t="s">
        <v>62</v>
      </c>
      <c r="G263" t="s">
        <v>39</v>
      </c>
      <c r="H263" t="s">
        <v>35</v>
      </c>
      <c r="I263" s="1">
        <v>43948</v>
      </c>
      <c r="J263" t="s">
        <v>1470</v>
      </c>
      <c r="K263" t="s">
        <v>30</v>
      </c>
      <c r="L263">
        <v>9</v>
      </c>
      <c r="M263">
        <v>3</v>
      </c>
      <c r="N263" t="s">
        <v>22</v>
      </c>
      <c r="O263" t="s">
        <v>22</v>
      </c>
      <c r="P263" t="s">
        <v>381</v>
      </c>
      <c r="Q263" s="9" t="str">
        <f t="shared" si="9"/>
        <v>Valid</v>
      </c>
      <c r="R263">
        <v>9689431300</v>
      </c>
      <c r="S263" s="7" t="str">
        <f t="shared" si="8"/>
        <v>Valid</v>
      </c>
      <c r="T263" t="str">
        <f>IF(Table1[[#This Row],[Age]]&lt;25,"18-24",IF(Table1[[#This Row],[Age]]&lt;30,"25-29",IF(Table1[[#This Row],[Age]]&lt;35,"30-34",IF(Table1[[#This Row],[Age]]&lt;40,"35-39",IF(Table1[[#This Row],[Age]]&lt;50,"40-49","50+")))))</f>
        <v>40-49</v>
      </c>
    </row>
    <row r="264" spans="1:20" x14ac:dyDescent="0.35">
      <c r="A264">
        <v>1263</v>
      </c>
      <c r="B264" t="s">
        <v>67</v>
      </c>
      <c r="C264" t="s">
        <v>43</v>
      </c>
      <c r="D264" t="s">
        <v>17</v>
      </c>
      <c r="E264">
        <v>45</v>
      </c>
      <c r="F264" t="s">
        <v>33</v>
      </c>
      <c r="G264" t="s">
        <v>77</v>
      </c>
      <c r="H264" t="s">
        <v>35</v>
      </c>
      <c r="I264" s="2" t="s">
        <v>1316</v>
      </c>
      <c r="J264" t="s">
        <v>382</v>
      </c>
      <c r="K264" t="s">
        <v>21</v>
      </c>
      <c r="L264">
        <v>25</v>
      </c>
      <c r="M264">
        <v>3</v>
      </c>
      <c r="N264" t="s">
        <v>22</v>
      </c>
      <c r="O264" t="s">
        <v>22</v>
      </c>
      <c r="P264" t="s">
        <v>383</v>
      </c>
      <c r="Q264" s="9" t="str">
        <f t="shared" si="9"/>
        <v>Valid</v>
      </c>
      <c r="R264">
        <v>9118398587</v>
      </c>
      <c r="S264" s="7" t="str">
        <f t="shared" si="8"/>
        <v>Valid</v>
      </c>
      <c r="T264" t="str">
        <f>IF(Table1[[#This Row],[Age]]&lt;25,"18-24",IF(Table1[[#This Row],[Age]]&lt;30,"25-29",IF(Table1[[#This Row],[Age]]&lt;35,"30-34",IF(Table1[[#This Row],[Age]]&lt;40,"35-39",IF(Table1[[#This Row],[Age]]&lt;50,"40-49","50+")))))</f>
        <v>40-49</v>
      </c>
    </row>
    <row r="265" spans="1:20" x14ac:dyDescent="0.35">
      <c r="A265">
        <v>1264</v>
      </c>
      <c r="B265" t="s">
        <v>54</v>
      </c>
      <c r="C265" t="s">
        <v>61</v>
      </c>
      <c r="D265" t="s">
        <v>17</v>
      </c>
      <c r="E265">
        <v>57</v>
      </c>
      <c r="F265" t="s">
        <v>33</v>
      </c>
      <c r="G265" t="s">
        <v>77</v>
      </c>
      <c r="H265" t="s">
        <v>20</v>
      </c>
      <c r="I265" s="1">
        <v>49673</v>
      </c>
      <c r="J265" t="s">
        <v>1471</v>
      </c>
      <c r="K265" t="s">
        <v>46</v>
      </c>
      <c r="L265">
        <v>16</v>
      </c>
      <c r="M265">
        <v>4</v>
      </c>
      <c r="N265" t="s">
        <v>23</v>
      </c>
      <c r="O265" t="s">
        <v>22</v>
      </c>
      <c r="P265" t="s">
        <v>384</v>
      </c>
      <c r="Q265" s="9" t="str">
        <f t="shared" si="9"/>
        <v>Valid</v>
      </c>
      <c r="R265">
        <v>9110030778</v>
      </c>
      <c r="S265" s="7" t="str">
        <f t="shared" si="8"/>
        <v>Valid</v>
      </c>
      <c r="T265" t="str">
        <f>IF(Table1[[#This Row],[Age]]&lt;25,"18-24",IF(Table1[[#This Row],[Age]]&lt;30,"25-29",IF(Table1[[#This Row],[Age]]&lt;35,"30-34",IF(Table1[[#This Row],[Age]]&lt;40,"35-39",IF(Table1[[#This Row],[Age]]&lt;50,"40-49","50+")))))</f>
        <v>50+</v>
      </c>
    </row>
    <row r="266" spans="1:20" x14ac:dyDescent="0.35">
      <c r="A266">
        <v>1265</v>
      </c>
      <c r="B266" t="s">
        <v>82</v>
      </c>
      <c r="C266" t="s">
        <v>43</v>
      </c>
      <c r="D266" t="s">
        <v>17</v>
      </c>
      <c r="E266">
        <v>47</v>
      </c>
      <c r="F266" t="s">
        <v>33</v>
      </c>
      <c r="G266" t="s">
        <v>77</v>
      </c>
      <c r="H266" t="s">
        <v>56</v>
      </c>
      <c r="I266" s="1">
        <v>76561</v>
      </c>
      <c r="J266" t="s">
        <v>385</v>
      </c>
      <c r="K266" t="s">
        <v>40</v>
      </c>
      <c r="L266">
        <v>23</v>
      </c>
      <c r="M266">
        <v>2</v>
      </c>
      <c r="N266" t="s">
        <v>23</v>
      </c>
      <c r="O266" t="s">
        <v>22</v>
      </c>
      <c r="P266" t="s">
        <v>386</v>
      </c>
      <c r="Q266" s="9" t="str">
        <f t="shared" si="9"/>
        <v>Valid</v>
      </c>
      <c r="R266">
        <v>9183927589</v>
      </c>
      <c r="S266" s="7" t="str">
        <f t="shared" si="8"/>
        <v>Valid</v>
      </c>
      <c r="T266" t="str">
        <f>IF(Table1[[#This Row],[Age]]&lt;25,"18-24",IF(Table1[[#This Row],[Age]]&lt;30,"25-29",IF(Table1[[#This Row],[Age]]&lt;35,"30-34",IF(Table1[[#This Row],[Age]]&lt;40,"35-39",IF(Table1[[#This Row],[Age]]&lt;50,"40-49","50+")))))</f>
        <v>40-49</v>
      </c>
    </row>
    <row r="267" spans="1:20" x14ac:dyDescent="0.35">
      <c r="A267">
        <v>1266</v>
      </c>
      <c r="B267" t="s">
        <v>42</v>
      </c>
      <c r="C267" t="s">
        <v>16</v>
      </c>
      <c r="D267" t="s">
        <v>27</v>
      </c>
      <c r="E267">
        <v>38</v>
      </c>
      <c r="F267" t="s">
        <v>69</v>
      </c>
      <c r="G267" t="s">
        <v>34</v>
      </c>
      <c r="H267" t="s">
        <v>28</v>
      </c>
      <c r="I267" s="1">
        <v>54450</v>
      </c>
      <c r="J267" t="s">
        <v>1472</v>
      </c>
      <c r="K267" t="s">
        <v>40</v>
      </c>
      <c r="L267">
        <v>14</v>
      </c>
      <c r="M267">
        <v>2</v>
      </c>
      <c r="N267" t="s">
        <v>22</v>
      </c>
      <c r="O267" t="s">
        <v>22</v>
      </c>
      <c r="P267" t="s">
        <v>387</v>
      </c>
      <c r="Q267" s="9" t="str">
        <f t="shared" si="9"/>
        <v>Valid</v>
      </c>
      <c r="R267">
        <v>9644011136</v>
      </c>
      <c r="S267" s="7" t="str">
        <f t="shared" si="8"/>
        <v>Valid</v>
      </c>
      <c r="T267" t="str">
        <f>IF(Table1[[#This Row],[Age]]&lt;25,"18-24",IF(Table1[[#This Row],[Age]]&lt;30,"25-29",IF(Table1[[#This Row],[Age]]&lt;35,"30-34",IF(Table1[[#This Row],[Age]]&lt;40,"35-39",IF(Table1[[#This Row],[Age]]&lt;50,"40-49","50+")))))</f>
        <v>35-39</v>
      </c>
    </row>
    <row r="268" spans="1:20" x14ac:dyDescent="0.35">
      <c r="A268">
        <v>1267</v>
      </c>
      <c r="B268" t="s">
        <v>15</v>
      </c>
      <c r="C268" t="s">
        <v>16</v>
      </c>
      <c r="D268" t="s">
        <v>27</v>
      </c>
      <c r="E268">
        <v>33</v>
      </c>
      <c r="F268" t="s">
        <v>18</v>
      </c>
      <c r="G268" t="s">
        <v>55</v>
      </c>
      <c r="H268" t="s">
        <v>28</v>
      </c>
      <c r="I268" s="1">
        <v>116939</v>
      </c>
      <c r="J268" t="s">
        <v>1473</v>
      </c>
      <c r="K268" t="s">
        <v>46</v>
      </c>
      <c r="L268">
        <v>9</v>
      </c>
      <c r="M268">
        <v>2</v>
      </c>
      <c r="N268" t="s">
        <v>22</v>
      </c>
      <c r="O268" t="s">
        <v>22</v>
      </c>
      <c r="P268" t="s">
        <v>388</v>
      </c>
      <c r="Q268" s="9" t="str">
        <f t="shared" si="9"/>
        <v>Valid</v>
      </c>
      <c r="R268">
        <v>9727932285</v>
      </c>
      <c r="S268" s="7" t="str">
        <f t="shared" si="8"/>
        <v>Valid</v>
      </c>
      <c r="T268" t="str">
        <f>IF(Table1[[#This Row],[Age]]&lt;25,"18-24",IF(Table1[[#This Row],[Age]]&lt;30,"25-29",IF(Table1[[#This Row],[Age]]&lt;35,"30-34",IF(Table1[[#This Row],[Age]]&lt;40,"35-39",IF(Table1[[#This Row],[Age]]&lt;50,"40-49","50+")))))</f>
        <v>30-34</v>
      </c>
    </row>
    <row r="269" spans="1:20" x14ac:dyDescent="0.35">
      <c r="A269">
        <v>1268</v>
      </c>
      <c r="B269" t="s">
        <v>67</v>
      </c>
      <c r="C269" t="s">
        <v>26</v>
      </c>
      <c r="D269" t="s">
        <v>27</v>
      </c>
      <c r="E269">
        <v>56</v>
      </c>
      <c r="F269" t="s">
        <v>18</v>
      </c>
      <c r="G269" t="s">
        <v>39</v>
      </c>
      <c r="H269" t="s">
        <v>56</v>
      </c>
      <c r="I269" s="1">
        <v>43261</v>
      </c>
      <c r="J269" t="s">
        <v>389</v>
      </c>
      <c r="K269" t="s">
        <v>21</v>
      </c>
      <c r="L269">
        <v>17</v>
      </c>
      <c r="M269">
        <v>4</v>
      </c>
      <c r="N269" t="s">
        <v>22</v>
      </c>
      <c r="O269" t="s">
        <v>22</v>
      </c>
      <c r="P269" t="s">
        <v>390</v>
      </c>
      <c r="Q269" s="9" t="str">
        <f t="shared" si="9"/>
        <v>Valid</v>
      </c>
      <c r="R269">
        <v>9143479959</v>
      </c>
      <c r="S269" s="7" t="str">
        <f t="shared" si="8"/>
        <v>Valid</v>
      </c>
      <c r="T269" t="str">
        <f>IF(Table1[[#This Row],[Age]]&lt;25,"18-24",IF(Table1[[#This Row],[Age]]&lt;30,"25-29",IF(Table1[[#This Row],[Age]]&lt;35,"30-34",IF(Table1[[#This Row],[Age]]&lt;40,"35-39",IF(Table1[[#This Row],[Age]]&lt;50,"40-49","50+")))))</f>
        <v>50+</v>
      </c>
    </row>
    <row r="270" spans="1:20" x14ac:dyDescent="0.35">
      <c r="A270">
        <v>1269</v>
      </c>
      <c r="B270" t="s">
        <v>58</v>
      </c>
      <c r="C270" t="s">
        <v>43</v>
      </c>
      <c r="D270" t="s">
        <v>27</v>
      </c>
      <c r="E270">
        <v>28</v>
      </c>
      <c r="F270" t="s">
        <v>38</v>
      </c>
      <c r="G270" t="s">
        <v>55</v>
      </c>
      <c r="H270" t="s">
        <v>28</v>
      </c>
      <c r="I270" s="1">
        <v>119990</v>
      </c>
      <c r="J270" t="s">
        <v>391</v>
      </c>
      <c r="K270" t="s">
        <v>46</v>
      </c>
      <c r="L270">
        <v>11</v>
      </c>
      <c r="M270">
        <v>3</v>
      </c>
      <c r="N270" t="s">
        <v>23</v>
      </c>
      <c r="O270" t="s">
        <v>23</v>
      </c>
      <c r="P270" t="s">
        <v>392</v>
      </c>
      <c r="Q270" s="9" t="str">
        <f t="shared" si="9"/>
        <v>Valid</v>
      </c>
      <c r="R270">
        <v>9683527023</v>
      </c>
      <c r="S270" s="7" t="str">
        <f t="shared" si="8"/>
        <v>Valid</v>
      </c>
      <c r="T270" t="str">
        <f>IF(Table1[[#This Row],[Age]]&lt;25,"18-24",IF(Table1[[#This Row],[Age]]&lt;30,"25-29",IF(Table1[[#This Row],[Age]]&lt;35,"30-34",IF(Table1[[#This Row],[Age]]&lt;40,"35-39",IF(Table1[[#This Row],[Age]]&lt;50,"40-49","50+")))))</f>
        <v>25-29</v>
      </c>
    </row>
    <row r="271" spans="1:20" x14ac:dyDescent="0.35">
      <c r="A271">
        <v>1270</v>
      </c>
      <c r="B271" t="s">
        <v>64</v>
      </c>
      <c r="C271" t="s">
        <v>16</v>
      </c>
      <c r="D271" t="s">
        <v>27</v>
      </c>
      <c r="E271">
        <v>45</v>
      </c>
      <c r="F271" t="s">
        <v>69</v>
      </c>
      <c r="G271" t="s">
        <v>39</v>
      </c>
      <c r="H271" t="s">
        <v>56</v>
      </c>
      <c r="I271" s="1">
        <v>59906</v>
      </c>
      <c r="J271" t="s">
        <v>1474</v>
      </c>
      <c r="K271" t="s">
        <v>30</v>
      </c>
      <c r="L271">
        <v>21</v>
      </c>
      <c r="M271">
        <v>4</v>
      </c>
      <c r="N271" t="s">
        <v>22</v>
      </c>
      <c r="O271" t="s">
        <v>23</v>
      </c>
      <c r="P271" t="s">
        <v>393</v>
      </c>
      <c r="Q271" s="9" t="str">
        <f t="shared" si="9"/>
        <v>Valid</v>
      </c>
      <c r="R271">
        <v>9367635501</v>
      </c>
      <c r="S271" s="7" t="str">
        <f t="shared" si="8"/>
        <v>Valid</v>
      </c>
      <c r="T271" t="str">
        <f>IF(Table1[[#This Row],[Age]]&lt;25,"18-24",IF(Table1[[#This Row],[Age]]&lt;30,"25-29",IF(Table1[[#This Row],[Age]]&lt;35,"30-34",IF(Table1[[#This Row],[Age]]&lt;40,"35-39",IF(Table1[[#This Row],[Age]]&lt;50,"40-49","50+")))))</f>
        <v>40-49</v>
      </c>
    </row>
    <row r="272" spans="1:20" x14ac:dyDescent="0.35">
      <c r="A272">
        <v>1271</v>
      </c>
      <c r="B272" t="s">
        <v>15</v>
      </c>
      <c r="C272" t="s">
        <v>32</v>
      </c>
      <c r="D272" t="s">
        <v>17</v>
      </c>
      <c r="E272">
        <v>27</v>
      </c>
      <c r="F272" t="s">
        <v>38</v>
      </c>
      <c r="G272" t="s">
        <v>77</v>
      </c>
      <c r="H272" t="s">
        <v>28</v>
      </c>
      <c r="I272" s="1">
        <v>29149</v>
      </c>
      <c r="J272" t="s">
        <v>391</v>
      </c>
      <c r="K272" t="s">
        <v>21</v>
      </c>
      <c r="L272">
        <v>18</v>
      </c>
      <c r="M272">
        <v>3</v>
      </c>
      <c r="N272" t="s">
        <v>23</v>
      </c>
      <c r="O272" t="s">
        <v>22</v>
      </c>
      <c r="P272" t="s">
        <v>394</v>
      </c>
      <c r="Q272" s="9" t="str">
        <f t="shared" si="9"/>
        <v>Valid</v>
      </c>
      <c r="R272">
        <v>9442519847</v>
      </c>
      <c r="S272" s="7" t="str">
        <f t="shared" si="8"/>
        <v>Valid</v>
      </c>
      <c r="T272" t="str">
        <f>IF(Table1[[#This Row],[Age]]&lt;25,"18-24",IF(Table1[[#This Row],[Age]]&lt;30,"25-29",IF(Table1[[#This Row],[Age]]&lt;35,"30-34",IF(Table1[[#This Row],[Age]]&lt;40,"35-39",IF(Table1[[#This Row],[Age]]&lt;50,"40-49","50+")))))</f>
        <v>25-29</v>
      </c>
    </row>
    <row r="273" spans="1:20" x14ac:dyDescent="0.35">
      <c r="A273">
        <v>1272</v>
      </c>
      <c r="B273" t="s">
        <v>82</v>
      </c>
      <c r="C273" t="s">
        <v>43</v>
      </c>
      <c r="D273" t="s">
        <v>27</v>
      </c>
      <c r="E273">
        <v>49</v>
      </c>
      <c r="F273" t="s">
        <v>38</v>
      </c>
      <c r="G273" t="s">
        <v>39</v>
      </c>
      <c r="H273" t="s">
        <v>35</v>
      </c>
      <c r="I273" s="1">
        <v>47391</v>
      </c>
      <c r="J273" t="s">
        <v>1475</v>
      </c>
      <c r="K273" t="s">
        <v>46</v>
      </c>
      <c r="L273">
        <v>4</v>
      </c>
      <c r="M273">
        <v>5</v>
      </c>
      <c r="N273" t="s">
        <v>23</v>
      </c>
      <c r="O273" t="s">
        <v>22</v>
      </c>
      <c r="P273" t="s">
        <v>395</v>
      </c>
      <c r="Q273" s="9" t="str">
        <f t="shared" si="9"/>
        <v>Valid</v>
      </c>
      <c r="R273">
        <v>9794246805</v>
      </c>
      <c r="S273" s="7" t="str">
        <f t="shared" si="8"/>
        <v>Valid</v>
      </c>
      <c r="T273" t="str">
        <f>IF(Table1[[#This Row],[Age]]&lt;25,"18-24",IF(Table1[[#This Row],[Age]]&lt;30,"25-29",IF(Table1[[#This Row],[Age]]&lt;35,"30-34",IF(Table1[[#This Row],[Age]]&lt;40,"35-39",IF(Table1[[#This Row],[Age]]&lt;50,"40-49","50+")))))</f>
        <v>40-49</v>
      </c>
    </row>
    <row r="274" spans="1:20" x14ac:dyDescent="0.35">
      <c r="A274">
        <v>1273</v>
      </c>
      <c r="B274" t="s">
        <v>60</v>
      </c>
      <c r="C274" t="s">
        <v>61</v>
      </c>
      <c r="D274" t="s">
        <v>17</v>
      </c>
      <c r="E274">
        <v>43</v>
      </c>
      <c r="F274" t="s">
        <v>38</v>
      </c>
      <c r="G274" t="s">
        <v>39</v>
      </c>
      <c r="H274" t="s">
        <v>56</v>
      </c>
      <c r="I274" s="1">
        <v>33750</v>
      </c>
      <c r="J274" t="s">
        <v>396</v>
      </c>
      <c r="K274" t="s">
        <v>21</v>
      </c>
      <c r="L274">
        <v>24</v>
      </c>
      <c r="M274">
        <v>5</v>
      </c>
      <c r="N274" t="s">
        <v>22</v>
      </c>
      <c r="O274" t="s">
        <v>22</v>
      </c>
      <c r="P274" t="s">
        <v>397</v>
      </c>
      <c r="Q274" s="9" t="str">
        <f t="shared" si="9"/>
        <v>Valid</v>
      </c>
      <c r="R274">
        <v>9807644418</v>
      </c>
      <c r="S274" s="7" t="str">
        <f t="shared" si="8"/>
        <v>Valid</v>
      </c>
      <c r="T274" t="str">
        <f>IF(Table1[[#This Row],[Age]]&lt;25,"18-24",IF(Table1[[#This Row],[Age]]&lt;30,"25-29",IF(Table1[[#This Row],[Age]]&lt;35,"30-34",IF(Table1[[#This Row],[Age]]&lt;40,"35-39",IF(Table1[[#This Row],[Age]]&lt;50,"40-49","50+")))))</f>
        <v>40-49</v>
      </c>
    </row>
    <row r="275" spans="1:20" x14ac:dyDescent="0.35">
      <c r="A275">
        <v>1274</v>
      </c>
      <c r="B275" t="s">
        <v>42</v>
      </c>
      <c r="C275" t="s">
        <v>61</v>
      </c>
      <c r="D275" t="s">
        <v>27</v>
      </c>
      <c r="E275">
        <v>55</v>
      </c>
      <c r="F275" t="s">
        <v>18</v>
      </c>
      <c r="G275" t="s">
        <v>34</v>
      </c>
      <c r="H275" t="s">
        <v>28</v>
      </c>
      <c r="I275" s="1">
        <v>74231</v>
      </c>
      <c r="J275" t="s">
        <v>1476</v>
      </c>
      <c r="K275" t="s">
        <v>21</v>
      </c>
      <c r="L275">
        <v>3</v>
      </c>
      <c r="M275">
        <v>4</v>
      </c>
      <c r="N275" t="s">
        <v>23</v>
      </c>
      <c r="O275" t="s">
        <v>23</v>
      </c>
      <c r="P275" t="s">
        <v>398</v>
      </c>
      <c r="Q275" s="9" t="str">
        <f t="shared" si="9"/>
        <v>Valid</v>
      </c>
      <c r="R275">
        <v>9798340355</v>
      </c>
      <c r="S275" s="7" t="str">
        <f t="shared" si="8"/>
        <v>Valid</v>
      </c>
      <c r="T275" t="str">
        <f>IF(Table1[[#This Row],[Age]]&lt;25,"18-24",IF(Table1[[#This Row],[Age]]&lt;30,"25-29",IF(Table1[[#This Row],[Age]]&lt;35,"30-34",IF(Table1[[#This Row],[Age]]&lt;40,"35-39",IF(Table1[[#This Row],[Age]]&lt;50,"40-49","50+")))))</f>
        <v>50+</v>
      </c>
    </row>
    <row r="276" spans="1:20" x14ac:dyDescent="0.35">
      <c r="A276">
        <v>1275</v>
      </c>
      <c r="B276" t="s">
        <v>42</v>
      </c>
      <c r="C276" t="s">
        <v>26</v>
      </c>
      <c r="D276" t="s">
        <v>27</v>
      </c>
      <c r="E276">
        <v>26</v>
      </c>
      <c r="F276" t="s">
        <v>62</v>
      </c>
      <c r="G276" t="s">
        <v>34</v>
      </c>
      <c r="H276" t="s">
        <v>44</v>
      </c>
      <c r="I276" s="1">
        <v>98741</v>
      </c>
      <c r="J276" t="s">
        <v>399</v>
      </c>
      <c r="K276" t="s">
        <v>40</v>
      </c>
      <c r="L276">
        <v>4</v>
      </c>
      <c r="M276">
        <v>3</v>
      </c>
      <c r="N276" t="s">
        <v>23</v>
      </c>
      <c r="O276" t="s">
        <v>23</v>
      </c>
      <c r="P276" t="s">
        <v>400</v>
      </c>
      <c r="Q276" s="9" t="str">
        <f t="shared" si="9"/>
        <v>Valid</v>
      </c>
      <c r="R276">
        <v>9660488669</v>
      </c>
      <c r="S276" s="7" t="str">
        <f t="shared" si="8"/>
        <v>Valid</v>
      </c>
      <c r="T276" t="str">
        <f>IF(Table1[[#This Row],[Age]]&lt;25,"18-24",IF(Table1[[#This Row],[Age]]&lt;30,"25-29",IF(Table1[[#This Row],[Age]]&lt;35,"30-34",IF(Table1[[#This Row],[Age]]&lt;40,"35-39",IF(Table1[[#This Row],[Age]]&lt;50,"40-49","50+")))))</f>
        <v>25-29</v>
      </c>
    </row>
    <row r="277" spans="1:20" x14ac:dyDescent="0.35">
      <c r="A277">
        <v>1276</v>
      </c>
      <c r="B277" t="s">
        <v>64</v>
      </c>
      <c r="C277" t="s">
        <v>26</v>
      </c>
      <c r="D277" t="s">
        <v>17</v>
      </c>
      <c r="E277">
        <v>36</v>
      </c>
      <c r="F277" t="s">
        <v>62</v>
      </c>
      <c r="G277" t="s">
        <v>19</v>
      </c>
      <c r="H277" t="s">
        <v>56</v>
      </c>
      <c r="I277" s="1">
        <v>93218</v>
      </c>
      <c r="J277" t="s">
        <v>1477</v>
      </c>
      <c r="K277" t="s">
        <v>46</v>
      </c>
      <c r="L277">
        <v>4</v>
      </c>
      <c r="M277">
        <v>3</v>
      </c>
      <c r="N277" t="s">
        <v>22</v>
      </c>
      <c r="O277" t="s">
        <v>23</v>
      </c>
      <c r="P277" t="s">
        <v>401</v>
      </c>
      <c r="Q277" s="9" t="str">
        <f t="shared" si="9"/>
        <v>Valid</v>
      </c>
      <c r="R277">
        <v>9006929463</v>
      </c>
      <c r="S277" s="7" t="str">
        <f t="shared" si="8"/>
        <v>Valid</v>
      </c>
      <c r="T277" t="str">
        <f>IF(Table1[[#This Row],[Age]]&lt;25,"18-24",IF(Table1[[#This Row],[Age]]&lt;30,"25-29",IF(Table1[[#This Row],[Age]]&lt;35,"30-34",IF(Table1[[#This Row],[Age]]&lt;40,"35-39",IF(Table1[[#This Row],[Age]]&lt;50,"40-49","50+")))))</f>
        <v>35-39</v>
      </c>
    </row>
    <row r="278" spans="1:20" x14ac:dyDescent="0.35">
      <c r="A278">
        <v>1277</v>
      </c>
      <c r="B278" t="s">
        <v>42</v>
      </c>
      <c r="C278" t="s">
        <v>43</v>
      </c>
      <c r="D278" t="s">
        <v>17</v>
      </c>
      <c r="E278">
        <v>49</v>
      </c>
      <c r="F278" t="s">
        <v>33</v>
      </c>
      <c r="G278" t="s">
        <v>77</v>
      </c>
      <c r="H278" t="s">
        <v>56</v>
      </c>
      <c r="I278" s="1">
        <v>50178</v>
      </c>
      <c r="J278" t="s">
        <v>1478</v>
      </c>
      <c r="K278" t="s">
        <v>40</v>
      </c>
      <c r="L278">
        <v>15</v>
      </c>
      <c r="M278">
        <v>3</v>
      </c>
      <c r="N278" t="s">
        <v>22</v>
      </c>
      <c r="O278" t="s">
        <v>22</v>
      </c>
      <c r="P278" t="s">
        <v>402</v>
      </c>
      <c r="Q278" s="9" t="str">
        <f t="shared" si="9"/>
        <v>Valid</v>
      </c>
      <c r="R278">
        <v>9029911745</v>
      </c>
      <c r="S278" s="7" t="str">
        <f t="shared" si="8"/>
        <v>Valid</v>
      </c>
      <c r="T278" t="str">
        <f>IF(Table1[[#This Row],[Age]]&lt;25,"18-24",IF(Table1[[#This Row],[Age]]&lt;30,"25-29",IF(Table1[[#This Row],[Age]]&lt;35,"30-34",IF(Table1[[#This Row],[Age]]&lt;40,"35-39",IF(Table1[[#This Row],[Age]]&lt;50,"40-49","50+")))))</f>
        <v>40-49</v>
      </c>
    </row>
    <row r="279" spans="1:20" x14ac:dyDescent="0.35">
      <c r="A279">
        <v>1278</v>
      </c>
      <c r="B279" t="s">
        <v>54</v>
      </c>
      <c r="C279" t="s">
        <v>26</v>
      </c>
      <c r="D279" t="s">
        <v>17</v>
      </c>
      <c r="E279">
        <v>35</v>
      </c>
      <c r="F279" t="s">
        <v>38</v>
      </c>
      <c r="G279" t="s">
        <v>19</v>
      </c>
      <c r="H279" t="s">
        <v>56</v>
      </c>
      <c r="I279" s="1">
        <v>60442</v>
      </c>
      <c r="J279" t="s">
        <v>1479</v>
      </c>
      <c r="K279" t="s">
        <v>46</v>
      </c>
      <c r="L279">
        <v>10</v>
      </c>
      <c r="M279">
        <v>5</v>
      </c>
      <c r="N279" t="s">
        <v>23</v>
      </c>
      <c r="O279" t="s">
        <v>23</v>
      </c>
      <c r="P279" t="s">
        <v>403</v>
      </c>
      <c r="Q279" s="9" t="str">
        <f t="shared" si="9"/>
        <v>Valid</v>
      </c>
      <c r="R279">
        <v>9641573886</v>
      </c>
      <c r="S279" s="7" t="str">
        <f t="shared" si="8"/>
        <v>Valid</v>
      </c>
      <c r="T279" t="str">
        <f>IF(Table1[[#This Row],[Age]]&lt;25,"18-24",IF(Table1[[#This Row],[Age]]&lt;30,"25-29",IF(Table1[[#This Row],[Age]]&lt;35,"30-34",IF(Table1[[#This Row],[Age]]&lt;40,"35-39",IF(Table1[[#This Row],[Age]]&lt;50,"40-49","50+")))))</f>
        <v>35-39</v>
      </c>
    </row>
    <row r="280" spans="1:20" x14ac:dyDescent="0.35">
      <c r="A280">
        <v>1279</v>
      </c>
      <c r="B280" t="s">
        <v>58</v>
      </c>
      <c r="C280" t="s">
        <v>26</v>
      </c>
      <c r="D280" t="s">
        <v>17</v>
      </c>
      <c r="E280">
        <v>35</v>
      </c>
      <c r="F280" t="s">
        <v>33</v>
      </c>
      <c r="G280" t="s">
        <v>34</v>
      </c>
      <c r="H280" t="s">
        <v>28</v>
      </c>
      <c r="I280" s="1">
        <v>32161</v>
      </c>
      <c r="J280" t="s">
        <v>404</v>
      </c>
      <c r="K280" t="s">
        <v>21</v>
      </c>
      <c r="L280">
        <v>8</v>
      </c>
      <c r="M280">
        <v>1</v>
      </c>
      <c r="N280" t="s">
        <v>22</v>
      </c>
      <c r="O280" t="s">
        <v>23</v>
      </c>
      <c r="P280" t="s">
        <v>405</v>
      </c>
      <c r="Q280" s="9" t="str">
        <f t="shared" si="9"/>
        <v>Valid</v>
      </c>
      <c r="R280">
        <v>9619516580</v>
      </c>
      <c r="S280" s="7" t="str">
        <f t="shared" si="8"/>
        <v>Valid</v>
      </c>
      <c r="T280" t="str">
        <f>IF(Table1[[#This Row],[Age]]&lt;25,"18-24",IF(Table1[[#This Row],[Age]]&lt;30,"25-29",IF(Table1[[#This Row],[Age]]&lt;35,"30-34",IF(Table1[[#This Row],[Age]]&lt;40,"35-39",IF(Table1[[#This Row],[Age]]&lt;50,"40-49","50+")))))</f>
        <v>35-39</v>
      </c>
    </row>
    <row r="281" spans="1:20" x14ac:dyDescent="0.35">
      <c r="A281">
        <v>1280</v>
      </c>
      <c r="B281" t="s">
        <v>67</v>
      </c>
      <c r="C281" t="s">
        <v>32</v>
      </c>
      <c r="D281" t="s">
        <v>27</v>
      </c>
      <c r="E281">
        <v>29</v>
      </c>
      <c r="F281" t="s">
        <v>18</v>
      </c>
      <c r="G281" t="s">
        <v>39</v>
      </c>
      <c r="H281" t="s">
        <v>56</v>
      </c>
      <c r="I281" s="1">
        <v>90910</v>
      </c>
      <c r="J281" t="s">
        <v>1480</v>
      </c>
      <c r="K281" t="s">
        <v>40</v>
      </c>
      <c r="L281">
        <v>9</v>
      </c>
      <c r="M281">
        <v>1</v>
      </c>
      <c r="N281" t="s">
        <v>22</v>
      </c>
      <c r="O281" t="s">
        <v>22</v>
      </c>
      <c r="P281" t="s">
        <v>406</v>
      </c>
      <c r="Q281" s="9" t="str">
        <f t="shared" si="9"/>
        <v>Valid</v>
      </c>
      <c r="R281">
        <v>9972381493</v>
      </c>
      <c r="S281" s="7" t="str">
        <f t="shared" si="8"/>
        <v>Valid</v>
      </c>
      <c r="T281" t="str">
        <f>IF(Table1[[#This Row],[Age]]&lt;25,"18-24",IF(Table1[[#This Row],[Age]]&lt;30,"25-29",IF(Table1[[#This Row],[Age]]&lt;35,"30-34",IF(Table1[[#This Row],[Age]]&lt;40,"35-39",IF(Table1[[#This Row],[Age]]&lt;50,"40-49","50+")))))</f>
        <v>25-29</v>
      </c>
    </row>
    <row r="282" spans="1:20" x14ac:dyDescent="0.35">
      <c r="A282">
        <v>1281</v>
      </c>
      <c r="B282" t="s">
        <v>25</v>
      </c>
      <c r="C282" t="s">
        <v>16</v>
      </c>
      <c r="D282" t="s">
        <v>27</v>
      </c>
      <c r="E282">
        <v>35</v>
      </c>
      <c r="F282" t="s">
        <v>18</v>
      </c>
      <c r="G282" t="s">
        <v>19</v>
      </c>
      <c r="H282" t="s">
        <v>35</v>
      </c>
      <c r="I282" s="1">
        <v>97640</v>
      </c>
      <c r="J282" t="s">
        <v>1481</v>
      </c>
      <c r="K282" t="s">
        <v>40</v>
      </c>
      <c r="L282">
        <v>9</v>
      </c>
      <c r="M282">
        <v>2</v>
      </c>
      <c r="N282" t="s">
        <v>22</v>
      </c>
      <c r="O282" t="s">
        <v>23</v>
      </c>
      <c r="P282" t="s">
        <v>407</v>
      </c>
      <c r="Q282" s="9" t="str">
        <f t="shared" si="9"/>
        <v>Valid</v>
      </c>
      <c r="R282">
        <v>9762276594</v>
      </c>
      <c r="S282" s="7" t="str">
        <f t="shared" si="8"/>
        <v>Valid</v>
      </c>
      <c r="T282" t="str">
        <f>IF(Table1[[#This Row],[Age]]&lt;25,"18-24",IF(Table1[[#This Row],[Age]]&lt;30,"25-29",IF(Table1[[#This Row],[Age]]&lt;35,"30-34",IF(Table1[[#This Row],[Age]]&lt;40,"35-39",IF(Table1[[#This Row],[Age]]&lt;50,"40-49","50+")))))</f>
        <v>35-39</v>
      </c>
    </row>
    <row r="283" spans="1:20" x14ac:dyDescent="0.35">
      <c r="A283">
        <v>1282</v>
      </c>
      <c r="B283" t="s">
        <v>42</v>
      </c>
      <c r="C283" t="s">
        <v>43</v>
      </c>
      <c r="D283" t="s">
        <v>17</v>
      </c>
      <c r="E283">
        <v>37</v>
      </c>
      <c r="F283" t="s">
        <v>18</v>
      </c>
      <c r="G283" t="s">
        <v>34</v>
      </c>
      <c r="H283" t="s">
        <v>28</v>
      </c>
      <c r="I283" s="1">
        <v>73367</v>
      </c>
      <c r="J283" t="s">
        <v>1482</v>
      </c>
      <c r="K283" t="s">
        <v>21</v>
      </c>
      <c r="L283">
        <v>12</v>
      </c>
      <c r="M283">
        <v>1</v>
      </c>
      <c r="N283" t="s">
        <v>22</v>
      </c>
      <c r="O283" t="s">
        <v>23</v>
      </c>
      <c r="P283" t="s">
        <v>408</v>
      </c>
      <c r="Q283" s="9" t="str">
        <f t="shared" si="9"/>
        <v>Valid</v>
      </c>
      <c r="R283">
        <v>9513143292</v>
      </c>
      <c r="S283" s="7" t="str">
        <f t="shared" si="8"/>
        <v>Valid</v>
      </c>
      <c r="T283" t="str">
        <f>IF(Table1[[#This Row],[Age]]&lt;25,"18-24",IF(Table1[[#This Row],[Age]]&lt;30,"25-29",IF(Table1[[#This Row],[Age]]&lt;35,"30-34",IF(Table1[[#This Row],[Age]]&lt;40,"35-39",IF(Table1[[#This Row],[Age]]&lt;50,"40-49","50+")))))</f>
        <v>35-39</v>
      </c>
    </row>
    <row r="284" spans="1:20" x14ac:dyDescent="0.35">
      <c r="A284">
        <v>1283</v>
      </c>
      <c r="B284" t="s">
        <v>15</v>
      </c>
      <c r="C284" t="s">
        <v>32</v>
      </c>
      <c r="D284" t="s">
        <v>27</v>
      </c>
      <c r="E284">
        <v>31</v>
      </c>
      <c r="F284" t="s">
        <v>33</v>
      </c>
      <c r="G284" t="s">
        <v>55</v>
      </c>
      <c r="H284" t="s">
        <v>28</v>
      </c>
      <c r="I284" s="1">
        <v>43135</v>
      </c>
      <c r="J284" t="s">
        <v>1483</v>
      </c>
      <c r="K284" t="s">
        <v>46</v>
      </c>
      <c r="L284">
        <v>12</v>
      </c>
      <c r="M284">
        <v>3</v>
      </c>
      <c r="N284" t="s">
        <v>22</v>
      </c>
      <c r="O284" t="s">
        <v>23</v>
      </c>
      <c r="P284" t="s">
        <v>409</v>
      </c>
      <c r="Q284" s="9" t="str">
        <f t="shared" si="9"/>
        <v>Valid</v>
      </c>
      <c r="R284">
        <v>9437694951</v>
      </c>
      <c r="S284" s="7" t="str">
        <f t="shared" si="8"/>
        <v>Valid</v>
      </c>
      <c r="T284" t="str">
        <f>IF(Table1[[#This Row],[Age]]&lt;25,"18-24",IF(Table1[[#This Row],[Age]]&lt;30,"25-29",IF(Table1[[#This Row],[Age]]&lt;35,"30-34",IF(Table1[[#This Row],[Age]]&lt;40,"35-39",IF(Table1[[#This Row],[Age]]&lt;50,"40-49","50+")))))</f>
        <v>30-34</v>
      </c>
    </row>
    <row r="285" spans="1:20" x14ac:dyDescent="0.35">
      <c r="A285">
        <v>1284</v>
      </c>
      <c r="B285" t="s">
        <v>54</v>
      </c>
      <c r="C285" t="s">
        <v>32</v>
      </c>
      <c r="D285" t="s">
        <v>17</v>
      </c>
      <c r="E285">
        <v>52</v>
      </c>
      <c r="F285" t="s">
        <v>38</v>
      </c>
      <c r="G285" t="s">
        <v>19</v>
      </c>
      <c r="H285" t="s">
        <v>35</v>
      </c>
      <c r="I285" s="1">
        <v>92257</v>
      </c>
      <c r="J285" t="s">
        <v>1484</v>
      </c>
      <c r="K285" t="s">
        <v>49</v>
      </c>
      <c r="L285">
        <v>1</v>
      </c>
      <c r="M285">
        <v>2</v>
      </c>
      <c r="N285" t="s">
        <v>22</v>
      </c>
      <c r="O285" t="s">
        <v>22</v>
      </c>
      <c r="P285" t="s">
        <v>410</v>
      </c>
      <c r="Q285" s="9" t="str">
        <f t="shared" si="9"/>
        <v>Valid</v>
      </c>
      <c r="R285">
        <v>9661869467</v>
      </c>
      <c r="S285" s="7" t="str">
        <f t="shared" si="8"/>
        <v>Valid</v>
      </c>
      <c r="T285" t="str">
        <f>IF(Table1[[#This Row],[Age]]&lt;25,"18-24",IF(Table1[[#This Row],[Age]]&lt;30,"25-29",IF(Table1[[#This Row],[Age]]&lt;35,"30-34",IF(Table1[[#This Row],[Age]]&lt;40,"35-39",IF(Table1[[#This Row],[Age]]&lt;50,"40-49","50+")))))</f>
        <v>50+</v>
      </c>
    </row>
    <row r="286" spans="1:20" x14ac:dyDescent="0.35">
      <c r="A286">
        <v>1285</v>
      </c>
      <c r="B286" t="s">
        <v>60</v>
      </c>
      <c r="C286" t="s">
        <v>26</v>
      </c>
      <c r="D286" t="s">
        <v>27</v>
      </c>
      <c r="E286">
        <v>33</v>
      </c>
      <c r="F286" t="s">
        <v>33</v>
      </c>
      <c r="G286" t="s">
        <v>77</v>
      </c>
      <c r="H286" t="s">
        <v>44</v>
      </c>
      <c r="I286" s="1">
        <v>61476</v>
      </c>
      <c r="J286" t="s">
        <v>1485</v>
      </c>
      <c r="K286" t="s">
        <v>21</v>
      </c>
      <c r="L286">
        <v>7</v>
      </c>
      <c r="M286">
        <v>5</v>
      </c>
      <c r="N286" t="s">
        <v>23</v>
      </c>
      <c r="O286" t="s">
        <v>22</v>
      </c>
      <c r="P286" t="s">
        <v>411</v>
      </c>
      <c r="Q286" s="9" t="str">
        <f t="shared" si="9"/>
        <v>Valid</v>
      </c>
      <c r="R286">
        <v>9349624655</v>
      </c>
      <c r="S286" s="7" t="str">
        <f t="shared" si="8"/>
        <v>Valid</v>
      </c>
      <c r="T286" t="str">
        <f>IF(Table1[[#This Row],[Age]]&lt;25,"18-24",IF(Table1[[#This Row],[Age]]&lt;30,"25-29",IF(Table1[[#This Row],[Age]]&lt;35,"30-34",IF(Table1[[#This Row],[Age]]&lt;40,"35-39",IF(Table1[[#This Row],[Age]]&lt;50,"40-49","50+")))))</f>
        <v>30-34</v>
      </c>
    </row>
    <row r="287" spans="1:20" x14ac:dyDescent="0.35">
      <c r="A287">
        <v>1286</v>
      </c>
      <c r="B287" t="s">
        <v>60</v>
      </c>
      <c r="C287" t="s">
        <v>32</v>
      </c>
      <c r="D287" t="s">
        <v>27</v>
      </c>
      <c r="E287">
        <v>23</v>
      </c>
      <c r="F287" t="s">
        <v>33</v>
      </c>
      <c r="G287" t="s">
        <v>55</v>
      </c>
      <c r="H287" t="s">
        <v>28</v>
      </c>
      <c r="I287" s="1">
        <v>46492</v>
      </c>
      <c r="J287" t="s">
        <v>1486</v>
      </c>
      <c r="K287" t="s">
        <v>30</v>
      </c>
      <c r="L287">
        <v>14</v>
      </c>
      <c r="M287">
        <v>3</v>
      </c>
      <c r="N287" t="s">
        <v>23</v>
      </c>
      <c r="O287" t="s">
        <v>22</v>
      </c>
      <c r="P287" t="s">
        <v>412</v>
      </c>
      <c r="Q287" s="9" t="str">
        <f t="shared" si="9"/>
        <v>Valid</v>
      </c>
      <c r="R287">
        <v>9909057640</v>
      </c>
      <c r="S287" s="7" t="str">
        <f t="shared" si="8"/>
        <v>Valid</v>
      </c>
      <c r="T287" t="str">
        <f>IF(Table1[[#This Row],[Age]]&lt;25,"18-24",IF(Table1[[#This Row],[Age]]&lt;30,"25-29",IF(Table1[[#This Row],[Age]]&lt;35,"30-34",IF(Table1[[#This Row],[Age]]&lt;40,"35-39",IF(Table1[[#This Row],[Age]]&lt;50,"40-49","50+")))))</f>
        <v>18-24</v>
      </c>
    </row>
    <row r="288" spans="1:20" x14ac:dyDescent="0.35">
      <c r="A288">
        <v>1287</v>
      </c>
      <c r="B288" t="s">
        <v>37</v>
      </c>
      <c r="C288" t="s">
        <v>16</v>
      </c>
      <c r="D288" t="s">
        <v>27</v>
      </c>
      <c r="E288">
        <v>38</v>
      </c>
      <c r="F288" t="s">
        <v>38</v>
      </c>
      <c r="G288" t="s">
        <v>77</v>
      </c>
      <c r="H288" t="s">
        <v>20</v>
      </c>
      <c r="I288" s="1">
        <v>77155</v>
      </c>
      <c r="J288" t="s">
        <v>413</v>
      </c>
      <c r="K288" t="s">
        <v>21</v>
      </c>
      <c r="L288">
        <v>7</v>
      </c>
      <c r="M288">
        <v>3</v>
      </c>
      <c r="N288" t="s">
        <v>23</v>
      </c>
      <c r="O288" t="s">
        <v>23</v>
      </c>
      <c r="P288" t="s">
        <v>414</v>
      </c>
      <c r="Q288" s="9" t="str">
        <f t="shared" si="9"/>
        <v>Valid</v>
      </c>
      <c r="R288">
        <v>9316305201</v>
      </c>
      <c r="S288" s="7" t="str">
        <f t="shared" si="8"/>
        <v>Valid</v>
      </c>
      <c r="T288" t="str">
        <f>IF(Table1[[#This Row],[Age]]&lt;25,"18-24",IF(Table1[[#This Row],[Age]]&lt;30,"25-29",IF(Table1[[#This Row],[Age]]&lt;35,"30-34",IF(Table1[[#This Row],[Age]]&lt;40,"35-39",IF(Table1[[#This Row],[Age]]&lt;50,"40-49","50+")))))</f>
        <v>35-39</v>
      </c>
    </row>
    <row r="289" spans="1:20" x14ac:dyDescent="0.35">
      <c r="A289">
        <v>1288</v>
      </c>
      <c r="B289" t="s">
        <v>67</v>
      </c>
      <c r="C289" t="s">
        <v>61</v>
      </c>
      <c r="D289" t="s">
        <v>17</v>
      </c>
      <c r="E289">
        <v>27</v>
      </c>
      <c r="F289" t="s">
        <v>38</v>
      </c>
      <c r="G289" t="s">
        <v>77</v>
      </c>
      <c r="H289" t="s">
        <v>56</v>
      </c>
      <c r="I289" s="1">
        <v>105421</v>
      </c>
      <c r="J289" t="s">
        <v>1183</v>
      </c>
      <c r="K289" t="s">
        <v>46</v>
      </c>
      <c r="L289">
        <v>25</v>
      </c>
      <c r="M289">
        <v>1</v>
      </c>
      <c r="N289" t="s">
        <v>23</v>
      </c>
      <c r="O289" t="s">
        <v>23</v>
      </c>
      <c r="P289" t="s">
        <v>415</v>
      </c>
      <c r="Q289" s="9" t="str">
        <f t="shared" si="9"/>
        <v>Valid</v>
      </c>
      <c r="R289">
        <v>9253439914</v>
      </c>
      <c r="S289" s="7" t="str">
        <f t="shared" si="8"/>
        <v>Valid</v>
      </c>
      <c r="T289" t="str">
        <f>IF(Table1[[#This Row],[Age]]&lt;25,"18-24",IF(Table1[[#This Row],[Age]]&lt;30,"25-29",IF(Table1[[#This Row],[Age]]&lt;35,"30-34",IF(Table1[[#This Row],[Age]]&lt;40,"35-39",IF(Table1[[#This Row],[Age]]&lt;50,"40-49","50+")))))</f>
        <v>25-29</v>
      </c>
    </row>
    <row r="290" spans="1:20" x14ac:dyDescent="0.35">
      <c r="A290">
        <v>1289</v>
      </c>
      <c r="B290" t="s">
        <v>42</v>
      </c>
      <c r="C290" t="s">
        <v>43</v>
      </c>
      <c r="D290" t="s">
        <v>17</v>
      </c>
      <c r="E290">
        <v>66</v>
      </c>
      <c r="F290" t="s">
        <v>38</v>
      </c>
      <c r="G290" t="s">
        <v>55</v>
      </c>
      <c r="H290" t="s">
        <v>44</v>
      </c>
      <c r="I290" s="1">
        <v>48631</v>
      </c>
      <c r="J290" t="s">
        <v>1487</v>
      </c>
      <c r="K290" t="s">
        <v>49</v>
      </c>
      <c r="L290">
        <v>19</v>
      </c>
      <c r="M290">
        <v>3</v>
      </c>
      <c r="N290" t="s">
        <v>23</v>
      </c>
      <c r="O290" t="s">
        <v>23</v>
      </c>
      <c r="P290" t="s">
        <v>416</v>
      </c>
      <c r="Q290" s="9" t="str">
        <f t="shared" si="9"/>
        <v>Valid</v>
      </c>
      <c r="R290">
        <v>9530791610</v>
      </c>
      <c r="S290" s="7" t="str">
        <f t="shared" si="8"/>
        <v>Valid</v>
      </c>
      <c r="T290" t="str">
        <f>IF(Table1[[#This Row],[Age]]&lt;25,"18-24",IF(Table1[[#This Row],[Age]]&lt;30,"25-29",IF(Table1[[#This Row],[Age]]&lt;35,"30-34",IF(Table1[[#This Row],[Age]]&lt;40,"35-39",IF(Table1[[#This Row],[Age]]&lt;50,"40-49","50+")))))</f>
        <v>50+</v>
      </c>
    </row>
    <row r="291" spans="1:20" x14ac:dyDescent="0.35">
      <c r="A291">
        <v>1290</v>
      </c>
      <c r="B291" t="s">
        <v>60</v>
      </c>
      <c r="C291" t="s">
        <v>26</v>
      </c>
      <c r="D291" t="s">
        <v>27</v>
      </c>
      <c r="E291">
        <v>33</v>
      </c>
      <c r="F291" t="s">
        <v>18</v>
      </c>
      <c r="G291" t="s">
        <v>19</v>
      </c>
      <c r="H291" t="s">
        <v>44</v>
      </c>
      <c r="I291" s="1">
        <v>76342</v>
      </c>
      <c r="J291" t="s">
        <v>1488</v>
      </c>
      <c r="K291" t="s">
        <v>21</v>
      </c>
      <c r="L291">
        <v>21</v>
      </c>
      <c r="M291">
        <v>1</v>
      </c>
      <c r="N291" t="s">
        <v>22</v>
      </c>
      <c r="O291" t="s">
        <v>23</v>
      </c>
      <c r="P291" t="s">
        <v>417</v>
      </c>
      <c r="Q291" s="9" t="str">
        <f t="shared" si="9"/>
        <v>Valid</v>
      </c>
      <c r="R291">
        <v>9799615199</v>
      </c>
      <c r="S291" s="7" t="str">
        <f t="shared" si="8"/>
        <v>Valid</v>
      </c>
      <c r="T291" t="str">
        <f>IF(Table1[[#This Row],[Age]]&lt;25,"18-24",IF(Table1[[#This Row],[Age]]&lt;30,"25-29",IF(Table1[[#This Row],[Age]]&lt;35,"30-34",IF(Table1[[#This Row],[Age]]&lt;40,"35-39",IF(Table1[[#This Row],[Age]]&lt;50,"40-49","50+")))))</f>
        <v>30-34</v>
      </c>
    </row>
    <row r="292" spans="1:20" x14ac:dyDescent="0.35">
      <c r="A292">
        <v>1291</v>
      </c>
      <c r="B292" t="s">
        <v>15</v>
      </c>
      <c r="C292" t="s">
        <v>16</v>
      </c>
      <c r="D292" t="s">
        <v>27</v>
      </c>
      <c r="E292">
        <v>22</v>
      </c>
      <c r="F292" t="s">
        <v>33</v>
      </c>
      <c r="G292" t="s">
        <v>34</v>
      </c>
      <c r="H292" t="s">
        <v>28</v>
      </c>
      <c r="I292" s="1">
        <v>38837</v>
      </c>
      <c r="J292" t="s">
        <v>1489</v>
      </c>
      <c r="K292" t="s">
        <v>30</v>
      </c>
      <c r="L292">
        <v>15</v>
      </c>
      <c r="M292">
        <v>1</v>
      </c>
      <c r="N292" t="s">
        <v>23</v>
      </c>
      <c r="O292" t="s">
        <v>23</v>
      </c>
      <c r="P292" t="s">
        <v>418</v>
      </c>
      <c r="Q292" s="9" t="str">
        <f t="shared" si="9"/>
        <v>Valid</v>
      </c>
      <c r="R292">
        <v>9179432943</v>
      </c>
      <c r="S292" s="7" t="str">
        <f t="shared" si="8"/>
        <v>Valid</v>
      </c>
      <c r="T292" t="str">
        <f>IF(Table1[[#This Row],[Age]]&lt;25,"18-24",IF(Table1[[#This Row],[Age]]&lt;30,"25-29",IF(Table1[[#This Row],[Age]]&lt;35,"30-34",IF(Table1[[#This Row],[Age]]&lt;40,"35-39",IF(Table1[[#This Row],[Age]]&lt;50,"40-49","50+")))))</f>
        <v>18-24</v>
      </c>
    </row>
    <row r="293" spans="1:20" x14ac:dyDescent="0.35">
      <c r="A293">
        <v>1292</v>
      </c>
      <c r="B293" t="s">
        <v>64</v>
      </c>
      <c r="C293" t="s">
        <v>16</v>
      </c>
      <c r="D293" t="s">
        <v>27</v>
      </c>
      <c r="E293">
        <v>42</v>
      </c>
      <c r="F293" t="s">
        <v>18</v>
      </c>
      <c r="G293" t="s">
        <v>34</v>
      </c>
      <c r="H293" t="s">
        <v>44</v>
      </c>
      <c r="I293" s="1">
        <v>72439</v>
      </c>
      <c r="J293" t="s">
        <v>1490</v>
      </c>
      <c r="K293" t="s">
        <v>40</v>
      </c>
      <c r="L293">
        <v>22</v>
      </c>
      <c r="M293">
        <v>4</v>
      </c>
      <c r="N293" t="s">
        <v>23</v>
      </c>
      <c r="O293" t="s">
        <v>22</v>
      </c>
      <c r="P293" t="s">
        <v>419</v>
      </c>
      <c r="Q293" s="9" t="str">
        <f t="shared" si="9"/>
        <v>Valid</v>
      </c>
      <c r="R293">
        <v>9775370935</v>
      </c>
      <c r="S293" s="7" t="str">
        <f t="shared" si="8"/>
        <v>Valid</v>
      </c>
      <c r="T293" t="str">
        <f>IF(Table1[[#This Row],[Age]]&lt;25,"18-24",IF(Table1[[#This Row],[Age]]&lt;30,"25-29",IF(Table1[[#This Row],[Age]]&lt;35,"30-34",IF(Table1[[#This Row],[Age]]&lt;40,"35-39",IF(Table1[[#This Row],[Age]]&lt;50,"40-49","50+")))))</f>
        <v>40-49</v>
      </c>
    </row>
    <row r="294" spans="1:20" x14ac:dyDescent="0.35">
      <c r="A294">
        <v>1293</v>
      </c>
      <c r="B294" t="s">
        <v>58</v>
      </c>
      <c r="C294" t="s">
        <v>16</v>
      </c>
      <c r="D294" t="s">
        <v>17</v>
      </c>
      <c r="E294">
        <v>55</v>
      </c>
      <c r="F294" t="s">
        <v>33</v>
      </c>
      <c r="G294" t="s">
        <v>39</v>
      </c>
      <c r="H294" t="s">
        <v>20</v>
      </c>
      <c r="I294" s="1">
        <v>90175</v>
      </c>
      <c r="J294" t="s">
        <v>1491</v>
      </c>
      <c r="K294" t="s">
        <v>49</v>
      </c>
      <c r="L294">
        <v>2</v>
      </c>
      <c r="M294">
        <v>5</v>
      </c>
      <c r="N294" t="s">
        <v>22</v>
      </c>
      <c r="O294" t="s">
        <v>22</v>
      </c>
      <c r="P294" t="s">
        <v>420</v>
      </c>
      <c r="Q294" s="9" t="str">
        <f t="shared" si="9"/>
        <v>Valid</v>
      </c>
      <c r="R294">
        <v>9990076423</v>
      </c>
      <c r="S294" s="7" t="str">
        <f t="shared" si="8"/>
        <v>Valid</v>
      </c>
      <c r="T294" t="str">
        <f>IF(Table1[[#This Row],[Age]]&lt;25,"18-24",IF(Table1[[#This Row],[Age]]&lt;30,"25-29",IF(Table1[[#This Row],[Age]]&lt;35,"30-34",IF(Table1[[#This Row],[Age]]&lt;40,"35-39",IF(Table1[[#This Row],[Age]]&lt;50,"40-49","50+")))))</f>
        <v>50+</v>
      </c>
    </row>
    <row r="295" spans="1:20" x14ac:dyDescent="0.35">
      <c r="A295">
        <v>1294</v>
      </c>
      <c r="B295" t="s">
        <v>64</v>
      </c>
      <c r="C295" t="s">
        <v>26</v>
      </c>
      <c r="D295" t="s">
        <v>17</v>
      </c>
      <c r="E295">
        <v>47</v>
      </c>
      <c r="F295" t="s">
        <v>18</v>
      </c>
      <c r="G295" t="s">
        <v>77</v>
      </c>
      <c r="H295" t="s">
        <v>56</v>
      </c>
      <c r="I295" s="1">
        <v>76388</v>
      </c>
      <c r="J295" t="s">
        <v>1379</v>
      </c>
      <c r="K295" t="s">
        <v>49</v>
      </c>
      <c r="L295">
        <v>15</v>
      </c>
      <c r="M295">
        <v>5</v>
      </c>
      <c r="N295" t="s">
        <v>22</v>
      </c>
      <c r="O295" t="s">
        <v>23</v>
      </c>
      <c r="P295" t="s">
        <v>421</v>
      </c>
      <c r="Q295" s="9" t="str">
        <f t="shared" si="9"/>
        <v>Valid</v>
      </c>
      <c r="R295">
        <v>9925468957</v>
      </c>
      <c r="S295" s="7" t="str">
        <f t="shared" si="8"/>
        <v>Valid</v>
      </c>
      <c r="T295" t="str">
        <f>IF(Table1[[#This Row],[Age]]&lt;25,"18-24",IF(Table1[[#This Row],[Age]]&lt;30,"25-29",IF(Table1[[#This Row],[Age]]&lt;35,"30-34",IF(Table1[[#This Row],[Age]]&lt;40,"35-39",IF(Table1[[#This Row],[Age]]&lt;50,"40-49","50+")))))</f>
        <v>40-49</v>
      </c>
    </row>
    <row r="296" spans="1:20" x14ac:dyDescent="0.35">
      <c r="A296">
        <v>1295</v>
      </c>
      <c r="B296" t="s">
        <v>67</v>
      </c>
      <c r="C296" t="s">
        <v>43</v>
      </c>
      <c r="D296" t="s">
        <v>27</v>
      </c>
      <c r="E296">
        <v>32</v>
      </c>
      <c r="F296" t="s">
        <v>62</v>
      </c>
      <c r="G296" t="s">
        <v>39</v>
      </c>
      <c r="H296" t="s">
        <v>35</v>
      </c>
      <c r="I296" s="1">
        <v>96130</v>
      </c>
      <c r="J296" t="s">
        <v>422</v>
      </c>
      <c r="K296" t="s">
        <v>40</v>
      </c>
      <c r="L296">
        <v>21</v>
      </c>
      <c r="M296">
        <v>2</v>
      </c>
      <c r="N296" t="s">
        <v>23</v>
      </c>
      <c r="O296" t="s">
        <v>22</v>
      </c>
      <c r="P296" t="s">
        <v>423</v>
      </c>
      <c r="Q296" s="9" t="str">
        <f t="shared" si="9"/>
        <v>Valid</v>
      </c>
      <c r="R296">
        <v>9383496332</v>
      </c>
      <c r="S296" s="7" t="str">
        <f t="shared" si="8"/>
        <v>Valid</v>
      </c>
      <c r="T296" t="str">
        <f>IF(Table1[[#This Row],[Age]]&lt;25,"18-24",IF(Table1[[#This Row],[Age]]&lt;30,"25-29",IF(Table1[[#This Row],[Age]]&lt;35,"30-34",IF(Table1[[#This Row],[Age]]&lt;40,"35-39",IF(Table1[[#This Row],[Age]]&lt;50,"40-49","50+")))))</f>
        <v>30-34</v>
      </c>
    </row>
    <row r="297" spans="1:20" x14ac:dyDescent="0.35">
      <c r="A297">
        <v>1296</v>
      </c>
      <c r="B297" t="s">
        <v>25</v>
      </c>
      <c r="C297" t="s">
        <v>26</v>
      </c>
      <c r="D297" t="s">
        <v>27</v>
      </c>
      <c r="E297">
        <v>25</v>
      </c>
      <c r="F297" t="s">
        <v>62</v>
      </c>
      <c r="G297" t="s">
        <v>77</v>
      </c>
      <c r="H297" t="s">
        <v>44</v>
      </c>
      <c r="I297" s="1">
        <v>114222</v>
      </c>
      <c r="J297" t="s">
        <v>424</v>
      </c>
      <c r="K297" t="s">
        <v>30</v>
      </c>
      <c r="L297">
        <v>12</v>
      </c>
      <c r="M297">
        <v>1</v>
      </c>
      <c r="N297" t="s">
        <v>22</v>
      </c>
      <c r="O297" t="s">
        <v>23</v>
      </c>
      <c r="P297" t="s">
        <v>425</v>
      </c>
      <c r="Q297" s="9" t="str">
        <f t="shared" si="9"/>
        <v>Valid</v>
      </c>
      <c r="R297">
        <v>9426552368</v>
      </c>
      <c r="S297" s="7" t="str">
        <f t="shared" si="8"/>
        <v>Valid</v>
      </c>
      <c r="T297" t="str">
        <f>IF(Table1[[#This Row],[Age]]&lt;25,"18-24",IF(Table1[[#This Row],[Age]]&lt;30,"25-29",IF(Table1[[#This Row],[Age]]&lt;35,"30-34",IF(Table1[[#This Row],[Age]]&lt;40,"35-39",IF(Table1[[#This Row],[Age]]&lt;50,"40-49","50+")))))</f>
        <v>25-29</v>
      </c>
    </row>
    <row r="298" spans="1:20" x14ac:dyDescent="0.35">
      <c r="A298">
        <v>1297</v>
      </c>
      <c r="B298" t="s">
        <v>82</v>
      </c>
      <c r="C298" t="s">
        <v>43</v>
      </c>
      <c r="D298" t="s">
        <v>27</v>
      </c>
      <c r="E298">
        <v>42</v>
      </c>
      <c r="F298" t="s">
        <v>18</v>
      </c>
      <c r="G298" t="s">
        <v>34</v>
      </c>
      <c r="H298" t="s">
        <v>35</v>
      </c>
      <c r="I298" s="1">
        <v>40362</v>
      </c>
      <c r="J298" t="s">
        <v>1492</v>
      </c>
      <c r="K298" t="s">
        <v>30</v>
      </c>
      <c r="L298">
        <v>8</v>
      </c>
      <c r="M298">
        <v>5</v>
      </c>
      <c r="N298" t="s">
        <v>23</v>
      </c>
      <c r="O298" t="s">
        <v>23</v>
      </c>
      <c r="P298" t="s">
        <v>426</v>
      </c>
      <c r="Q298" s="9" t="str">
        <f t="shared" si="9"/>
        <v>Valid</v>
      </c>
      <c r="R298">
        <v>9728668369</v>
      </c>
      <c r="S298" s="7" t="str">
        <f t="shared" si="8"/>
        <v>Valid</v>
      </c>
      <c r="T298" t="str">
        <f>IF(Table1[[#This Row],[Age]]&lt;25,"18-24",IF(Table1[[#This Row],[Age]]&lt;30,"25-29",IF(Table1[[#This Row],[Age]]&lt;35,"30-34",IF(Table1[[#This Row],[Age]]&lt;40,"35-39",IF(Table1[[#This Row],[Age]]&lt;50,"40-49","50+")))))</f>
        <v>40-49</v>
      </c>
    </row>
    <row r="299" spans="1:20" x14ac:dyDescent="0.35">
      <c r="A299">
        <v>1298</v>
      </c>
      <c r="B299" t="s">
        <v>82</v>
      </c>
      <c r="C299" t="s">
        <v>43</v>
      </c>
      <c r="D299" t="s">
        <v>17</v>
      </c>
      <c r="E299">
        <v>41</v>
      </c>
      <c r="F299" t="s">
        <v>69</v>
      </c>
      <c r="G299" t="s">
        <v>55</v>
      </c>
      <c r="H299" t="s">
        <v>35</v>
      </c>
      <c r="I299" s="1">
        <v>118438</v>
      </c>
      <c r="J299" t="s">
        <v>427</v>
      </c>
      <c r="K299" t="s">
        <v>49</v>
      </c>
      <c r="L299">
        <v>15</v>
      </c>
      <c r="M299">
        <v>4</v>
      </c>
      <c r="N299" t="s">
        <v>23</v>
      </c>
      <c r="O299" t="s">
        <v>22</v>
      </c>
      <c r="P299" t="s">
        <v>428</v>
      </c>
      <c r="Q299" s="9" t="str">
        <f t="shared" si="9"/>
        <v>Valid</v>
      </c>
      <c r="R299">
        <v>92843367</v>
      </c>
      <c r="S299" s="7" t="str">
        <f t="shared" si="8"/>
        <v>Invalid</v>
      </c>
      <c r="T299" t="str">
        <f>IF(Table1[[#This Row],[Age]]&lt;25,"18-24",IF(Table1[[#This Row],[Age]]&lt;30,"25-29",IF(Table1[[#This Row],[Age]]&lt;35,"30-34",IF(Table1[[#This Row],[Age]]&lt;40,"35-39",IF(Table1[[#This Row],[Age]]&lt;50,"40-49","50+")))))</f>
        <v>40-49</v>
      </c>
    </row>
    <row r="300" spans="1:20" x14ac:dyDescent="0.35">
      <c r="A300">
        <v>1299</v>
      </c>
      <c r="B300" t="s">
        <v>58</v>
      </c>
      <c r="C300" t="s">
        <v>32</v>
      </c>
      <c r="D300" t="s">
        <v>17</v>
      </c>
      <c r="E300">
        <v>53</v>
      </c>
      <c r="F300" t="s">
        <v>62</v>
      </c>
      <c r="G300" t="s">
        <v>19</v>
      </c>
      <c r="H300" t="s">
        <v>56</v>
      </c>
      <c r="I300" s="1">
        <v>116425</v>
      </c>
      <c r="J300" t="s">
        <v>1493</v>
      </c>
      <c r="K300" t="s">
        <v>40</v>
      </c>
      <c r="L300">
        <v>13</v>
      </c>
      <c r="M300">
        <v>4</v>
      </c>
      <c r="N300" t="s">
        <v>23</v>
      </c>
      <c r="O300" t="s">
        <v>22</v>
      </c>
      <c r="P300" t="s">
        <v>429</v>
      </c>
      <c r="Q300" s="9" t="str">
        <f t="shared" si="9"/>
        <v>Valid</v>
      </c>
      <c r="R300">
        <v>9794423721</v>
      </c>
      <c r="S300" s="7" t="str">
        <f t="shared" si="8"/>
        <v>Valid</v>
      </c>
      <c r="T300" t="str">
        <f>IF(Table1[[#This Row],[Age]]&lt;25,"18-24",IF(Table1[[#This Row],[Age]]&lt;30,"25-29",IF(Table1[[#This Row],[Age]]&lt;35,"30-34",IF(Table1[[#This Row],[Age]]&lt;40,"35-39",IF(Table1[[#This Row],[Age]]&lt;50,"40-49","50+")))))</f>
        <v>50+</v>
      </c>
    </row>
    <row r="301" spans="1:20" x14ac:dyDescent="0.35">
      <c r="A301">
        <v>1300</v>
      </c>
      <c r="B301" t="s">
        <v>42</v>
      </c>
      <c r="C301" t="s">
        <v>16</v>
      </c>
      <c r="D301" t="s">
        <v>27</v>
      </c>
      <c r="E301">
        <v>32</v>
      </c>
      <c r="F301" t="s">
        <v>69</v>
      </c>
      <c r="G301" t="s">
        <v>39</v>
      </c>
      <c r="H301" t="s">
        <v>44</v>
      </c>
      <c r="I301" s="1">
        <v>51015</v>
      </c>
      <c r="J301" t="s">
        <v>1494</v>
      </c>
      <c r="K301" t="s">
        <v>40</v>
      </c>
      <c r="L301">
        <v>9</v>
      </c>
      <c r="M301">
        <v>3</v>
      </c>
      <c r="N301" t="s">
        <v>23</v>
      </c>
      <c r="O301" t="s">
        <v>22</v>
      </c>
      <c r="P301" t="s">
        <v>430</v>
      </c>
      <c r="Q301" s="9" t="str">
        <f t="shared" si="9"/>
        <v>Valid</v>
      </c>
      <c r="R301">
        <v>9203727802</v>
      </c>
      <c r="S301" s="7" t="str">
        <f t="shared" si="8"/>
        <v>Valid</v>
      </c>
      <c r="T301" t="str">
        <f>IF(Table1[[#This Row],[Age]]&lt;25,"18-24",IF(Table1[[#This Row],[Age]]&lt;30,"25-29",IF(Table1[[#This Row],[Age]]&lt;35,"30-34",IF(Table1[[#This Row],[Age]]&lt;40,"35-39",IF(Table1[[#This Row],[Age]]&lt;50,"40-49","50+")))))</f>
        <v>30-34</v>
      </c>
    </row>
    <row r="302" spans="1:20" x14ac:dyDescent="0.35">
      <c r="A302">
        <v>1301</v>
      </c>
      <c r="B302" t="s">
        <v>60</v>
      </c>
      <c r="C302" t="s">
        <v>43</v>
      </c>
      <c r="D302" t="s">
        <v>17</v>
      </c>
      <c r="E302">
        <v>25</v>
      </c>
      <c r="F302" t="s">
        <v>69</v>
      </c>
      <c r="G302" t="s">
        <v>34</v>
      </c>
      <c r="H302" t="s">
        <v>44</v>
      </c>
      <c r="I302" s="1">
        <v>119784</v>
      </c>
      <c r="J302" t="s">
        <v>1495</v>
      </c>
      <c r="K302" t="s">
        <v>30</v>
      </c>
      <c r="L302">
        <v>7</v>
      </c>
      <c r="M302">
        <v>4</v>
      </c>
      <c r="N302" t="s">
        <v>22</v>
      </c>
      <c r="O302" t="s">
        <v>23</v>
      </c>
      <c r="P302" t="s">
        <v>431</v>
      </c>
      <c r="Q302" s="9" t="str">
        <f t="shared" si="9"/>
        <v>Valid</v>
      </c>
      <c r="R302">
        <v>9479519767</v>
      </c>
      <c r="S302" s="7" t="str">
        <f t="shared" si="8"/>
        <v>Valid</v>
      </c>
      <c r="T302" t="str">
        <f>IF(Table1[[#This Row],[Age]]&lt;25,"18-24",IF(Table1[[#This Row],[Age]]&lt;30,"25-29",IF(Table1[[#This Row],[Age]]&lt;35,"30-34",IF(Table1[[#This Row],[Age]]&lt;40,"35-39",IF(Table1[[#This Row],[Age]]&lt;50,"40-49","50+")))))</f>
        <v>25-29</v>
      </c>
    </row>
    <row r="303" spans="1:20" x14ac:dyDescent="0.35">
      <c r="A303">
        <v>1302</v>
      </c>
      <c r="B303" t="s">
        <v>15</v>
      </c>
      <c r="C303" t="s">
        <v>26</v>
      </c>
      <c r="D303" t="s">
        <v>27</v>
      </c>
      <c r="E303">
        <v>51</v>
      </c>
      <c r="F303" t="s">
        <v>18</v>
      </c>
      <c r="G303" t="s">
        <v>55</v>
      </c>
      <c r="H303" t="s">
        <v>44</v>
      </c>
      <c r="I303" s="1">
        <v>81999</v>
      </c>
      <c r="J303" t="s">
        <v>432</v>
      </c>
      <c r="K303" t="s">
        <v>30</v>
      </c>
      <c r="L303">
        <v>24</v>
      </c>
      <c r="M303">
        <v>3</v>
      </c>
      <c r="N303" t="s">
        <v>22</v>
      </c>
      <c r="O303" t="s">
        <v>22</v>
      </c>
      <c r="P303" t="s">
        <v>433</v>
      </c>
      <c r="Q303" s="9" t="str">
        <f t="shared" si="9"/>
        <v>Valid</v>
      </c>
      <c r="R303">
        <v>9348225391</v>
      </c>
      <c r="S303" s="7" t="str">
        <f t="shared" si="8"/>
        <v>Valid</v>
      </c>
      <c r="T303" t="str">
        <f>IF(Table1[[#This Row],[Age]]&lt;25,"18-24",IF(Table1[[#This Row],[Age]]&lt;30,"25-29",IF(Table1[[#This Row],[Age]]&lt;35,"30-34",IF(Table1[[#This Row],[Age]]&lt;40,"35-39",IF(Table1[[#This Row],[Age]]&lt;50,"40-49","50+")))))</f>
        <v>50+</v>
      </c>
    </row>
    <row r="304" spans="1:20" x14ac:dyDescent="0.35">
      <c r="A304">
        <v>1303</v>
      </c>
      <c r="B304" t="s">
        <v>42</v>
      </c>
      <c r="C304" t="s">
        <v>43</v>
      </c>
      <c r="D304" t="s">
        <v>17</v>
      </c>
      <c r="E304">
        <v>24</v>
      </c>
      <c r="F304" t="s">
        <v>38</v>
      </c>
      <c r="G304" t="s">
        <v>34</v>
      </c>
      <c r="H304" t="s">
        <v>44</v>
      </c>
      <c r="I304" s="1">
        <v>115146</v>
      </c>
      <c r="J304" t="s">
        <v>1496</v>
      </c>
      <c r="K304" t="s">
        <v>49</v>
      </c>
      <c r="L304">
        <v>2</v>
      </c>
      <c r="M304">
        <v>5</v>
      </c>
      <c r="N304" t="s">
        <v>23</v>
      </c>
      <c r="O304" t="s">
        <v>22</v>
      </c>
      <c r="P304" t="s">
        <v>434</v>
      </c>
      <c r="Q304" s="9" t="str">
        <f t="shared" si="9"/>
        <v>Invalid</v>
      </c>
      <c r="R304">
        <v>9920491231</v>
      </c>
      <c r="S304" s="7" t="str">
        <f t="shared" si="8"/>
        <v>Valid</v>
      </c>
      <c r="T304" t="str">
        <f>IF(Table1[[#This Row],[Age]]&lt;25,"18-24",IF(Table1[[#This Row],[Age]]&lt;30,"25-29",IF(Table1[[#This Row],[Age]]&lt;35,"30-34",IF(Table1[[#This Row],[Age]]&lt;40,"35-39",IF(Table1[[#This Row],[Age]]&lt;50,"40-49","50+")))))</f>
        <v>18-24</v>
      </c>
    </row>
    <row r="305" spans="1:20" x14ac:dyDescent="0.35">
      <c r="A305">
        <v>1304</v>
      </c>
      <c r="B305" t="s">
        <v>58</v>
      </c>
      <c r="C305" t="s">
        <v>61</v>
      </c>
      <c r="D305" t="s">
        <v>17</v>
      </c>
      <c r="E305">
        <v>25</v>
      </c>
      <c r="F305" t="s">
        <v>69</v>
      </c>
      <c r="G305" t="s">
        <v>77</v>
      </c>
      <c r="H305" t="s">
        <v>56</v>
      </c>
      <c r="I305" s="1">
        <v>57798</v>
      </c>
      <c r="J305" t="s">
        <v>707</v>
      </c>
      <c r="K305" t="s">
        <v>30</v>
      </c>
      <c r="L305">
        <v>5</v>
      </c>
      <c r="M305">
        <v>2</v>
      </c>
      <c r="N305" t="s">
        <v>23</v>
      </c>
      <c r="O305" t="s">
        <v>22</v>
      </c>
      <c r="P305" t="s">
        <v>435</v>
      </c>
      <c r="Q305" s="9" t="str">
        <f t="shared" si="9"/>
        <v>Valid</v>
      </c>
      <c r="R305">
        <v>9495303999</v>
      </c>
      <c r="S305" s="7" t="str">
        <f t="shared" si="8"/>
        <v>Valid</v>
      </c>
      <c r="T305" t="str">
        <f>IF(Table1[[#This Row],[Age]]&lt;25,"18-24",IF(Table1[[#This Row],[Age]]&lt;30,"25-29",IF(Table1[[#This Row],[Age]]&lt;35,"30-34",IF(Table1[[#This Row],[Age]]&lt;40,"35-39",IF(Table1[[#This Row],[Age]]&lt;50,"40-49","50+")))))</f>
        <v>25-29</v>
      </c>
    </row>
    <row r="306" spans="1:20" x14ac:dyDescent="0.35">
      <c r="A306">
        <v>1305</v>
      </c>
      <c r="B306" t="s">
        <v>25</v>
      </c>
      <c r="C306" t="s">
        <v>32</v>
      </c>
      <c r="D306" t="s">
        <v>27</v>
      </c>
      <c r="E306">
        <v>35</v>
      </c>
      <c r="F306" t="s">
        <v>33</v>
      </c>
      <c r="G306" t="s">
        <v>34</v>
      </c>
      <c r="H306" t="s">
        <v>20</v>
      </c>
      <c r="I306" s="1">
        <v>92679</v>
      </c>
      <c r="J306" t="s">
        <v>1497</v>
      </c>
      <c r="K306" t="s">
        <v>30</v>
      </c>
      <c r="L306">
        <v>9</v>
      </c>
      <c r="M306">
        <v>1</v>
      </c>
      <c r="N306" t="s">
        <v>23</v>
      </c>
      <c r="O306" t="s">
        <v>23</v>
      </c>
      <c r="P306" t="s">
        <v>436</v>
      </c>
      <c r="Q306" s="9" t="str">
        <f t="shared" si="9"/>
        <v>Valid</v>
      </c>
      <c r="R306">
        <v>9582658636</v>
      </c>
      <c r="S306" s="7" t="str">
        <f t="shared" si="8"/>
        <v>Valid</v>
      </c>
      <c r="T306" t="str">
        <f>IF(Table1[[#This Row],[Age]]&lt;25,"18-24",IF(Table1[[#This Row],[Age]]&lt;30,"25-29",IF(Table1[[#This Row],[Age]]&lt;35,"30-34",IF(Table1[[#This Row],[Age]]&lt;40,"35-39",IF(Table1[[#This Row],[Age]]&lt;50,"40-49","50+")))))</f>
        <v>35-39</v>
      </c>
    </row>
    <row r="307" spans="1:20" x14ac:dyDescent="0.35">
      <c r="A307">
        <v>1306</v>
      </c>
      <c r="B307" t="s">
        <v>82</v>
      </c>
      <c r="C307" t="s">
        <v>16</v>
      </c>
      <c r="D307" t="s">
        <v>27</v>
      </c>
      <c r="E307">
        <v>46</v>
      </c>
      <c r="F307" t="s">
        <v>62</v>
      </c>
      <c r="G307" t="s">
        <v>34</v>
      </c>
      <c r="H307" t="s">
        <v>56</v>
      </c>
      <c r="I307" s="1">
        <v>54836</v>
      </c>
      <c r="J307" t="s">
        <v>1498</v>
      </c>
      <c r="K307" t="s">
        <v>46</v>
      </c>
      <c r="L307">
        <v>24</v>
      </c>
      <c r="M307">
        <v>2</v>
      </c>
      <c r="N307" t="s">
        <v>23</v>
      </c>
      <c r="O307" t="s">
        <v>22</v>
      </c>
      <c r="P307" t="s">
        <v>437</v>
      </c>
      <c r="Q307" s="9" t="str">
        <f t="shared" si="9"/>
        <v>Valid</v>
      </c>
      <c r="R307">
        <v>9557084569</v>
      </c>
      <c r="S307" s="7" t="str">
        <f t="shared" si="8"/>
        <v>Valid</v>
      </c>
      <c r="T307" t="str">
        <f>IF(Table1[[#This Row],[Age]]&lt;25,"18-24",IF(Table1[[#This Row],[Age]]&lt;30,"25-29",IF(Table1[[#This Row],[Age]]&lt;35,"30-34",IF(Table1[[#This Row],[Age]]&lt;40,"35-39",IF(Table1[[#This Row],[Age]]&lt;50,"40-49","50+")))))</f>
        <v>40-49</v>
      </c>
    </row>
    <row r="308" spans="1:20" x14ac:dyDescent="0.35">
      <c r="A308">
        <v>1307</v>
      </c>
      <c r="B308" t="s">
        <v>60</v>
      </c>
      <c r="C308" t="s">
        <v>16</v>
      </c>
      <c r="D308" t="s">
        <v>27</v>
      </c>
      <c r="E308">
        <v>27</v>
      </c>
      <c r="F308" t="s">
        <v>69</v>
      </c>
      <c r="G308" t="s">
        <v>55</v>
      </c>
      <c r="H308" t="s">
        <v>35</v>
      </c>
      <c r="I308" s="1">
        <v>32373</v>
      </c>
      <c r="J308" t="s">
        <v>438</v>
      </c>
      <c r="K308" t="s">
        <v>49</v>
      </c>
      <c r="L308">
        <v>16</v>
      </c>
      <c r="M308">
        <v>4</v>
      </c>
      <c r="N308" t="s">
        <v>23</v>
      </c>
      <c r="O308" t="s">
        <v>22</v>
      </c>
      <c r="P308" t="s">
        <v>439</v>
      </c>
      <c r="Q308" s="9" t="str">
        <f t="shared" si="9"/>
        <v>Valid</v>
      </c>
      <c r="R308">
        <v>9491690489</v>
      </c>
      <c r="S308" s="7" t="str">
        <f t="shared" si="8"/>
        <v>Valid</v>
      </c>
      <c r="T308" t="str">
        <f>IF(Table1[[#This Row],[Age]]&lt;25,"18-24",IF(Table1[[#This Row],[Age]]&lt;30,"25-29",IF(Table1[[#This Row],[Age]]&lt;35,"30-34",IF(Table1[[#This Row],[Age]]&lt;40,"35-39",IF(Table1[[#This Row],[Age]]&lt;50,"40-49","50+")))))</f>
        <v>25-29</v>
      </c>
    </row>
    <row r="309" spans="1:20" x14ac:dyDescent="0.35">
      <c r="A309">
        <v>1308</v>
      </c>
      <c r="B309" t="s">
        <v>67</v>
      </c>
      <c r="C309" t="s">
        <v>16</v>
      </c>
      <c r="D309" t="s">
        <v>27</v>
      </c>
      <c r="E309">
        <v>43</v>
      </c>
      <c r="F309" t="s">
        <v>18</v>
      </c>
      <c r="G309" t="s">
        <v>77</v>
      </c>
      <c r="H309" t="s">
        <v>35</v>
      </c>
      <c r="I309" s="1">
        <v>104779</v>
      </c>
      <c r="J309" t="s">
        <v>1499</v>
      </c>
      <c r="K309" t="s">
        <v>30</v>
      </c>
      <c r="L309">
        <v>5</v>
      </c>
      <c r="M309">
        <v>3</v>
      </c>
      <c r="N309" t="s">
        <v>22</v>
      </c>
      <c r="O309" t="s">
        <v>23</v>
      </c>
      <c r="P309" t="s">
        <v>440</v>
      </c>
      <c r="Q309" s="9" t="str">
        <f t="shared" si="9"/>
        <v>Valid</v>
      </c>
      <c r="R309">
        <v>9464557351</v>
      </c>
      <c r="S309" s="7" t="str">
        <f t="shared" si="8"/>
        <v>Valid</v>
      </c>
      <c r="T309" t="str">
        <f>IF(Table1[[#This Row],[Age]]&lt;25,"18-24",IF(Table1[[#This Row],[Age]]&lt;30,"25-29",IF(Table1[[#This Row],[Age]]&lt;35,"30-34",IF(Table1[[#This Row],[Age]]&lt;40,"35-39",IF(Table1[[#This Row],[Age]]&lt;50,"40-49","50+")))))</f>
        <v>40-49</v>
      </c>
    </row>
    <row r="310" spans="1:20" x14ac:dyDescent="0.35">
      <c r="A310">
        <v>1309</v>
      </c>
      <c r="B310" t="s">
        <v>25</v>
      </c>
      <c r="C310" t="s">
        <v>26</v>
      </c>
      <c r="D310" t="s">
        <v>27</v>
      </c>
      <c r="E310">
        <v>38</v>
      </c>
      <c r="F310" t="s">
        <v>18</v>
      </c>
      <c r="G310" t="s">
        <v>19</v>
      </c>
      <c r="H310" t="s">
        <v>35</v>
      </c>
      <c r="I310" s="1">
        <v>80003</v>
      </c>
      <c r="J310" t="s">
        <v>1500</v>
      </c>
      <c r="K310" t="s">
        <v>40</v>
      </c>
      <c r="L310">
        <v>22</v>
      </c>
      <c r="M310">
        <v>2</v>
      </c>
      <c r="N310" t="s">
        <v>23</v>
      </c>
      <c r="O310" t="s">
        <v>22</v>
      </c>
      <c r="P310" t="s">
        <v>441</v>
      </c>
      <c r="Q310" s="9" t="str">
        <f t="shared" si="9"/>
        <v>Valid</v>
      </c>
      <c r="R310">
        <v>9317015435</v>
      </c>
      <c r="S310" s="7" t="str">
        <f t="shared" si="8"/>
        <v>Valid</v>
      </c>
      <c r="T310" t="str">
        <f>IF(Table1[[#This Row],[Age]]&lt;25,"18-24",IF(Table1[[#This Row],[Age]]&lt;30,"25-29",IF(Table1[[#This Row],[Age]]&lt;35,"30-34",IF(Table1[[#This Row],[Age]]&lt;40,"35-39",IF(Table1[[#This Row],[Age]]&lt;50,"40-49","50+")))))</f>
        <v>35-39</v>
      </c>
    </row>
    <row r="311" spans="1:20" x14ac:dyDescent="0.35">
      <c r="A311">
        <v>1310</v>
      </c>
      <c r="B311" t="s">
        <v>54</v>
      </c>
      <c r="C311" t="s">
        <v>43</v>
      </c>
      <c r="D311" t="s">
        <v>17</v>
      </c>
      <c r="E311">
        <v>57</v>
      </c>
      <c r="F311" t="s">
        <v>38</v>
      </c>
      <c r="G311" t="s">
        <v>77</v>
      </c>
      <c r="H311" t="s">
        <v>20</v>
      </c>
      <c r="I311" s="1">
        <v>51534</v>
      </c>
      <c r="J311" t="s">
        <v>1501</v>
      </c>
      <c r="K311" t="s">
        <v>30</v>
      </c>
      <c r="L311">
        <v>12</v>
      </c>
      <c r="M311">
        <v>5</v>
      </c>
      <c r="N311" t="s">
        <v>23</v>
      </c>
      <c r="O311" t="s">
        <v>22</v>
      </c>
      <c r="P311" t="s">
        <v>442</v>
      </c>
      <c r="Q311" s="9" t="str">
        <f t="shared" si="9"/>
        <v>Valid</v>
      </c>
      <c r="R311">
        <v>9703910854</v>
      </c>
      <c r="S311" s="7" t="str">
        <f t="shared" si="8"/>
        <v>Valid</v>
      </c>
      <c r="T311" t="str">
        <f>IF(Table1[[#This Row],[Age]]&lt;25,"18-24",IF(Table1[[#This Row],[Age]]&lt;30,"25-29",IF(Table1[[#This Row],[Age]]&lt;35,"30-34",IF(Table1[[#This Row],[Age]]&lt;40,"35-39",IF(Table1[[#This Row],[Age]]&lt;50,"40-49","50+")))))</f>
        <v>50+</v>
      </c>
    </row>
    <row r="312" spans="1:20" x14ac:dyDescent="0.35">
      <c r="A312">
        <v>1311</v>
      </c>
      <c r="B312" t="s">
        <v>15</v>
      </c>
      <c r="C312" t="s">
        <v>16</v>
      </c>
      <c r="D312" t="s">
        <v>17</v>
      </c>
      <c r="E312">
        <v>48</v>
      </c>
      <c r="F312" t="s">
        <v>18</v>
      </c>
      <c r="G312" t="s">
        <v>34</v>
      </c>
      <c r="H312" t="s">
        <v>35</v>
      </c>
      <c r="I312" s="1">
        <v>44100</v>
      </c>
      <c r="J312" t="s">
        <v>443</v>
      </c>
      <c r="K312" t="s">
        <v>46</v>
      </c>
      <c r="L312">
        <v>7</v>
      </c>
      <c r="M312">
        <v>1</v>
      </c>
      <c r="N312" t="s">
        <v>23</v>
      </c>
      <c r="O312" t="s">
        <v>23</v>
      </c>
      <c r="P312" t="s">
        <v>444</v>
      </c>
      <c r="Q312" s="9" t="str">
        <f t="shared" si="9"/>
        <v>Valid</v>
      </c>
      <c r="R312">
        <v>9394751521</v>
      </c>
      <c r="S312" s="7" t="str">
        <f t="shared" si="8"/>
        <v>Valid</v>
      </c>
      <c r="T312" t="str">
        <f>IF(Table1[[#This Row],[Age]]&lt;25,"18-24",IF(Table1[[#This Row],[Age]]&lt;30,"25-29",IF(Table1[[#This Row],[Age]]&lt;35,"30-34",IF(Table1[[#This Row],[Age]]&lt;40,"35-39",IF(Table1[[#This Row],[Age]]&lt;50,"40-49","50+")))))</f>
        <v>40-49</v>
      </c>
    </row>
    <row r="313" spans="1:20" x14ac:dyDescent="0.35">
      <c r="A313">
        <v>1312</v>
      </c>
      <c r="B313" t="s">
        <v>15</v>
      </c>
      <c r="C313" t="s">
        <v>43</v>
      </c>
      <c r="D313" t="s">
        <v>27</v>
      </c>
      <c r="E313">
        <v>23</v>
      </c>
      <c r="F313" t="s">
        <v>62</v>
      </c>
      <c r="G313" t="s">
        <v>39</v>
      </c>
      <c r="H313" t="s">
        <v>20</v>
      </c>
      <c r="I313" s="1">
        <v>109807</v>
      </c>
      <c r="J313" t="s">
        <v>1502</v>
      </c>
      <c r="K313" t="s">
        <v>49</v>
      </c>
      <c r="L313">
        <v>16</v>
      </c>
      <c r="M313">
        <v>3</v>
      </c>
      <c r="N313" t="s">
        <v>22</v>
      </c>
      <c r="O313" t="s">
        <v>22</v>
      </c>
      <c r="P313" t="s">
        <v>445</v>
      </c>
      <c r="Q313" s="9" t="str">
        <f t="shared" si="9"/>
        <v>Valid</v>
      </c>
      <c r="R313">
        <v>9863051880</v>
      </c>
      <c r="S313" s="7" t="str">
        <f t="shared" si="8"/>
        <v>Valid</v>
      </c>
      <c r="T313" t="str">
        <f>IF(Table1[[#This Row],[Age]]&lt;25,"18-24",IF(Table1[[#This Row],[Age]]&lt;30,"25-29",IF(Table1[[#This Row],[Age]]&lt;35,"30-34",IF(Table1[[#This Row],[Age]]&lt;40,"35-39",IF(Table1[[#This Row],[Age]]&lt;50,"40-49","50+")))))</f>
        <v>18-24</v>
      </c>
    </row>
    <row r="314" spans="1:20" x14ac:dyDescent="0.35">
      <c r="A314">
        <v>1313</v>
      </c>
      <c r="B314" t="s">
        <v>37</v>
      </c>
      <c r="C314" t="s">
        <v>61</v>
      </c>
      <c r="D314" t="s">
        <v>27</v>
      </c>
      <c r="E314">
        <v>50</v>
      </c>
      <c r="F314" t="s">
        <v>62</v>
      </c>
      <c r="G314" t="s">
        <v>34</v>
      </c>
      <c r="H314" t="s">
        <v>35</v>
      </c>
      <c r="I314" s="1">
        <v>56391</v>
      </c>
      <c r="J314" t="s">
        <v>446</v>
      </c>
      <c r="K314" t="s">
        <v>40</v>
      </c>
      <c r="L314">
        <v>8</v>
      </c>
      <c r="M314">
        <v>2</v>
      </c>
      <c r="N314" t="s">
        <v>22</v>
      </c>
      <c r="O314" t="s">
        <v>22</v>
      </c>
      <c r="P314" t="s">
        <v>447</v>
      </c>
      <c r="Q314" s="9" t="str">
        <f t="shared" si="9"/>
        <v>Valid</v>
      </c>
      <c r="R314">
        <v>9526069129</v>
      </c>
      <c r="S314" s="7" t="str">
        <f t="shared" si="8"/>
        <v>Valid</v>
      </c>
      <c r="T314" t="str">
        <f>IF(Table1[[#This Row],[Age]]&lt;25,"18-24",IF(Table1[[#This Row],[Age]]&lt;30,"25-29",IF(Table1[[#This Row],[Age]]&lt;35,"30-34",IF(Table1[[#This Row],[Age]]&lt;40,"35-39",IF(Table1[[#This Row],[Age]]&lt;50,"40-49","50+")))))</f>
        <v>50+</v>
      </c>
    </row>
    <row r="315" spans="1:20" x14ac:dyDescent="0.35">
      <c r="A315">
        <v>1314</v>
      </c>
      <c r="B315" t="s">
        <v>25</v>
      </c>
      <c r="C315" t="s">
        <v>26</v>
      </c>
      <c r="D315" t="s">
        <v>27</v>
      </c>
      <c r="E315">
        <v>29</v>
      </c>
      <c r="F315" t="s">
        <v>33</v>
      </c>
      <c r="G315" t="s">
        <v>39</v>
      </c>
      <c r="H315" t="s">
        <v>56</v>
      </c>
      <c r="I315" s="1">
        <v>105900</v>
      </c>
      <c r="J315" t="s">
        <v>1503</v>
      </c>
      <c r="K315" t="s">
        <v>21</v>
      </c>
      <c r="L315">
        <v>11</v>
      </c>
      <c r="M315">
        <v>2</v>
      </c>
      <c r="N315" t="s">
        <v>23</v>
      </c>
      <c r="O315" t="s">
        <v>23</v>
      </c>
      <c r="P315" t="s">
        <v>448</v>
      </c>
      <c r="Q315" s="9" t="str">
        <f t="shared" si="9"/>
        <v>Valid</v>
      </c>
      <c r="R315">
        <v>99478584</v>
      </c>
      <c r="S315" s="7" t="str">
        <f t="shared" si="8"/>
        <v>Invalid</v>
      </c>
      <c r="T315" t="str">
        <f>IF(Table1[[#This Row],[Age]]&lt;25,"18-24",IF(Table1[[#This Row],[Age]]&lt;30,"25-29",IF(Table1[[#This Row],[Age]]&lt;35,"30-34",IF(Table1[[#This Row],[Age]]&lt;40,"35-39",IF(Table1[[#This Row],[Age]]&lt;50,"40-49","50+")))))</f>
        <v>25-29</v>
      </c>
    </row>
    <row r="316" spans="1:20" x14ac:dyDescent="0.35">
      <c r="A316">
        <v>1315</v>
      </c>
      <c r="B316" t="s">
        <v>60</v>
      </c>
      <c r="C316" t="s">
        <v>32</v>
      </c>
      <c r="D316" t="s">
        <v>27</v>
      </c>
      <c r="E316">
        <v>53</v>
      </c>
      <c r="F316" t="s">
        <v>38</v>
      </c>
      <c r="G316" t="s">
        <v>19</v>
      </c>
      <c r="H316" t="s">
        <v>44</v>
      </c>
      <c r="I316" s="1">
        <v>78562</v>
      </c>
      <c r="J316" t="s">
        <v>1504</v>
      </c>
      <c r="K316" t="s">
        <v>49</v>
      </c>
      <c r="L316">
        <v>13</v>
      </c>
      <c r="M316">
        <v>2</v>
      </c>
      <c r="N316" t="s">
        <v>23</v>
      </c>
      <c r="O316" t="s">
        <v>23</v>
      </c>
      <c r="P316" t="s">
        <v>449</v>
      </c>
      <c r="Q316" s="9" t="str">
        <f t="shared" si="9"/>
        <v>Valid</v>
      </c>
      <c r="R316">
        <v>9753505259</v>
      </c>
      <c r="S316" s="7" t="str">
        <f t="shared" si="8"/>
        <v>Valid</v>
      </c>
      <c r="T316" t="str">
        <f>IF(Table1[[#This Row],[Age]]&lt;25,"18-24",IF(Table1[[#This Row],[Age]]&lt;30,"25-29",IF(Table1[[#This Row],[Age]]&lt;35,"30-34",IF(Table1[[#This Row],[Age]]&lt;40,"35-39",IF(Table1[[#This Row],[Age]]&lt;50,"40-49","50+")))))</f>
        <v>50+</v>
      </c>
    </row>
    <row r="317" spans="1:20" x14ac:dyDescent="0.35">
      <c r="A317">
        <v>1316</v>
      </c>
      <c r="B317" t="s">
        <v>25</v>
      </c>
      <c r="C317" t="s">
        <v>43</v>
      </c>
      <c r="D317" t="s">
        <v>17</v>
      </c>
      <c r="E317">
        <v>35</v>
      </c>
      <c r="F317" t="s">
        <v>18</v>
      </c>
      <c r="G317" t="s">
        <v>77</v>
      </c>
      <c r="H317" t="s">
        <v>20</v>
      </c>
      <c r="I317" s="1">
        <v>47922</v>
      </c>
      <c r="J317" t="s">
        <v>692</v>
      </c>
      <c r="K317" t="s">
        <v>46</v>
      </c>
      <c r="L317">
        <v>12</v>
      </c>
      <c r="M317">
        <v>5</v>
      </c>
      <c r="N317" t="s">
        <v>23</v>
      </c>
      <c r="O317" t="s">
        <v>22</v>
      </c>
      <c r="P317" t="s">
        <v>450</v>
      </c>
      <c r="Q317" s="9" t="str">
        <f t="shared" si="9"/>
        <v>Valid</v>
      </c>
      <c r="R317">
        <v>9116040587</v>
      </c>
      <c r="S317" s="7" t="str">
        <f t="shared" si="8"/>
        <v>Valid</v>
      </c>
      <c r="T317" t="str">
        <f>IF(Table1[[#This Row],[Age]]&lt;25,"18-24",IF(Table1[[#This Row],[Age]]&lt;30,"25-29",IF(Table1[[#This Row],[Age]]&lt;35,"30-34",IF(Table1[[#This Row],[Age]]&lt;40,"35-39",IF(Table1[[#This Row],[Age]]&lt;50,"40-49","50+")))))</f>
        <v>35-39</v>
      </c>
    </row>
    <row r="318" spans="1:20" x14ac:dyDescent="0.35">
      <c r="A318">
        <v>1317</v>
      </c>
      <c r="B318" t="s">
        <v>67</v>
      </c>
      <c r="C318" t="s">
        <v>26</v>
      </c>
      <c r="D318" t="s">
        <v>17</v>
      </c>
      <c r="E318">
        <v>56</v>
      </c>
      <c r="F318" t="s">
        <v>38</v>
      </c>
      <c r="G318" t="s">
        <v>39</v>
      </c>
      <c r="H318" t="s">
        <v>20</v>
      </c>
      <c r="I318" s="1">
        <v>111997</v>
      </c>
      <c r="J318" t="s">
        <v>740</v>
      </c>
      <c r="K318" t="s">
        <v>21</v>
      </c>
      <c r="L318">
        <v>0</v>
      </c>
      <c r="M318">
        <v>5</v>
      </c>
      <c r="N318" t="s">
        <v>23</v>
      </c>
      <c r="O318" t="s">
        <v>23</v>
      </c>
      <c r="P318" t="s">
        <v>451</v>
      </c>
      <c r="Q318" s="9" t="str">
        <f t="shared" si="9"/>
        <v>Valid</v>
      </c>
      <c r="R318">
        <v>9715050043</v>
      </c>
      <c r="S318" s="7" t="str">
        <f t="shared" si="8"/>
        <v>Valid</v>
      </c>
      <c r="T318" t="str">
        <f>IF(Table1[[#This Row],[Age]]&lt;25,"18-24",IF(Table1[[#This Row],[Age]]&lt;30,"25-29",IF(Table1[[#This Row],[Age]]&lt;35,"30-34",IF(Table1[[#This Row],[Age]]&lt;40,"35-39",IF(Table1[[#This Row],[Age]]&lt;50,"40-49","50+")))))</f>
        <v>50+</v>
      </c>
    </row>
    <row r="319" spans="1:20" x14ac:dyDescent="0.35">
      <c r="A319">
        <v>1318</v>
      </c>
      <c r="B319" t="s">
        <v>67</v>
      </c>
      <c r="C319" t="s">
        <v>61</v>
      </c>
      <c r="D319" t="s">
        <v>17</v>
      </c>
      <c r="E319">
        <v>30</v>
      </c>
      <c r="F319" t="s">
        <v>62</v>
      </c>
      <c r="G319" t="s">
        <v>55</v>
      </c>
      <c r="H319" t="s">
        <v>28</v>
      </c>
      <c r="I319" s="1">
        <v>-99297</v>
      </c>
      <c r="J319" t="s">
        <v>1505</v>
      </c>
      <c r="K319" t="s">
        <v>40</v>
      </c>
      <c r="L319">
        <v>1</v>
      </c>
      <c r="M319">
        <v>3</v>
      </c>
      <c r="N319" t="s">
        <v>23</v>
      </c>
      <c r="O319" t="s">
        <v>22</v>
      </c>
      <c r="P319" t="s">
        <v>452</v>
      </c>
      <c r="Q319" s="9" t="str">
        <f t="shared" si="9"/>
        <v>Valid</v>
      </c>
      <c r="R319">
        <v>9393359413</v>
      </c>
      <c r="S319" s="7" t="str">
        <f t="shared" si="8"/>
        <v>Valid</v>
      </c>
      <c r="T319" t="str">
        <f>IF(Table1[[#This Row],[Age]]&lt;25,"18-24",IF(Table1[[#This Row],[Age]]&lt;30,"25-29",IF(Table1[[#This Row],[Age]]&lt;35,"30-34",IF(Table1[[#This Row],[Age]]&lt;40,"35-39",IF(Table1[[#This Row],[Age]]&lt;50,"40-49","50+")))))</f>
        <v>30-34</v>
      </c>
    </row>
    <row r="320" spans="1:20" x14ac:dyDescent="0.35">
      <c r="A320">
        <v>1319</v>
      </c>
      <c r="B320" t="s">
        <v>67</v>
      </c>
      <c r="C320" t="s">
        <v>26</v>
      </c>
      <c r="D320" t="s">
        <v>27</v>
      </c>
      <c r="E320">
        <v>24</v>
      </c>
      <c r="F320" t="s">
        <v>38</v>
      </c>
      <c r="G320" t="s">
        <v>19</v>
      </c>
      <c r="H320" t="s">
        <v>35</v>
      </c>
      <c r="I320" s="1">
        <v>43947</v>
      </c>
      <c r="J320" t="s">
        <v>1506</v>
      </c>
      <c r="K320" t="s">
        <v>30</v>
      </c>
      <c r="L320">
        <v>10</v>
      </c>
      <c r="M320">
        <v>5</v>
      </c>
      <c r="N320" t="s">
        <v>22</v>
      </c>
      <c r="O320" t="s">
        <v>23</v>
      </c>
      <c r="P320" t="s">
        <v>453</v>
      </c>
      <c r="Q320" s="9" t="str">
        <f t="shared" si="9"/>
        <v>Invalid</v>
      </c>
      <c r="R320">
        <v>9617715092</v>
      </c>
      <c r="S320" s="7" t="str">
        <f t="shared" si="8"/>
        <v>Valid</v>
      </c>
      <c r="T320" t="str">
        <f>IF(Table1[[#This Row],[Age]]&lt;25,"18-24",IF(Table1[[#This Row],[Age]]&lt;30,"25-29",IF(Table1[[#This Row],[Age]]&lt;35,"30-34",IF(Table1[[#This Row],[Age]]&lt;40,"35-39",IF(Table1[[#This Row],[Age]]&lt;50,"40-49","50+")))))</f>
        <v>18-24</v>
      </c>
    </row>
    <row r="321" spans="1:20" x14ac:dyDescent="0.35">
      <c r="A321">
        <v>1320</v>
      </c>
      <c r="B321" t="s">
        <v>58</v>
      </c>
      <c r="C321" t="s">
        <v>26</v>
      </c>
      <c r="D321" t="s">
        <v>27</v>
      </c>
      <c r="E321">
        <v>38</v>
      </c>
      <c r="F321" t="s">
        <v>38</v>
      </c>
      <c r="G321" t="s">
        <v>77</v>
      </c>
      <c r="H321" t="s">
        <v>44</v>
      </c>
      <c r="I321" s="1">
        <v>33732</v>
      </c>
      <c r="J321" t="s">
        <v>454</v>
      </c>
      <c r="K321" t="s">
        <v>46</v>
      </c>
      <c r="L321">
        <v>3</v>
      </c>
      <c r="M321">
        <v>4</v>
      </c>
      <c r="N321" t="s">
        <v>22</v>
      </c>
      <c r="O321" t="s">
        <v>23</v>
      </c>
      <c r="P321" t="s">
        <v>455</v>
      </c>
      <c r="Q321" s="9" t="str">
        <f t="shared" si="9"/>
        <v>Valid</v>
      </c>
      <c r="R321">
        <v>9850457393</v>
      </c>
      <c r="S321" s="7" t="str">
        <f t="shared" si="8"/>
        <v>Valid</v>
      </c>
      <c r="T321" t="str">
        <f>IF(Table1[[#This Row],[Age]]&lt;25,"18-24",IF(Table1[[#This Row],[Age]]&lt;30,"25-29",IF(Table1[[#This Row],[Age]]&lt;35,"30-34",IF(Table1[[#This Row],[Age]]&lt;40,"35-39",IF(Table1[[#This Row],[Age]]&lt;50,"40-49","50+")))))</f>
        <v>35-39</v>
      </c>
    </row>
    <row r="322" spans="1:20" x14ac:dyDescent="0.35">
      <c r="A322">
        <v>1321</v>
      </c>
      <c r="B322" t="s">
        <v>25</v>
      </c>
      <c r="C322" t="s">
        <v>16</v>
      </c>
      <c r="D322" t="s">
        <v>17</v>
      </c>
      <c r="E322">
        <v>53</v>
      </c>
      <c r="F322" t="s">
        <v>18</v>
      </c>
      <c r="G322" t="s">
        <v>19</v>
      </c>
      <c r="H322" t="s">
        <v>28</v>
      </c>
      <c r="I322" s="1">
        <v>55477</v>
      </c>
      <c r="J322" t="s">
        <v>1507</v>
      </c>
      <c r="K322" t="s">
        <v>46</v>
      </c>
      <c r="L322">
        <v>2</v>
      </c>
      <c r="M322">
        <v>3</v>
      </c>
      <c r="N322" t="s">
        <v>22</v>
      </c>
      <c r="O322" t="s">
        <v>22</v>
      </c>
      <c r="P322" t="s">
        <v>456</v>
      </c>
      <c r="Q322" s="9" t="str">
        <f t="shared" si="9"/>
        <v>Valid</v>
      </c>
      <c r="R322">
        <v>9585255902</v>
      </c>
      <c r="S322" s="7" t="str">
        <f t="shared" ref="S322:S385" si="10">IF(AND(ISNUMBER(R322),LEN(R322)=10),"Valid","Invalid")</f>
        <v>Valid</v>
      </c>
      <c r="T322" t="str">
        <f>IF(Table1[[#This Row],[Age]]&lt;25,"18-24",IF(Table1[[#This Row],[Age]]&lt;30,"25-29",IF(Table1[[#This Row],[Age]]&lt;35,"30-34",IF(Table1[[#This Row],[Age]]&lt;40,"35-39",IF(Table1[[#This Row],[Age]]&lt;50,"40-49","50+")))))</f>
        <v>50+</v>
      </c>
    </row>
    <row r="323" spans="1:20" x14ac:dyDescent="0.35">
      <c r="A323">
        <v>1322</v>
      </c>
      <c r="B323" t="s">
        <v>42</v>
      </c>
      <c r="C323" t="s">
        <v>61</v>
      </c>
      <c r="D323" t="s">
        <v>27</v>
      </c>
      <c r="E323">
        <v>38</v>
      </c>
      <c r="F323" t="s">
        <v>38</v>
      </c>
      <c r="G323" t="s">
        <v>34</v>
      </c>
      <c r="H323" t="s">
        <v>56</v>
      </c>
      <c r="I323" s="1">
        <v>27883</v>
      </c>
      <c r="J323" t="s">
        <v>457</v>
      </c>
      <c r="K323" t="s">
        <v>46</v>
      </c>
      <c r="L323">
        <v>19</v>
      </c>
      <c r="M323">
        <v>2</v>
      </c>
      <c r="N323" t="s">
        <v>23</v>
      </c>
      <c r="O323" t="s">
        <v>22</v>
      </c>
      <c r="P323" t="s">
        <v>458</v>
      </c>
      <c r="Q323" s="9" t="str">
        <f t="shared" ref="Q323:Q386" si="11">IF(AND(ISNUMBER(SEARCH("@",P323)),ISNUMBER(SEARCH(".",P323))),"Valid","Invalid")</f>
        <v>Valid</v>
      </c>
      <c r="R323">
        <v>9171676381</v>
      </c>
      <c r="S323" s="7" t="str">
        <f t="shared" si="10"/>
        <v>Valid</v>
      </c>
      <c r="T323" t="str">
        <f>IF(Table1[[#This Row],[Age]]&lt;25,"18-24",IF(Table1[[#This Row],[Age]]&lt;30,"25-29",IF(Table1[[#This Row],[Age]]&lt;35,"30-34",IF(Table1[[#This Row],[Age]]&lt;40,"35-39",IF(Table1[[#This Row],[Age]]&lt;50,"40-49","50+")))))</f>
        <v>35-39</v>
      </c>
    </row>
    <row r="324" spans="1:20" x14ac:dyDescent="0.35">
      <c r="A324">
        <v>1323</v>
      </c>
      <c r="B324" t="s">
        <v>58</v>
      </c>
      <c r="C324" t="s">
        <v>32</v>
      </c>
      <c r="D324" t="s">
        <v>27</v>
      </c>
      <c r="E324">
        <v>43</v>
      </c>
      <c r="F324" t="s">
        <v>38</v>
      </c>
      <c r="G324" t="s">
        <v>19</v>
      </c>
      <c r="H324" t="s">
        <v>28</v>
      </c>
      <c r="I324" s="1">
        <v>32698</v>
      </c>
      <c r="J324" t="s">
        <v>1508</v>
      </c>
      <c r="K324" t="s">
        <v>30</v>
      </c>
      <c r="L324">
        <v>13</v>
      </c>
      <c r="M324">
        <v>1</v>
      </c>
      <c r="N324" t="s">
        <v>22</v>
      </c>
      <c r="O324" t="s">
        <v>22</v>
      </c>
      <c r="P324" t="s">
        <v>459</v>
      </c>
      <c r="Q324" s="9" t="str">
        <f t="shared" si="11"/>
        <v>Valid</v>
      </c>
      <c r="R324">
        <v>9511663207</v>
      </c>
      <c r="S324" s="7" t="str">
        <f t="shared" si="10"/>
        <v>Valid</v>
      </c>
      <c r="T324" t="str">
        <f>IF(Table1[[#This Row],[Age]]&lt;25,"18-24",IF(Table1[[#This Row],[Age]]&lt;30,"25-29",IF(Table1[[#This Row],[Age]]&lt;35,"30-34",IF(Table1[[#This Row],[Age]]&lt;40,"35-39",IF(Table1[[#This Row],[Age]]&lt;50,"40-49","50+")))))</f>
        <v>40-49</v>
      </c>
    </row>
    <row r="325" spans="1:20" x14ac:dyDescent="0.35">
      <c r="A325">
        <v>1324</v>
      </c>
      <c r="B325" t="s">
        <v>54</v>
      </c>
      <c r="C325" t="s">
        <v>26</v>
      </c>
      <c r="D325" t="s">
        <v>27</v>
      </c>
      <c r="E325">
        <v>23</v>
      </c>
      <c r="F325" t="s">
        <v>62</v>
      </c>
      <c r="G325" t="s">
        <v>34</v>
      </c>
      <c r="H325" t="s">
        <v>35</v>
      </c>
      <c r="I325" s="1">
        <v>73956</v>
      </c>
      <c r="J325" t="s">
        <v>1509</v>
      </c>
      <c r="K325" t="s">
        <v>49</v>
      </c>
      <c r="L325">
        <v>3</v>
      </c>
      <c r="M325">
        <v>2</v>
      </c>
      <c r="N325" t="s">
        <v>22</v>
      </c>
      <c r="O325" t="s">
        <v>22</v>
      </c>
      <c r="P325" t="s">
        <v>460</v>
      </c>
      <c r="Q325" s="9" t="str">
        <f t="shared" si="11"/>
        <v>Valid</v>
      </c>
      <c r="R325">
        <v>9380576317</v>
      </c>
      <c r="S325" s="7" t="str">
        <f t="shared" si="10"/>
        <v>Valid</v>
      </c>
      <c r="T325" t="str">
        <f>IF(Table1[[#This Row],[Age]]&lt;25,"18-24",IF(Table1[[#This Row],[Age]]&lt;30,"25-29",IF(Table1[[#This Row],[Age]]&lt;35,"30-34",IF(Table1[[#This Row],[Age]]&lt;40,"35-39",IF(Table1[[#This Row],[Age]]&lt;50,"40-49","50+")))))</f>
        <v>18-24</v>
      </c>
    </row>
    <row r="326" spans="1:20" x14ac:dyDescent="0.35">
      <c r="A326">
        <v>1325</v>
      </c>
      <c r="B326" t="s">
        <v>82</v>
      </c>
      <c r="C326" t="s">
        <v>61</v>
      </c>
      <c r="D326" t="s">
        <v>27</v>
      </c>
      <c r="E326">
        <v>48</v>
      </c>
      <c r="F326" t="s">
        <v>18</v>
      </c>
      <c r="G326" t="s">
        <v>39</v>
      </c>
      <c r="H326" t="s">
        <v>28</v>
      </c>
      <c r="I326" s="1">
        <v>-26699</v>
      </c>
      <c r="J326" t="s">
        <v>461</v>
      </c>
      <c r="K326" t="s">
        <v>30</v>
      </c>
      <c r="L326">
        <v>21</v>
      </c>
      <c r="M326">
        <v>5</v>
      </c>
      <c r="N326" t="s">
        <v>22</v>
      </c>
      <c r="O326" t="s">
        <v>23</v>
      </c>
      <c r="P326" t="s">
        <v>462</v>
      </c>
      <c r="Q326" s="9" t="str">
        <f t="shared" si="11"/>
        <v>Valid</v>
      </c>
      <c r="R326">
        <v>9619295572</v>
      </c>
      <c r="S326" s="7" t="str">
        <f t="shared" si="10"/>
        <v>Valid</v>
      </c>
      <c r="T326" t="str">
        <f>IF(Table1[[#This Row],[Age]]&lt;25,"18-24",IF(Table1[[#This Row],[Age]]&lt;30,"25-29",IF(Table1[[#This Row],[Age]]&lt;35,"30-34",IF(Table1[[#This Row],[Age]]&lt;40,"35-39",IF(Table1[[#This Row],[Age]]&lt;50,"40-49","50+")))))</f>
        <v>40-49</v>
      </c>
    </row>
    <row r="327" spans="1:20" x14ac:dyDescent="0.35">
      <c r="A327">
        <v>1326</v>
      </c>
      <c r="B327" t="s">
        <v>25</v>
      </c>
      <c r="C327" t="s">
        <v>43</v>
      </c>
      <c r="D327" t="s">
        <v>17</v>
      </c>
      <c r="E327">
        <v>53</v>
      </c>
      <c r="F327" t="s">
        <v>33</v>
      </c>
      <c r="G327" t="s">
        <v>39</v>
      </c>
      <c r="H327" t="s">
        <v>44</v>
      </c>
      <c r="I327" s="1">
        <v>95301</v>
      </c>
      <c r="J327" t="s">
        <v>463</v>
      </c>
      <c r="K327" t="s">
        <v>46</v>
      </c>
      <c r="L327">
        <v>10</v>
      </c>
      <c r="M327">
        <v>2</v>
      </c>
      <c r="N327" t="s">
        <v>22</v>
      </c>
      <c r="O327" t="s">
        <v>23</v>
      </c>
      <c r="P327" t="s">
        <v>464</v>
      </c>
      <c r="Q327" s="9" t="str">
        <f t="shared" si="11"/>
        <v>Valid</v>
      </c>
      <c r="R327">
        <v>9515021784</v>
      </c>
      <c r="S327" s="7" t="str">
        <f t="shared" si="10"/>
        <v>Valid</v>
      </c>
      <c r="T327" t="str">
        <f>IF(Table1[[#This Row],[Age]]&lt;25,"18-24",IF(Table1[[#This Row],[Age]]&lt;30,"25-29",IF(Table1[[#This Row],[Age]]&lt;35,"30-34",IF(Table1[[#This Row],[Age]]&lt;40,"35-39",IF(Table1[[#This Row],[Age]]&lt;50,"40-49","50+")))))</f>
        <v>50+</v>
      </c>
    </row>
    <row r="328" spans="1:20" x14ac:dyDescent="0.35">
      <c r="A328">
        <v>1327</v>
      </c>
      <c r="B328" t="s">
        <v>25</v>
      </c>
      <c r="C328" t="s">
        <v>26</v>
      </c>
      <c r="D328" t="s">
        <v>27</v>
      </c>
      <c r="E328">
        <v>34</v>
      </c>
      <c r="F328" t="s">
        <v>38</v>
      </c>
      <c r="G328" t="s">
        <v>55</v>
      </c>
      <c r="H328" t="s">
        <v>56</v>
      </c>
      <c r="I328" s="1">
        <v>81285</v>
      </c>
      <c r="J328" t="s">
        <v>1510</v>
      </c>
      <c r="K328" t="s">
        <v>46</v>
      </c>
      <c r="L328">
        <v>6</v>
      </c>
      <c r="M328">
        <v>2</v>
      </c>
      <c r="N328" t="s">
        <v>22</v>
      </c>
      <c r="O328" t="s">
        <v>22</v>
      </c>
      <c r="P328" t="s">
        <v>465</v>
      </c>
      <c r="Q328" s="9" t="str">
        <f t="shared" si="11"/>
        <v>Valid</v>
      </c>
      <c r="R328">
        <v>9946597971</v>
      </c>
      <c r="S328" s="7" t="str">
        <f t="shared" si="10"/>
        <v>Valid</v>
      </c>
      <c r="T328" t="str">
        <f>IF(Table1[[#This Row],[Age]]&lt;25,"18-24",IF(Table1[[#This Row],[Age]]&lt;30,"25-29",IF(Table1[[#This Row],[Age]]&lt;35,"30-34",IF(Table1[[#This Row],[Age]]&lt;40,"35-39",IF(Table1[[#This Row],[Age]]&lt;50,"40-49","50+")))))</f>
        <v>30-34</v>
      </c>
    </row>
    <row r="329" spans="1:20" x14ac:dyDescent="0.35">
      <c r="A329">
        <v>1328</v>
      </c>
      <c r="B329" t="s">
        <v>15</v>
      </c>
      <c r="C329" t="s">
        <v>16</v>
      </c>
      <c r="D329" t="s">
        <v>27</v>
      </c>
      <c r="E329">
        <v>51</v>
      </c>
      <c r="F329" t="s">
        <v>69</v>
      </c>
      <c r="G329" t="s">
        <v>55</v>
      </c>
      <c r="H329" t="s">
        <v>56</v>
      </c>
      <c r="I329" s="1">
        <v>93456</v>
      </c>
      <c r="J329" t="s">
        <v>1412</v>
      </c>
      <c r="K329" t="s">
        <v>30</v>
      </c>
      <c r="L329">
        <v>4</v>
      </c>
      <c r="M329">
        <v>4</v>
      </c>
      <c r="N329" t="s">
        <v>22</v>
      </c>
      <c r="O329" t="s">
        <v>23</v>
      </c>
      <c r="P329" t="s">
        <v>466</v>
      </c>
      <c r="Q329" s="9" t="str">
        <f t="shared" si="11"/>
        <v>Valid</v>
      </c>
      <c r="R329">
        <v>9004243158</v>
      </c>
      <c r="S329" s="7" t="str">
        <f t="shared" si="10"/>
        <v>Valid</v>
      </c>
      <c r="T329" t="str">
        <f>IF(Table1[[#This Row],[Age]]&lt;25,"18-24",IF(Table1[[#This Row],[Age]]&lt;30,"25-29",IF(Table1[[#This Row],[Age]]&lt;35,"30-34",IF(Table1[[#This Row],[Age]]&lt;40,"35-39",IF(Table1[[#This Row],[Age]]&lt;50,"40-49","50+")))))</f>
        <v>50+</v>
      </c>
    </row>
    <row r="330" spans="1:20" x14ac:dyDescent="0.35">
      <c r="A330">
        <v>1329</v>
      </c>
      <c r="B330" t="s">
        <v>60</v>
      </c>
      <c r="C330" t="s">
        <v>61</v>
      </c>
      <c r="D330" t="s">
        <v>27</v>
      </c>
      <c r="E330">
        <v>43</v>
      </c>
      <c r="F330" t="s">
        <v>69</v>
      </c>
      <c r="G330" t="s">
        <v>19</v>
      </c>
      <c r="H330" t="s">
        <v>35</v>
      </c>
      <c r="I330" s="1">
        <v>51595</v>
      </c>
      <c r="J330" t="s">
        <v>1511</v>
      </c>
      <c r="K330" t="s">
        <v>21</v>
      </c>
      <c r="L330">
        <v>11</v>
      </c>
      <c r="M330">
        <v>5</v>
      </c>
      <c r="N330" t="s">
        <v>22</v>
      </c>
      <c r="O330" t="s">
        <v>22</v>
      </c>
      <c r="P330" t="s">
        <v>467</v>
      </c>
      <c r="Q330" s="9" t="str">
        <f t="shared" si="11"/>
        <v>Valid</v>
      </c>
      <c r="R330">
        <v>9679266796</v>
      </c>
      <c r="S330" s="7" t="str">
        <f t="shared" si="10"/>
        <v>Valid</v>
      </c>
      <c r="T330" t="str">
        <f>IF(Table1[[#This Row],[Age]]&lt;25,"18-24",IF(Table1[[#This Row],[Age]]&lt;30,"25-29",IF(Table1[[#This Row],[Age]]&lt;35,"30-34",IF(Table1[[#This Row],[Age]]&lt;40,"35-39",IF(Table1[[#This Row],[Age]]&lt;50,"40-49","50+")))))</f>
        <v>40-49</v>
      </c>
    </row>
    <row r="331" spans="1:20" x14ac:dyDescent="0.35">
      <c r="A331">
        <v>1330</v>
      </c>
      <c r="B331" t="s">
        <v>42</v>
      </c>
      <c r="C331" t="s">
        <v>16</v>
      </c>
      <c r="D331" t="s">
        <v>27</v>
      </c>
      <c r="E331">
        <v>47</v>
      </c>
      <c r="F331" t="s">
        <v>69</v>
      </c>
      <c r="G331" t="s">
        <v>34</v>
      </c>
      <c r="H331" t="s">
        <v>28</v>
      </c>
      <c r="I331" s="1">
        <v>91464</v>
      </c>
      <c r="J331" t="s">
        <v>1512</v>
      </c>
      <c r="K331" t="s">
        <v>46</v>
      </c>
      <c r="L331">
        <v>25</v>
      </c>
      <c r="M331">
        <v>4</v>
      </c>
      <c r="N331" t="s">
        <v>23</v>
      </c>
      <c r="O331" t="s">
        <v>22</v>
      </c>
      <c r="P331" t="s">
        <v>468</v>
      </c>
      <c r="Q331" s="9" t="str">
        <f t="shared" si="11"/>
        <v>Valid</v>
      </c>
      <c r="R331">
        <v>9531784293</v>
      </c>
      <c r="S331" s="7" t="str">
        <f t="shared" si="10"/>
        <v>Valid</v>
      </c>
      <c r="T331" t="str">
        <f>IF(Table1[[#This Row],[Age]]&lt;25,"18-24",IF(Table1[[#This Row],[Age]]&lt;30,"25-29",IF(Table1[[#This Row],[Age]]&lt;35,"30-34",IF(Table1[[#This Row],[Age]]&lt;40,"35-39",IF(Table1[[#This Row],[Age]]&lt;50,"40-49","50+")))))</f>
        <v>40-49</v>
      </c>
    </row>
    <row r="332" spans="1:20" x14ac:dyDescent="0.35">
      <c r="A332">
        <v>1331</v>
      </c>
      <c r="B332" t="s">
        <v>54</v>
      </c>
      <c r="C332" t="s">
        <v>26</v>
      </c>
      <c r="D332" t="s">
        <v>27</v>
      </c>
      <c r="E332">
        <v>45</v>
      </c>
      <c r="F332" t="s">
        <v>33</v>
      </c>
      <c r="G332" t="s">
        <v>77</v>
      </c>
      <c r="H332" t="s">
        <v>28</v>
      </c>
      <c r="I332" s="1">
        <v>118999</v>
      </c>
      <c r="J332" t="s">
        <v>1513</v>
      </c>
      <c r="K332" t="s">
        <v>46</v>
      </c>
      <c r="L332">
        <v>23</v>
      </c>
      <c r="M332">
        <v>4</v>
      </c>
      <c r="N332" t="s">
        <v>22</v>
      </c>
      <c r="O332" t="s">
        <v>23</v>
      </c>
      <c r="P332" t="s">
        <v>469</v>
      </c>
      <c r="Q332" s="9" t="str">
        <f t="shared" si="11"/>
        <v>Valid</v>
      </c>
      <c r="R332">
        <v>9863065684</v>
      </c>
      <c r="S332" s="7" t="str">
        <f t="shared" si="10"/>
        <v>Valid</v>
      </c>
      <c r="T332" t="str">
        <f>IF(Table1[[#This Row],[Age]]&lt;25,"18-24",IF(Table1[[#This Row],[Age]]&lt;30,"25-29",IF(Table1[[#This Row],[Age]]&lt;35,"30-34",IF(Table1[[#This Row],[Age]]&lt;40,"35-39",IF(Table1[[#This Row],[Age]]&lt;50,"40-49","50+")))))</f>
        <v>40-49</v>
      </c>
    </row>
    <row r="333" spans="1:20" x14ac:dyDescent="0.35">
      <c r="A333">
        <v>1332</v>
      </c>
      <c r="B333" t="s">
        <v>67</v>
      </c>
      <c r="C333" t="s">
        <v>26</v>
      </c>
      <c r="D333" t="s">
        <v>17</v>
      </c>
      <c r="E333">
        <v>29</v>
      </c>
      <c r="F333" t="s">
        <v>33</v>
      </c>
      <c r="G333" t="s">
        <v>77</v>
      </c>
      <c r="H333" t="s">
        <v>35</v>
      </c>
      <c r="I333" s="1">
        <v>100753</v>
      </c>
      <c r="J333" t="s">
        <v>1514</v>
      </c>
      <c r="K333" t="s">
        <v>49</v>
      </c>
      <c r="L333">
        <v>10</v>
      </c>
      <c r="M333">
        <v>2</v>
      </c>
      <c r="N333" t="s">
        <v>23</v>
      </c>
      <c r="O333" t="s">
        <v>22</v>
      </c>
      <c r="P333" t="s">
        <v>470</v>
      </c>
      <c r="Q333" s="9" t="str">
        <f t="shared" si="11"/>
        <v>Valid</v>
      </c>
      <c r="R333">
        <v>9960705222</v>
      </c>
      <c r="S333" s="7" t="str">
        <f t="shared" si="10"/>
        <v>Valid</v>
      </c>
      <c r="T333" t="str">
        <f>IF(Table1[[#This Row],[Age]]&lt;25,"18-24",IF(Table1[[#This Row],[Age]]&lt;30,"25-29",IF(Table1[[#This Row],[Age]]&lt;35,"30-34",IF(Table1[[#This Row],[Age]]&lt;40,"35-39",IF(Table1[[#This Row],[Age]]&lt;50,"40-49","50+")))))</f>
        <v>25-29</v>
      </c>
    </row>
    <row r="334" spans="1:20" x14ac:dyDescent="0.35">
      <c r="A334">
        <v>1333</v>
      </c>
      <c r="B334" t="s">
        <v>60</v>
      </c>
      <c r="C334" t="s">
        <v>26</v>
      </c>
      <c r="D334" t="s">
        <v>27</v>
      </c>
      <c r="E334">
        <v>24</v>
      </c>
      <c r="F334" t="s">
        <v>62</v>
      </c>
      <c r="G334" t="s">
        <v>39</v>
      </c>
      <c r="H334" t="s">
        <v>44</v>
      </c>
      <c r="I334" s="1">
        <v>109653</v>
      </c>
      <c r="J334" t="s">
        <v>1515</v>
      </c>
      <c r="K334" t="s">
        <v>49</v>
      </c>
      <c r="L334">
        <v>2</v>
      </c>
      <c r="M334">
        <v>4</v>
      </c>
      <c r="N334" t="s">
        <v>22</v>
      </c>
      <c r="O334" t="s">
        <v>22</v>
      </c>
      <c r="P334" t="s">
        <v>471</v>
      </c>
      <c r="Q334" s="9" t="str">
        <f t="shared" si="11"/>
        <v>Valid</v>
      </c>
      <c r="R334">
        <v>9682934397</v>
      </c>
      <c r="S334" s="7" t="str">
        <f t="shared" si="10"/>
        <v>Valid</v>
      </c>
      <c r="T334" t="str">
        <f>IF(Table1[[#This Row],[Age]]&lt;25,"18-24",IF(Table1[[#This Row],[Age]]&lt;30,"25-29",IF(Table1[[#This Row],[Age]]&lt;35,"30-34",IF(Table1[[#This Row],[Age]]&lt;40,"35-39",IF(Table1[[#This Row],[Age]]&lt;50,"40-49","50+")))))</f>
        <v>18-24</v>
      </c>
    </row>
    <row r="335" spans="1:20" x14ac:dyDescent="0.35">
      <c r="A335">
        <v>1334</v>
      </c>
      <c r="B335" t="s">
        <v>60</v>
      </c>
      <c r="C335" t="s">
        <v>16</v>
      </c>
      <c r="D335" t="s">
        <v>27</v>
      </c>
      <c r="E335">
        <v>45</v>
      </c>
      <c r="F335" t="s">
        <v>62</v>
      </c>
      <c r="G335" t="s">
        <v>19</v>
      </c>
      <c r="H335" t="s">
        <v>56</v>
      </c>
      <c r="I335" s="1">
        <v>27212</v>
      </c>
      <c r="J335" t="s">
        <v>1516</v>
      </c>
      <c r="K335" t="s">
        <v>40</v>
      </c>
      <c r="L335">
        <v>7</v>
      </c>
      <c r="M335">
        <v>3</v>
      </c>
      <c r="N335" t="s">
        <v>22</v>
      </c>
      <c r="O335" t="s">
        <v>23</v>
      </c>
      <c r="P335" t="s">
        <v>472</v>
      </c>
      <c r="Q335" s="9" t="str">
        <f t="shared" si="11"/>
        <v>Valid</v>
      </c>
      <c r="R335">
        <v>9118608144</v>
      </c>
      <c r="S335" s="7" t="str">
        <f t="shared" si="10"/>
        <v>Valid</v>
      </c>
      <c r="T335" t="str">
        <f>IF(Table1[[#This Row],[Age]]&lt;25,"18-24",IF(Table1[[#This Row],[Age]]&lt;30,"25-29",IF(Table1[[#This Row],[Age]]&lt;35,"30-34",IF(Table1[[#This Row],[Age]]&lt;40,"35-39",IF(Table1[[#This Row],[Age]]&lt;50,"40-49","50+")))))</f>
        <v>40-49</v>
      </c>
    </row>
    <row r="336" spans="1:20" x14ac:dyDescent="0.35">
      <c r="A336">
        <v>1335</v>
      </c>
      <c r="B336" t="s">
        <v>15</v>
      </c>
      <c r="C336" t="s">
        <v>16</v>
      </c>
      <c r="D336" t="s">
        <v>27</v>
      </c>
      <c r="E336">
        <v>40</v>
      </c>
      <c r="F336" t="s">
        <v>33</v>
      </c>
      <c r="G336" t="s">
        <v>34</v>
      </c>
      <c r="H336" t="s">
        <v>56</v>
      </c>
      <c r="I336" s="1">
        <v>80360</v>
      </c>
      <c r="J336" t="s">
        <v>1517</v>
      </c>
      <c r="K336" t="s">
        <v>46</v>
      </c>
      <c r="L336">
        <v>18</v>
      </c>
      <c r="M336">
        <v>1</v>
      </c>
      <c r="N336" t="s">
        <v>22</v>
      </c>
      <c r="O336" t="s">
        <v>23</v>
      </c>
      <c r="P336" t="s">
        <v>473</v>
      </c>
      <c r="Q336" s="9" t="str">
        <f t="shared" si="11"/>
        <v>Valid</v>
      </c>
      <c r="R336">
        <v>9791801818</v>
      </c>
      <c r="S336" s="7" t="str">
        <f t="shared" si="10"/>
        <v>Valid</v>
      </c>
      <c r="T336" t="str">
        <f>IF(Table1[[#This Row],[Age]]&lt;25,"18-24",IF(Table1[[#This Row],[Age]]&lt;30,"25-29",IF(Table1[[#This Row],[Age]]&lt;35,"30-34",IF(Table1[[#This Row],[Age]]&lt;40,"35-39",IF(Table1[[#This Row],[Age]]&lt;50,"40-49","50+")))))</f>
        <v>40-49</v>
      </c>
    </row>
    <row r="337" spans="1:20" x14ac:dyDescent="0.35">
      <c r="A337">
        <v>1336</v>
      </c>
      <c r="B337" t="s">
        <v>82</v>
      </c>
      <c r="C337" t="s">
        <v>61</v>
      </c>
      <c r="D337" t="s">
        <v>27</v>
      </c>
      <c r="E337">
        <v>46</v>
      </c>
      <c r="F337" t="s">
        <v>18</v>
      </c>
      <c r="G337" t="s">
        <v>55</v>
      </c>
      <c r="H337" t="s">
        <v>44</v>
      </c>
      <c r="I337" s="1">
        <v>38324</v>
      </c>
      <c r="J337" t="s">
        <v>474</v>
      </c>
      <c r="K337" t="s">
        <v>40</v>
      </c>
      <c r="L337">
        <v>21</v>
      </c>
      <c r="M337">
        <v>5</v>
      </c>
      <c r="N337" t="s">
        <v>22</v>
      </c>
      <c r="O337" t="s">
        <v>23</v>
      </c>
      <c r="P337" t="s">
        <v>475</v>
      </c>
      <c r="Q337" s="9" t="str">
        <f t="shared" si="11"/>
        <v>Valid</v>
      </c>
      <c r="R337">
        <v>9726670131</v>
      </c>
      <c r="S337" s="7" t="str">
        <f t="shared" si="10"/>
        <v>Valid</v>
      </c>
      <c r="T337" t="str">
        <f>IF(Table1[[#This Row],[Age]]&lt;25,"18-24",IF(Table1[[#This Row],[Age]]&lt;30,"25-29",IF(Table1[[#This Row],[Age]]&lt;35,"30-34",IF(Table1[[#This Row],[Age]]&lt;40,"35-39",IF(Table1[[#This Row],[Age]]&lt;50,"40-49","50+")))))</f>
        <v>40-49</v>
      </c>
    </row>
    <row r="338" spans="1:20" x14ac:dyDescent="0.35">
      <c r="A338">
        <v>1337</v>
      </c>
      <c r="B338" t="s">
        <v>67</v>
      </c>
      <c r="C338" t="s">
        <v>32</v>
      </c>
      <c r="D338" t="s">
        <v>27</v>
      </c>
      <c r="E338">
        <v>31</v>
      </c>
      <c r="F338" t="s">
        <v>38</v>
      </c>
      <c r="G338" t="s">
        <v>19</v>
      </c>
      <c r="H338" t="s">
        <v>44</v>
      </c>
      <c r="I338" s="1">
        <v>46082</v>
      </c>
      <c r="J338" t="s">
        <v>476</v>
      </c>
      <c r="K338" t="s">
        <v>46</v>
      </c>
      <c r="L338">
        <v>2</v>
      </c>
      <c r="M338">
        <v>5</v>
      </c>
      <c r="N338" t="s">
        <v>23</v>
      </c>
      <c r="O338" t="s">
        <v>23</v>
      </c>
      <c r="P338" t="s">
        <v>477</v>
      </c>
      <c r="Q338" s="9" t="str">
        <f t="shared" si="11"/>
        <v>Valid</v>
      </c>
      <c r="R338">
        <v>9345169432</v>
      </c>
      <c r="S338" s="7" t="str">
        <f t="shared" si="10"/>
        <v>Valid</v>
      </c>
      <c r="T338" t="str">
        <f>IF(Table1[[#This Row],[Age]]&lt;25,"18-24",IF(Table1[[#This Row],[Age]]&lt;30,"25-29",IF(Table1[[#This Row],[Age]]&lt;35,"30-34",IF(Table1[[#This Row],[Age]]&lt;40,"35-39",IF(Table1[[#This Row],[Age]]&lt;50,"40-49","50+")))))</f>
        <v>30-34</v>
      </c>
    </row>
    <row r="339" spans="1:20" x14ac:dyDescent="0.35">
      <c r="A339">
        <v>1338</v>
      </c>
      <c r="B339" t="s">
        <v>82</v>
      </c>
      <c r="C339" t="s">
        <v>61</v>
      </c>
      <c r="D339" t="s">
        <v>17</v>
      </c>
      <c r="E339">
        <v>51</v>
      </c>
      <c r="F339" t="s">
        <v>69</v>
      </c>
      <c r="G339" t="s">
        <v>55</v>
      </c>
      <c r="H339" t="s">
        <v>44</v>
      </c>
      <c r="I339" s="1">
        <v>66297</v>
      </c>
      <c r="J339" t="s">
        <v>1518</v>
      </c>
      <c r="K339" t="s">
        <v>49</v>
      </c>
      <c r="L339">
        <v>5</v>
      </c>
      <c r="M339">
        <v>2</v>
      </c>
      <c r="N339" t="s">
        <v>23</v>
      </c>
      <c r="O339" t="s">
        <v>22</v>
      </c>
      <c r="P339" t="s">
        <v>478</v>
      </c>
      <c r="Q339" s="9" t="str">
        <f t="shared" si="11"/>
        <v>Valid</v>
      </c>
      <c r="R339">
        <v>9689730059</v>
      </c>
      <c r="S339" s="7" t="str">
        <f t="shared" si="10"/>
        <v>Valid</v>
      </c>
      <c r="T339" t="str">
        <f>IF(Table1[[#This Row],[Age]]&lt;25,"18-24",IF(Table1[[#This Row],[Age]]&lt;30,"25-29",IF(Table1[[#This Row],[Age]]&lt;35,"30-34",IF(Table1[[#This Row],[Age]]&lt;40,"35-39",IF(Table1[[#This Row],[Age]]&lt;50,"40-49","50+")))))</f>
        <v>50+</v>
      </c>
    </row>
    <row r="340" spans="1:20" x14ac:dyDescent="0.35">
      <c r="A340">
        <v>1339</v>
      </c>
      <c r="B340" t="s">
        <v>42</v>
      </c>
      <c r="C340" t="s">
        <v>16</v>
      </c>
      <c r="D340" t="s">
        <v>27</v>
      </c>
      <c r="E340">
        <v>55</v>
      </c>
      <c r="F340" t="s">
        <v>69</v>
      </c>
      <c r="G340" t="s">
        <v>19</v>
      </c>
      <c r="H340" t="s">
        <v>56</v>
      </c>
      <c r="I340" s="1">
        <v>107835</v>
      </c>
      <c r="J340" t="s">
        <v>1519</v>
      </c>
      <c r="K340" t="s">
        <v>30</v>
      </c>
      <c r="L340">
        <v>14</v>
      </c>
      <c r="M340">
        <v>4</v>
      </c>
      <c r="N340" t="s">
        <v>22</v>
      </c>
      <c r="O340" t="s">
        <v>23</v>
      </c>
      <c r="P340" t="s">
        <v>479</v>
      </c>
      <c r="Q340" s="9" t="str">
        <f t="shared" si="11"/>
        <v>Valid</v>
      </c>
      <c r="R340">
        <v>9249957958</v>
      </c>
      <c r="S340" s="7" t="str">
        <f t="shared" si="10"/>
        <v>Valid</v>
      </c>
      <c r="T340" t="str">
        <f>IF(Table1[[#This Row],[Age]]&lt;25,"18-24",IF(Table1[[#This Row],[Age]]&lt;30,"25-29",IF(Table1[[#This Row],[Age]]&lt;35,"30-34",IF(Table1[[#This Row],[Age]]&lt;40,"35-39",IF(Table1[[#This Row],[Age]]&lt;50,"40-49","50+")))))</f>
        <v>50+</v>
      </c>
    </row>
    <row r="341" spans="1:20" x14ac:dyDescent="0.35">
      <c r="A341">
        <v>1340</v>
      </c>
      <c r="B341" t="s">
        <v>15</v>
      </c>
      <c r="C341" t="s">
        <v>61</v>
      </c>
      <c r="D341" t="s">
        <v>27</v>
      </c>
      <c r="E341">
        <v>25</v>
      </c>
      <c r="F341" t="s">
        <v>69</v>
      </c>
      <c r="G341" t="s">
        <v>39</v>
      </c>
      <c r="H341" t="s">
        <v>56</v>
      </c>
      <c r="I341" s="1">
        <v>118475</v>
      </c>
      <c r="J341" t="s">
        <v>480</v>
      </c>
      <c r="K341" t="s">
        <v>40</v>
      </c>
      <c r="L341">
        <v>20</v>
      </c>
      <c r="M341">
        <v>1</v>
      </c>
      <c r="N341" t="s">
        <v>22</v>
      </c>
      <c r="O341" t="s">
        <v>23</v>
      </c>
      <c r="P341" t="s">
        <v>481</v>
      </c>
      <c r="Q341" s="9" t="str">
        <f t="shared" si="11"/>
        <v>Invalid</v>
      </c>
      <c r="R341">
        <v>9587019544</v>
      </c>
      <c r="S341" s="7" t="str">
        <f t="shared" si="10"/>
        <v>Valid</v>
      </c>
      <c r="T341" t="str">
        <f>IF(Table1[[#This Row],[Age]]&lt;25,"18-24",IF(Table1[[#This Row],[Age]]&lt;30,"25-29",IF(Table1[[#This Row],[Age]]&lt;35,"30-34",IF(Table1[[#This Row],[Age]]&lt;40,"35-39",IF(Table1[[#This Row],[Age]]&lt;50,"40-49","50+")))))</f>
        <v>25-29</v>
      </c>
    </row>
    <row r="342" spans="1:20" x14ac:dyDescent="0.35">
      <c r="A342">
        <v>1341</v>
      </c>
      <c r="B342" t="s">
        <v>64</v>
      </c>
      <c r="C342" t="s">
        <v>61</v>
      </c>
      <c r="D342" t="s">
        <v>17</v>
      </c>
      <c r="E342">
        <v>25</v>
      </c>
      <c r="F342" t="s">
        <v>33</v>
      </c>
      <c r="G342" t="s">
        <v>19</v>
      </c>
      <c r="H342" t="s">
        <v>35</v>
      </c>
      <c r="I342" s="1">
        <v>50031</v>
      </c>
      <c r="J342" t="s">
        <v>1520</v>
      </c>
      <c r="K342" t="s">
        <v>21</v>
      </c>
      <c r="L342">
        <v>22</v>
      </c>
      <c r="M342">
        <v>2</v>
      </c>
      <c r="N342" t="s">
        <v>22</v>
      </c>
      <c r="O342" t="s">
        <v>22</v>
      </c>
      <c r="P342" t="s">
        <v>482</v>
      </c>
      <c r="Q342" s="9" t="str">
        <f t="shared" si="11"/>
        <v>Valid</v>
      </c>
      <c r="R342">
        <v>9054642759</v>
      </c>
      <c r="S342" s="7" t="str">
        <f t="shared" si="10"/>
        <v>Valid</v>
      </c>
      <c r="T342" t="str">
        <f>IF(Table1[[#This Row],[Age]]&lt;25,"18-24",IF(Table1[[#This Row],[Age]]&lt;30,"25-29",IF(Table1[[#This Row],[Age]]&lt;35,"30-34",IF(Table1[[#This Row],[Age]]&lt;40,"35-39",IF(Table1[[#This Row],[Age]]&lt;50,"40-49","50+")))))</f>
        <v>25-29</v>
      </c>
    </row>
    <row r="343" spans="1:20" x14ac:dyDescent="0.35">
      <c r="A343">
        <v>1342</v>
      </c>
      <c r="B343" t="s">
        <v>67</v>
      </c>
      <c r="C343" t="s">
        <v>26</v>
      </c>
      <c r="D343" t="s">
        <v>27</v>
      </c>
      <c r="E343">
        <v>58</v>
      </c>
      <c r="F343" t="s">
        <v>18</v>
      </c>
      <c r="G343" t="s">
        <v>39</v>
      </c>
      <c r="H343" t="s">
        <v>28</v>
      </c>
      <c r="I343" s="1">
        <v>92235</v>
      </c>
      <c r="J343" t="s">
        <v>483</v>
      </c>
      <c r="K343" t="s">
        <v>40</v>
      </c>
      <c r="L343">
        <v>23</v>
      </c>
      <c r="M343">
        <v>2</v>
      </c>
      <c r="N343" t="s">
        <v>23</v>
      </c>
      <c r="O343" t="s">
        <v>22</v>
      </c>
      <c r="P343" t="s">
        <v>484</v>
      </c>
      <c r="Q343" s="9" t="str">
        <f t="shared" si="11"/>
        <v>Valid</v>
      </c>
      <c r="R343">
        <v>9614602984</v>
      </c>
      <c r="S343" s="7" t="str">
        <f t="shared" si="10"/>
        <v>Valid</v>
      </c>
      <c r="T343" t="str">
        <f>IF(Table1[[#This Row],[Age]]&lt;25,"18-24",IF(Table1[[#This Row],[Age]]&lt;30,"25-29",IF(Table1[[#This Row],[Age]]&lt;35,"30-34",IF(Table1[[#This Row],[Age]]&lt;40,"35-39",IF(Table1[[#This Row],[Age]]&lt;50,"40-49","50+")))))</f>
        <v>50+</v>
      </c>
    </row>
    <row r="344" spans="1:20" x14ac:dyDescent="0.35">
      <c r="A344">
        <v>1343</v>
      </c>
      <c r="B344" t="s">
        <v>58</v>
      </c>
      <c r="C344" t="s">
        <v>61</v>
      </c>
      <c r="D344" t="s">
        <v>17</v>
      </c>
      <c r="E344">
        <v>24</v>
      </c>
      <c r="F344" t="s">
        <v>33</v>
      </c>
      <c r="G344" t="s">
        <v>39</v>
      </c>
      <c r="H344" t="s">
        <v>56</v>
      </c>
      <c r="I344" s="1">
        <v>102402</v>
      </c>
      <c r="J344" t="s">
        <v>1521</v>
      </c>
      <c r="K344" t="s">
        <v>46</v>
      </c>
      <c r="L344">
        <v>20</v>
      </c>
      <c r="M344">
        <v>1</v>
      </c>
      <c r="N344" t="s">
        <v>23</v>
      </c>
      <c r="O344" t="s">
        <v>23</v>
      </c>
      <c r="P344" t="s">
        <v>485</v>
      </c>
      <c r="Q344" s="9" t="str">
        <f t="shared" si="11"/>
        <v>Valid</v>
      </c>
      <c r="R344">
        <v>9297493305</v>
      </c>
      <c r="S344" s="7" t="str">
        <f t="shared" si="10"/>
        <v>Valid</v>
      </c>
      <c r="T344" t="str">
        <f>IF(Table1[[#This Row],[Age]]&lt;25,"18-24",IF(Table1[[#This Row],[Age]]&lt;30,"25-29",IF(Table1[[#This Row],[Age]]&lt;35,"30-34",IF(Table1[[#This Row],[Age]]&lt;40,"35-39",IF(Table1[[#This Row],[Age]]&lt;50,"40-49","50+")))))</f>
        <v>18-24</v>
      </c>
    </row>
    <row r="345" spans="1:20" x14ac:dyDescent="0.35">
      <c r="A345">
        <v>1344</v>
      </c>
      <c r="B345" t="s">
        <v>82</v>
      </c>
      <c r="C345" t="s">
        <v>26</v>
      </c>
      <c r="D345" t="s">
        <v>17</v>
      </c>
      <c r="E345">
        <v>30</v>
      </c>
      <c r="F345" t="s">
        <v>33</v>
      </c>
      <c r="G345" t="s">
        <v>34</v>
      </c>
      <c r="H345" t="s">
        <v>56</v>
      </c>
      <c r="I345" s="1">
        <v>46592</v>
      </c>
      <c r="J345" t="s">
        <v>486</v>
      </c>
      <c r="K345" t="s">
        <v>49</v>
      </c>
      <c r="L345">
        <v>12</v>
      </c>
      <c r="M345">
        <v>1</v>
      </c>
      <c r="N345" t="s">
        <v>23</v>
      </c>
      <c r="O345" t="s">
        <v>23</v>
      </c>
      <c r="P345" s="3" t="s">
        <v>1318</v>
      </c>
      <c r="Q345" s="9" t="str">
        <f t="shared" si="11"/>
        <v>Invalid</v>
      </c>
      <c r="R345">
        <v>9063887576</v>
      </c>
      <c r="S345" s="7" t="str">
        <f t="shared" si="10"/>
        <v>Valid</v>
      </c>
      <c r="T345" t="str">
        <f>IF(Table1[[#This Row],[Age]]&lt;25,"18-24",IF(Table1[[#This Row],[Age]]&lt;30,"25-29",IF(Table1[[#This Row],[Age]]&lt;35,"30-34",IF(Table1[[#This Row],[Age]]&lt;40,"35-39",IF(Table1[[#This Row],[Age]]&lt;50,"40-49","50+")))))</f>
        <v>30-34</v>
      </c>
    </row>
    <row r="346" spans="1:20" x14ac:dyDescent="0.35">
      <c r="A346">
        <v>1345</v>
      </c>
      <c r="B346" t="s">
        <v>15</v>
      </c>
      <c r="C346" t="s">
        <v>32</v>
      </c>
      <c r="D346" t="s">
        <v>27</v>
      </c>
      <c r="E346">
        <v>54</v>
      </c>
      <c r="F346" t="s">
        <v>18</v>
      </c>
      <c r="G346" t="s">
        <v>55</v>
      </c>
      <c r="H346" t="s">
        <v>56</v>
      </c>
      <c r="I346" s="1">
        <v>81230</v>
      </c>
      <c r="J346" t="s">
        <v>487</v>
      </c>
      <c r="K346" t="s">
        <v>30</v>
      </c>
      <c r="L346">
        <v>11</v>
      </c>
      <c r="M346">
        <v>5</v>
      </c>
      <c r="N346" t="s">
        <v>23</v>
      </c>
      <c r="O346" t="s">
        <v>23</v>
      </c>
      <c r="P346" t="s">
        <v>488</v>
      </c>
      <c r="Q346" s="9" t="str">
        <f t="shared" si="11"/>
        <v>Valid</v>
      </c>
      <c r="R346">
        <v>9978124410</v>
      </c>
      <c r="S346" s="7" t="str">
        <f t="shared" si="10"/>
        <v>Valid</v>
      </c>
      <c r="T346" t="str">
        <f>IF(Table1[[#This Row],[Age]]&lt;25,"18-24",IF(Table1[[#This Row],[Age]]&lt;30,"25-29",IF(Table1[[#This Row],[Age]]&lt;35,"30-34",IF(Table1[[#This Row],[Age]]&lt;40,"35-39",IF(Table1[[#This Row],[Age]]&lt;50,"40-49","50+")))))</f>
        <v>50+</v>
      </c>
    </row>
    <row r="347" spans="1:20" x14ac:dyDescent="0.35">
      <c r="A347">
        <v>1346</v>
      </c>
      <c r="B347" t="s">
        <v>37</v>
      </c>
      <c r="C347" t="s">
        <v>16</v>
      </c>
      <c r="D347" t="s">
        <v>17</v>
      </c>
      <c r="E347">
        <v>45</v>
      </c>
      <c r="F347" t="s">
        <v>62</v>
      </c>
      <c r="G347" t="s">
        <v>39</v>
      </c>
      <c r="H347" t="s">
        <v>35</v>
      </c>
      <c r="I347" s="1">
        <v>26494</v>
      </c>
      <c r="J347" t="s">
        <v>1522</v>
      </c>
      <c r="K347" t="s">
        <v>30</v>
      </c>
      <c r="L347">
        <v>21</v>
      </c>
      <c r="M347">
        <v>3</v>
      </c>
      <c r="N347" t="s">
        <v>22</v>
      </c>
      <c r="O347" t="s">
        <v>22</v>
      </c>
      <c r="P347" t="s">
        <v>489</v>
      </c>
      <c r="Q347" s="9" t="str">
        <f t="shared" si="11"/>
        <v>Invalid</v>
      </c>
      <c r="R347">
        <v>9536545382</v>
      </c>
      <c r="S347" s="7" t="str">
        <f t="shared" si="10"/>
        <v>Valid</v>
      </c>
      <c r="T347" t="str">
        <f>IF(Table1[[#This Row],[Age]]&lt;25,"18-24",IF(Table1[[#This Row],[Age]]&lt;30,"25-29",IF(Table1[[#This Row],[Age]]&lt;35,"30-34",IF(Table1[[#This Row],[Age]]&lt;40,"35-39",IF(Table1[[#This Row],[Age]]&lt;50,"40-49","50+")))))</f>
        <v>40-49</v>
      </c>
    </row>
    <row r="348" spans="1:20" x14ac:dyDescent="0.35">
      <c r="A348">
        <v>1347</v>
      </c>
      <c r="B348" t="s">
        <v>67</v>
      </c>
      <c r="C348" t="s">
        <v>32</v>
      </c>
      <c r="D348" t="s">
        <v>27</v>
      </c>
      <c r="E348">
        <v>48</v>
      </c>
      <c r="F348" t="s">
        <v>38</v>
      </c>
      <c r="G348" t="s">
        <v>39</v>
      </c>
      <c r="H348" t="s">
        <v>28</v>
      </c>
      <c r="I348" s="1">
        <v>109096</v>
      </c>
      <c r="J348" t="s">
        <v>490</v>
      </c>
      <c r="K348" t="s">
        <v>21</v>
      </c>
      <c r="L348">
        <v>20</v>
      </c>
      <c r="M348">
        <v>4</v>
      </c>
      <c r="N348" t="s">
        <v>23</v>
      </c>
      <c r="O348" t="s">
        <v>23</v>
      </c>
      <c r="P348" t="s">
        <v>491</v>
      </c>
      <c r="Q348" s="9" t="str">
        <f t="shared" si="11"/>
        <v>Valid</v>
      </c>
      <c r="R348">
        <v>9585436037</v>
      </c>
      <c r="S348" s="7" t="str">
        <f t="shared" si="10"/>
        <v>Valid</v>
      </c>
      <c r="T348" t="str">
        <f>IF(Table1[[#This Row],[Age]]&lt;25,"18-24",IF(Table1[[#This Row],[Age]]&lt;30,"25-29",IF(Table1[[#This Row],[Age]]&lt;35,"30-34",IF(Table1[[#This Row],[Age]]&lt;40,"35-39",IF(Table1[[#This Row],[Age]]&lt;50,"40-49","50+")))))</f>
        <v>40-49</v>
      </c>
    </row>
    <row r="349" spans="1:20" x14ac:dyDescent="0.35">
      <c r="A349">
        <v>1348</v>
      </c>
      <c r="B349" t="s">
        <v>64</v>
      </c>
      <c r="C349" t="s">
        <v>26</v>
      </c>
      <c r="D349" t="s">
        <v>27</v>
      </c>
      <c r="E349">
        <v>23</v>
      </c>
      <c r="F349" t="s">
        <v>62</v>
      </c>
      <c r="G349" t="s">
        <v>39</v>
      </c>
      <c r="H349" t="s">
        <v>56</v>
      </c>
      <c r="I349" s="1">
        <v>105913</v>
      </c>
      <c r="J349" t="s">
        <v>492</v>
      </c>
      <c r="K349" t="s">
        <v>46</v>
      </c>
      <c r="L349">
        <v>22</v>
      </c>
      <c r="M349">
        <v>1</v>
      </c>
      <c r="N349" t="s">
        <v>22</v>
      </c>
      <c r="O349" t="s">
        <v>22</v>
      </c>
      <c r="P349" t="s">
        <v>493</v>
      </c>
      <c r="Q349" s="9" t="str">
        <f t="shared" si="11"/>
        <v>Invalid</v>
      </c>
      <c r="R349">
        <v>9297215374</v>
      </c>
      <c r="S349" s="7" t="str">
        <f t="shared" si="10"/>
        <v>Valid</v>
      </c>
      <c r="T349" t="str">
        <f>IF(Table1[[#This Row],[Age]]&lt;25,"18-24",IF(Table1[[#This Row],[Age]]&lt;30,"25-29",IF(Table1[[#This Row],[Age]]&lt;35,"30-34",IF(Table1[[#This Row],[Age]]&lt;40,"35-39",IF(Table1[[#This Row],[Age]]&lt;50,"40-49","50+")))))</f>
        <v>18-24</v>
      </c>
    </row>
    <row r="350" spans="1:20" x14ac:dyDescent="0.35">
      <c r="A350">
        <v>1349</v>
      </c>
      <c r="B350" t="s">
        <v>37</v>
      </c>
      <c r="C350" t="s">
        <v>32</v>
      </c>
      <c r="D350" t="s">
        <v>27</v>
      </c>
      <c r="E350">
        <v>54</v>
      </c>
      <c r="F350" t="s">
        <v>69</v>
      </c>
      <c r="G350" t="s">
        <v>39</v>
      </c>
      <c r="H350" t="s">
        <v>56</v>
      </c>
      <c r="I350" s="1">
        <v>51155</v>
      </c>
      <c r="J350" t="s">
        <v>1523</v>
      </c>
      <c r="K350" t="s">
        <v>49</v>
      </c>
      <c r="L350">
        <v>22</v>
      </c>
      <c r="M350">
        <v>3</v>
      </c>
      <c r="N350" t="s">
        <v>23</v>
      </c>
      <c r="O350" t="s">
        <v>22</v>
      </c>
      <c r="P350" t="s">
        <v>494</v>
      </c>
      <c r="Q350" s="9" t="str">
        <f t="shared" si="11"/>
        <v>Valid</v>
      </c>
      <c r="R350">
        <v>9252189567</v>
      </c>
      <c r="S350" s="7" t="str">
        <f t="shared" si="10"/>
        <v>Valid</v>
      </c>
      <c r="T350" t="str">
        <f>IF(Table1[[#This Row],[Age]]&lt;25,"18-24",IF(Table1[[#This Row],[Age]]&lt;30,"25-29",IF(Table1[[#This Row],[Age]]&lt;35,"30-34",IF(Table1[[#This Row],[Age]]&lt;40,"35-39",IF(Table1[[#This Row],[Age]]&lt;50,"40-49","50+")))))</f>
        <v>50+</v>
      </c>
    </row>
    <row r="351" spans="1:20" x14ac:dyDescent="0.35">
      <c r="A351">
        <v>1350</v>
      </c>
      <c r="B351" t="s">
        <v>42</v>
      </c>
      <c r="C351" t="s">
        <v>43</v>
      </c>
      <c r="D351" t="s">
        <v>27</v>
      </c>
      <c r="E351">
        <v>54</v>
      </c>
      <c r="F351" t="s">
        <v>38</v>
      </c>
      <c r="G351" t="s">
        <v>39</v>
      </c>
      <c r="H351" t="s">
        <v>28</v>
      </c>
      <c r="I351" s="1">
        <v>116168</v>
      </c>
      <c r="J351" t="s">
        <v>1524</v>
      </c>
      <c r="K351" t="s">
        <v>30</v>
      </c>
      <c r="L351">
        <v>0</v>
      </c>
      <c r="M351">
        <v>4</v>
      </c>
      <c r="N351" t="s">
        <v>23</v>
      </c>
      <c r="O351" t="s">
        <v>23</v>
      </c>
      <c r="P351" t="s">
        <v>495</v>
      </c>
      <c r="Q351" s="9" t="str">
        <f t="shared" si="11"/>
        <v>Valid</v>
      </c>
      <c r="R351">
        <v>9850783704</v>
      </c>
      <c r="S351" s="7" t="str">
        <f t="shared" si="10"/>
        <v>Valid</v>
      </c>
      <c r="T351" t="str">
        <f>IF(Table1[[#This Row],[Age]]&lt;25,"18-24",IF(Table1[[#This Row],[Age]]&lt;30,"25-29",IF(Table1[[#This Row],[Age]]&lt;35,"30-34",IF(Table1[[#This Row],[Age]]&lt;40,"35-39",IF(Table1[[#This Row],[Age]]&lt;50,"40-49","50+")))))</f>
        <v>50+</v>
      </c>
    </row>
    <row r="352" spans="1:20" x14ac:dyDescent="0.35">
      <c r="A352">
        <v>1351</v>
      </c>
      <c r="B352" t="s">
        <v>54</v>
      </c>
      <c r="C352" t="s">
        <v>43</v>
      </c>
      <c r="D352" t="s">
        <v>27</v>
      </c>
      <c r="E352">
        <v>34</v>
      </c>
      <c r="F352" t="s">
        <v>18</v>
      </c>
      <c r="G352" t="s">
        <v>39</v>
      </c>
      <c r="H352" t="s">
        <v>28</v>
      </c>
      <c r="I352" s="1">
        <v>34107</v>
      </c>
      <c r="J352" t="s">
        <v>1525</v>
      </c>
      <c r="K352" t="s">
        <v>40</v>
      </c>
      <c r="L352">
        <v>19</v>
      </c>
      <c r="M352">
        <v>2</v>
      </c>
      <c r="N352" t="s">
        <v>23</v>
      </c>
      <c r="O352" t="s">
        <v>23</v>
      </c>
      <c r="P352" t="s">
        <v>496</v>
      </c>
      <c r="Q352" s="9" t="str">
        <f t="shared" si="11"/>
        <v>Valid</v>
      </c>
      <c r="R352">
        <v>9239956682</v>
      </c>
      <c r="S352" s="7" t="str">
        <f t="shared" si="10"/>
        <v>Valid</v>
      </c>
      <c r="T352" t="str">
        <f>IF(Table1[[#This Row],[Age]]&lt;25,"18-24",IF(Table1[[#This Row],[Age]]&lt;30,"25-29",IF(Table1[[#This Row],[Age]]&lt;35,"30-34",IF(Table1[[#This Row],[Age]]&lt;40,"35-39",IF(Table1[[#This Row],[Age]]&lt;50,"40-49","50+")))))</f>
        <v>30-34</v>
      </c>
    </row>
    <row r="353" spans="1:20" x14ac:dyDescent="0.35">
      <c r="A353">
        <v>1352</v>
      </c>
      <c r="B353" t="s">
        <v>67</v>
      </c>
      <c r="C353" t="s">
        <v>43</v>
      </c>
      <c r="D353" t="s">
        <v>27</v>
      </c>
      <c r="E353">
        <v>54</v>
      </c>
      <c r="F353" t="s">
        <v>18</v>
      </c>
      <c r="G353" t="s">
        <v>19</v>
      </c>
      <c r="H353" t="s">
        <v>44</v>
      </c>
      <c r="I353" s="1">
        <v>84399</v>
      </c>
      <c r="J353" t="s">
        <v>1526</v>
      </c>
      <c r="K353" t="s">
        <v>30</v>
      </c>
      <c r="L353">
        <v>4</v>
      </c>
      <c r="M353">
        <v>1</v>
      </c>
      <c r="N353" t="s">
        <v>22</v>
      </c>
      <c r="O353" t="s">
        <v>23</v>
      </c>
      <c r="P353" t="s">
        <v>497</v>
      </c>
      <c r="Q353" s="9" t="str">
        <f t="shared" si="11"/>
        <v>Valid</v>
      </c>
      <c r="R353">
        <v>9112959558</v>
      </c>
      <c r="S353" s="7" t="str">
        <f t="shared" si="10"/>
        <v>Valid</v>
      </c>
      <c r="T353" t="str">
        <f>IF(Table1[[#This Row],[Age]]&lt;25,"18-24",IF(Table1[[#This Row],[Age]]&lt;30,"25-29",IF(Table1[[#This Row],[Age]]&lt;35,"30-34",IF(Table1[[#This Row],[Age]]&lt;40,"35-39",IF(Table1[[#This Row],[Age]]&lt;50,"40-49","50+")))))</f>
        <v>50+</v>
      </c>
    </row>
    <row r="354" spans="1:20" x14ac:dyDescent="0.35">
      <c r="A354">
        <v>1353</v>
      </c>
      <c r="B354" t="s">
        <v>37</v>
      </c>
      <c r="C354" t="s">
        <v>26</v>
      </c>
      <c r="D354" t="s">
        <v>17</v>
      </c>
      <c r="E354">
        <v>25</v>
      </c>
      <c r="F354" t="s">
        <v>69</v>
      </c>
      <c r="G354" t="s">
        <v>77</v>
      </c>
      <c r="H354" t="s">
        <v>20</v>
      </c>
      <c r="I354" s="1">
        <v>56095</v>
      </c>
      <c r="J354" t="s">
        <v>1527</v>
      </c>
      <c r="K354" t="s">
        <v>49</v>
      </c>
      <c r="L354">
        <v>21</v>
      </c>
      <c r="M354">
        <v>2</v>
      </c>
      <c r="N354" t="s">
        <v>23</v>
      </c>
      <c r="O354" t="s">
        <v>23</v>
      </c>
      <c r="P354" t="s">
        <v>498</v>
      </c>
      <c r="Q354" s="9" t="str">
        <f t="shared" si="11"/>
        <v>Valid</v>
      </c>
      <c r="R354">
        <v>9789797931</v>
      </c>
      <c r="S354" s="7" t="str">
        <f t="shared" si="10"/>
        <v>Valid</v>
      </c>
      <c r="T354" t="str">
        <f>IF(Table1[[#This Row],[Age]]&lt;25,"18-24",IF(Table1[[#This Row],[Age]]&lt;30,"25-29",IF(Table1[[#This Row],[Age]]&lt;35,"30-34",IF(Table1[[#This Row],[Age]]&lt;40,"35-39",IF(Table1[[#This Row],[Age]]&lt;50,"40-49","50+")))))</f>
        <v>25-29</v>
      </c>
    </row>
    <row r="355" spans="1:20" x14ac:dyDescent="0.35">
      <c r="A355">
        <v>1354</v>
      </c>
      <c r="B355" t="s">
        <v>37</v>
      </c>
      <c r="C355" t="s">
        <v>32</v>
      </c>
      <c r="D355" t="s">
        <v>27</v>
      </c>
      <c r="E355">
        <v>24</v>
      </c>
      <c r="F355" t="s">
        <v>33</v>
      </c>
      <c r="G355" t="s">
        <v>77</v>
      </c>
      <c r="H355" t="s">
        <v>35</v>
      </c>
      <c r="I355" s="1">
        <v>-52796</v>
      </c>
      <c r="J355" t="s">
        <v>866</v>
      </c>
      <c r="K355" t="s">
        <v>30</v>
      </c>
      <c r="L355">
        <v>25</v>
      </c>
      <c r="M355">
        <v>2</v>
      </c>
      <c r="N355" t="s">
        <v>22</v>
      </c>
      <c r="O355" t="s">
        <v>22</v>
      </c>
      <c r="P355" t="s">
        <v>499</v>
      </c>
      <c r="Q355" s="9" t="str">
        <f t="shared" si="11"/>
        <v>Valid</v>
      </c>
      <c r="R355">
        <v>9913816912</v>
      </c>
      <c r="S355" s="7" t="str">
        <f t="shared" si="10"/>
        <v>Valid</v>
      </c>
      <c r="T355" t="str">
        <f>IF(Table1[[#This Row],[Age]]&lt;25,"18-24",IF(Table1[[#This Row],[Age]]&lt;30,"25-29",IF(Table1[[#This Row],[Age]]&lt;35,"30-34",IF(Table1[[#This Row],[Age]]&lt;40,"35-39",IF(Table1[[#This Row],[Age]]&lt;50,"40-49","50+")))))</f>
        <v>18-24</v>
      </c>
    </row>
    <row r="356" spans="1:20" x14ac:dyDescent="0.35">
      <c r="A356">
        <v>1355</v>
      </c>
      <c r="B356" t="s">
        <v>58</v>
      </c>
      <c r="C356" t="s">
        <v>26</v>
      </c>
      <c r="D356" t="s">
        <v>17</v>
      </c>
      <c r="E356">
        <v>43</v>
      </c>
      <c r="F356" t="s">
        <v>69</v>
      </c>
      <c r="G356" t="s">
        <v>19</v>
      </c>
      <c r="H356" t="s">
        <v>56</v>
      </c>
      <c r="I356" s="1">
        <v>40700</v>
      </c>
      <c r="J356" t="s">
        <v>799</v>
      </c>
      <c r="K356" t="s">
        <v>46</v>
      </c>
      <c r="L356">
        <v>2</v>
      </c>
      <c r="M356">
        <v>5</v>
      </c>
      <c r="N356" t="s">
        <v>22</v>
      </c>
      <c r="O356" t="s">
        <v>23</v>
      </c>
      <c r="P356" t="s">
        <v>500</v>
      </c>
      <c r="Q356" s="9" t="str">
        <f t="shared" si="11"/>
        <v>Valid</v>
      </c>
      <c r="R356">
        <v>9134208483</v>
      </c>
      <c r="S356" s="7" t="str">
        <f t="shared" si="10"/>
        <v>Valid</v>
      </c>
      <c r="T356" t="str">
        <f>IF(Table1[[#This Row],[Age]]&lt;25,"18-24",IF(Table1[[#This Row],[Age]]&lt;30,"25-29",IF(Table1[[#This Row],[Age]]&lt;35,"30-34",IF(Table1[[#This Row],[Age]]&lt;40,"35-39",IF(Table1[[#This Row],[Age]]&lt;50,"40-49","50+")))))</f>
        <v>40-49</v>
      </c>
    </row>
    <row r="357" spans="1:20" x14ac:dyDescent="0.35">
      <c r="A357">
        <v>1356</v>
      </c>
      <c r="B357" t="s">
        <v>60</v>
      </c>
      <c r="C357" t="s">
        <v>61</v>
      </c>
      <c r="D357" t="s">
        <v>27</v>
      </c>
      <c r="E357">
        <v>66</v>
      </c>
      <c r="F357" t="s">
        <v>18</v>
      </c>
      <c r="G357" t="s">
        <v>39</v>
      </c>
      <c r="H357" t="s">
        <v>28</v>
      </c>
      <c r="I357" s="1">
        <v>88536</v>
      </c>
      <c r="J357" t="s">
        <v>501</v>
      </c>
      <c r="K357" t="s">
        <v>40</v>
      </c>
      <c r="L357">
        <v>22</v>
      </c>
      <c r="M357">
        <v>3</v>
      </c>
      <c r="N357" t="s">
        <v>23</v>
      </c>
      <c r="O357" t="s">
        <v>23</v>
      </c>
      <c r="P357" t="s">
        <v>502</v>
      </c>
      <c r="Q357" s="9" t="str">
        <f t="shared" si="11"/>
        <v>Valid</v>
      </c>
      <c r="R357">
        <v>9945494644</v>
      </c>
      <c r="S357" s="7" t="str">
        <f t="shared" si="10"/>
        <v>Valid</v>
      </c>
      <c r="T357" t="str">
        <f>IF(Table1[[#This Row],[Age]]&lt;25,"18-24",IF(Table1[[#This Row],[Age]]&lt;30,"25-29",IF(Table1[[#This Row],[Age]]&lt;35,"30-34",IF(Table1[[#This Row],[Age]]&lt;40,"35-39",IF(Table1[[#This Row],[Age]]&lt;50,"40-49","50+")))))</f>
        <v>50+</v>
      </c>
    </row>
    <row r="358" spans="1:20" x14ac:dyDescent="0.35">
      <c r="A358">
        <v>1357</v>
      </c>
      <c r="B358" t="s">
        <v>60</v>
      </c>
      <c r="C358" t="s">
        <v>43</v>
      </c>
      <c r="D358" t="s">
        <v>17</v>
      </c>
      <c r="E358">
        <v>51</v>
      </c>
      <c r="F358" t="s">
        <v>18</v>
      </c>
      <c r="G358" t="s">
        <v>55</v>
      </c>
      <c r="H358" t="s">
        <v>35</v>
      </c>
      <c r="I358" s="1">
        <v>116525</v>
      </c>
      <c r="J358" t="s">
        <v>845</v>
      </c>
      <c r="K358" t="s">
        <v>49</v>
      </c>
      <c r="L358">
        <v>1</v>
      </c>
      <c r="M358">
        <v>3</v>
      </c>
      <c r="N358" t="s">
        <v>22</v>
      </c>
      <c r="O358" t="s">
        <v>22</v>
      </c>
      <c r="P358" t="s">
        <v>503</v>
      </c>
      <c r="Q358" s="9" t="str">
        <f t="shared" si="11"/>
        <v>Valid</v>
      </c>
      <c r="R358">
        <v>9610514562</v>
      </c>
      <c r="S358" s="7" t="str">
        <f t="shared" si="10"/>
        <v>Valid</v>
      </c>
      <c r="T358" t="str">
        <f>IF(Table1[[#This Row],[Age]]&lt;25,"18-24",IF(Table1[[#This Row],[Age]]&lt;30,"25-29",IF(Table1[[#This Row],[Age]]&lt;35,"30-34",IF(Table1[[#This Row],[Age]]&lt;40,"35-39",IF(Table1[[#This Row],[Age]]&lt;50,"40-49","50+")))))</f>
        <v>50+</v>
      </c>
    </row>
    <row r="359" spans="1:20" x14ac:dyDescent="0.35">
      <c r="A359">
        <v>1358</v>
      </c>
      <c r="B359" t="s">
        <v>25</v>
      </c>
      <c r="C359" t="s">
        <v>43</v>
      </c>
      <c r="D359" t="s">
        <v>27</v>
      </c>
      <c r="E359">
        <v>42</v>
      </c>
      <c r="F359" t="s">
        <v>33</v>
      </c>
      <c r="G359" t="s">
        <v>77</v>
      </c>
      <c r="H359" t="s">
        <v>35</v>
      </c>
      <c r="I359" s="1">
        <v>89296</v>
      </c>
      <c r="J359" t="s">
        <v>504</v>
      </c>
      <c r="K359" t="s">
        <v>30</v>
      </c>
      <c r="L359">
        <v>24</v>
      </c>
      <c r="M359">
        <v>3</v>
      </c>
      <c r="N359" t="s">
        <v>22</v>
      </c>
      <c r="O359" t="s">
        <v>22</v>
      </c>
      <c r="P359" t="s">
        <v>505</v>
      </c>
      <c r="Q359" s="9" t="str">
        <f t="shared" si="11"/>
        <v>Valid</v>
      </c>
      <c r="R359">
        <v>9982511337</v>
      </c>
      <c r="S359" s="7" t="str">
        <f t="shared" si="10"/>
        <v>Valid</v>
      </c>
      <c r="T359" t="str">
        <f>IF(Table1[[#This Row],[Age]]&lt;25,"18-24",IF(Table1[[#This Row],[Age]]&lt;30,"25-29",IF(Table1[[#This Row],[Age]]&lt;35,"30-34",IF(Table1[[#This Row],[Age]]&lt;40,"35-39",IF(Table1[[#This Row],[Age]]&lt;50,"40-49","50+")))))</f>
        <v>40-49</v>
      </c>
    </row>
    <row r="360" spans="1:20" x14ac:dyDescent="0.35">
      <c r="A360">
        <v>1359</v>
      </c>
      <c r="B360" t="s">
        <v>37</v>
      </c>
      <c r="C360" t="s">
        <v>16</v>
      </c>
      <c r="D360" t="s">
        <v>17</v>
      </c>
      <c r="E360">
        <v>58</v>
      </c>
      <c r="F360" t="s">
        <v>33</v>
      </c>
      <c r="G360" t="s">
        <v>39</v>
      </c>
      <c r="H360" t="s">
        <v>20</v>
      </c>
      <c r="I360" s="1">
        <v>105629</v>
      </c>
      <c r="J360" t="s">
        <v>1528</v>
      </c>
      <c r="K360" t="s">
        <v>46</v>
      </c>
      <c r="L360">
        <v>7</v>
      </c>
      <c r="M360">
        <v>5</v>
      </c>
      <c r="N360" t="s">
        <v>22</v>
      </c>
      <c r="O360" t="s">
        <v>22</v>
      </c>
      <c r="P360" t="s">
        <v>506</v>
      </c>
      <c r="Q360" s="9" t="str">
        <f t="shared" si="11"/>
        <v>Valid</v>
      </c>
      <c r="R360">
        <v>9594391514</v>
      </c>
      <c r="S360" s="7" t="str">
        <f t="shared" si="10"/>
        <v>Valid</v>
      </c>
      <c r="T360" t="str">
        <f>IF(Table1[[#This Row],[Age]]&lt;25,"18-24",IF(Table1[[#This Row],[Age]]&lt;30,"25-29",IF(Table1[[#This Row],[Age]]&lt;35,"30-34",IF(Table1[[#This Row],[Age]]&lt;40,"35-39",IF(Table1[[#This Row],[Age]]&lt;50,"40-49","50+")))))</f>
        <v>50+</v>
      </c>
    </row>
    <row r="361" spans="1:20" x14ac:dyDescent="0.35">
      <c r="A361">
        <v>1360</v>
      </c>
      <c r="B361" t="s">
        <v>25</v>
      </c>
      <c r="C361" t="s">
        <v>32</v>
      </c>
      <c r="D361" t="s">
        <v>27</v>
      </c>
      <c r="E361">
        <v>56</v>
      </c>
      <c r="F361" t="s">
        <v>62</v>
      </c>
      <c r="G361" t="s">
        <v>39</v>
      </c>
      <c r="H361" t="s">
        <v>35</v>
      </c>
      <c r="I361" s="1">
        <v>64080</v>
      </c>
      <c r="J361" t="s">
        <v>507</v>
      </c>
      <c r="K361" t="s">
        <v>46</v>
      </c>
      <c r="L361">
        <v>5</v>
      </c>
      <c r="M361">
        <v>2</v>
      </c>
      <c r="N361" t="s">
        <v>23</v>
      </c>
      <c r="O361" t="s">
        <v>22</v>
      </c>
      <c r="P361" t="s">
        <v>508</v>
      </c>
      <c r="Q361" s="9" t="str">
        <f t="shared" si="11"/>
        <v>Valid</v>
      </c>
      <c r="R361">
        <v>9587176445</v>
      </c>
      <c r="S361" s="7" t="str">
        <f t="shared" si="10"/>
        <v>Valid</v>
      </c>
      <c r="T361" t="str">
        <f>IF(Table1[[#This Row],[Age]]&lt;25,"18-24",IF(Table1[[#This Row],[Age]]&lt;30,"25-29",IF(Table1[[#This Row],[Age]]&lt;35,"30-34",IF(Table1[[#This Row],[Age]]&lt;40,"35-39",IF(Table1[[#This Row],[Age]]&lt;50,"40-49","50+")))))</f>
        <v>50+</v>
      </c>
    </row>
    <row r="362" spans="1:20" x14ac:dyDescent="0.35">
      <c r="A362">
        <v>1361</v>
      </c>
      <c r="B362" t="s">
        <v>54</v>
      </c>
      <c r="C362" t="s">
        <v>16</v>
      </c>
      <c r="D362" t="s">
        <v>17</v>
      </c>
      <c r="E362">
        <v>29</v>
      </c>
      <c r="F362" t="s">
        <v>62</v>
      </c>
      <c r="G362" t="s">
        <v>77</v>
      </c>
      <c r="H362" t="s">
        <v>28</v>
      </c>
      <c r="I362" s="1">
        <v>71688</v>
      </c>
      <c r="J362" t="s">
        <v>1529</v>
      </c>
      <c r="K362" t="s">
        <v>46</v>
      </c>
      <c r="L362">
        <v>15</v>
      </c>
      <c r="M362">
        <v>4</v>
      </c>
      <c r="N362" t="s">
        <v>23</v>
      </c>
      <c r="O362" t="s">
        <v>23</v>
      </c>
      <c r="P362" t="s">
        <v>509</v>
      </c>
      <c r="Q362" s="9" t="str">
        <f t="shared" si="11"/>
        <v>Valid</v>
      </c>
      <c r="R362">
        <v>9857133608</v>
      </c>
      <c r="S362" s="7" t="str">
        <f t="shared" si="10"/>
        <v>Valid</v>
      </c>
      <c r="T362" t="str">
        <f>IF(Table1[[#This Row],[Age]]&lt;25,"18-24",IF(Table1[[#This Row],[Age]]&lt;30,"25-29",IF(Table1[[#This Row],[Age]]&lt;35,"30-34",IF(Table1[[#This Row],[Age]]&lt;40,"35-39",IF(Table1[[#This Row],[Age]]&lt;50,"40-49","50+")))))</f>
        <v>25-29</v>
      </c>
    </row>
    <row r="363" spans="1:20" x14ac:dyDescent="0.35">
      <c r="A363">
        <v>1362</v>
      </c>
      <c r="B363" t="s">
        <v>42</v>
      </c>
      <c r="C363" t="s">
        <v>32</v>
      </c>
      <c r="D363" t="s">
        <v>17</v>
      </c>
      <c r="E363">
        <v>51</v>
      </c>
      <c r="F363" t="s">
        <v>62</v>
      </c>
      <c r="G363" t="s">
        <v>55</v>
      </c>
      <c r="H363" t="s">
        <v>28</v>
      </c>
      <c r="I363" s="1">
        <v>115545</v>
      </c>
      <c r="J363" t="s">
        <v>1530</v>
      </c>
      <c r="K363" t="s">
        <v>30</v>
      </c>
      <c r="L363">
        <v>17</v>
      </c>
      <c r="M363">
        <v>1</v>
      </c>
      <c r="N363" t="s">
        <v>22</v>
      </c>
      <c r="O363" t="s">
        <v>23</v>
      </c>
      <c r="P363" t="s">
        <v>510</v>
      </c>
      <c r="Q363" s="9" t="str">
        <f t="shared" si="11"/>
        <v>Valid</v>
      </c>
      <c r="R363">
        <v>9333659557</v>
      </c>
      <c r="S363" s="7" t="str">
        <f t="shared" si="10"/>
        <v>Valid</v>
      </c>
      <c r="T363" t="str">
        <f>IF(Table1[[#This Row],[Age]]&lt;25,"18-24",IF(Table1[[#This Row],[Age]]&lt;30,"25-29",IF(Table1[[#This Row],[Age]]&lt;35,"30-34",IF(Table1[[#This Row],[Age]]&lt;40,"35-39",IF(Table1[[#This Row],[Age]]&lt;50,"40-49","50+")))))</f>
        <v>50+</v>
      </c>
    </row>
    <row r="364" spans="1:20" x14ac:dyDescent="0.35">
      <c r="A364">
        <v>1363</v>
      </c>
      <c r="B364" t="s">
        <v>42</v>
      </c>
      <c r="C364" t="s">
        <v>43</v>
      </c>
      <c r="D364" t="s">
        <v>27</v>
      </c>
      <c r="E364">
        <v>32</v>
      </c>
      <c r="F364" t="s">
        <v>69</v>
      </c>
      <c r="G364" t="s">
        <v>77</v>
      </c>
      <c r="H364" t="s">
        <v>20</v>
      </c>
      <c r="I364" s="1">
        <v>56282</v>
      </c>
      <c r="J364" t="s">
        <v>1531</v>
      </c>
      <c r="K364" t="s">
        <v>40</v>
      </c>
      <c r="L364">
        <v>19</v>
      </c>
      <c r="M364">
        <v>2</v>
      </c>
      <c r="N364" t="s">
        <v>23</v>
      </c>
      <c r="O364" t="s">
        <v>23</v>
      </c>
      <c r="P364" t="s">
        <v>511</v>
      </c>
      <c r="Q364" s="9" t="str">
        <f t="shared" si="11"/>
        <v>Valid</v>
      </c>
      <c r="R364">
        <v>9882033871</v>
      </c>
      <c r="S364" s="7" t="str">
        <f t="shared" si="10"/>
        <v>Valid</v>
      </c>
      <c r="T364" t="str">
        <f>IF(Table1[[#This Row],[Age]]&lt;25,"18-24",IF(Table1[[#This Row],[Age]]&lt;30,"25-29",IF(Table1[[#This Row],[Age]]&lt;35,"30-34",IF(Table1[[#This Row],[Age]]&lt;40,"35-39",IF(Table1[[#This Row],[Age]]&lt;50,"40-49","50+")))))</f>
        <v>30-34</v>
      </c>
    </row>
    <row r="365" spans="1:20" x14ac:dyDescent="0.35">
      <c r="A365">
        <v>1364</v>
      </c>
      <c r="B365" t="s">
        <v>60</v>
      </c>
      <c r="C365" t="s">
        <v>61</v>
      </c>
      <c r="D365" t="s">
        <v>17</v>
      </c>
      <c r="E365">
        <v>36</v>
      </c>
      <c r="F365" t="s">
        <v>62</v>
      </c>
      <c r="G365" t="s">
        <v>19</v>
      </c>
      <c r="H365" t="s">
        <v>35</v>
      </c>
      <c r="I365" s="1">
        <v>58740</v>
      </c>
      <c r="J365" t="s">
        <v>1532</v>
      </c>
      <c r="K365" t="s">
        <v>30</v>
      </c>
      <c r="L365">
        <v>11</v>
      </c>
      <c r="M365">
        <v>5</v>
      </c>
      <c r="N365" t="s">
        <v>23</v>
      </c>
      <c r="O365" t="s">
        <v>22</v>
      </c>
      <c r="P365" t="s">
        <v>512</v>
      </c>
      <c r="Q365" s="9" t="str">
        <f t="shared" si="11"/>
        <v>Valid</v>
      </c>
      <c r="R365">
        <v>9315074307</v>
      </c>
      <c r="S365" s="7" t="str">
        <f t="shared" si="10"/>
        <v>Valid</v>
      </c>
      <c r="T365" t="str">
        <f>IF(Table1[[#This Row],[Age]]&lt;25,"18-24",IF(Table1[[#This Row],[Age]]&lt;30,"25-29",IF(Table1[[#This Row],[Age]]&lt;35,"30-34",IF(Table1[[#This Row],[Age]]&lt;40,"35-39",IF(Table1[[#This Row],[Age]]&lt;50,"40-49","50+")))))</f>
        <v>35-39</v>
      </c>
    </row>
    <row r="366" spans="1:20" x14ac:dyDescent="0.35">
      <c r="A366">
        <v>1365</v>
      </c>
      <c r="B366" t="s">
        <v>64</v>
      </c>
      <c r="C366" t="s">
        <v>26</v>
      </c>
      <c r="D366" t="s">
        <v>17</v>
      </c>
      <c r="E366">
        <v>26</v>
      </c>
      <c r="F366" t="s">
        <v>62</v>
      </c>
      <c r="G366" t="s">
        <v>39</v>
      </c>
      <c r="H366" t="s">
        <v>20</v>
      </c>
      <c r="I366" s="1">
        <v>26583</v>
      </c>
      <c r="J366" t="s">
        <v>1533</v>
      </c>
      <c r="K366" t="s">
        <v>30</v>
      </c>
      <c r="L366">
        <v>20</v>
      </c>
      <c r="M366">
        <v>2</v>
      </c>
      <c r="N366" t="s">
        <v>22</v>
      </c>
      <c r="O366" t="s">
        <v>23</v>
      </c>
      <c r="P366" t="s">
        <v>513</v>
      </c>
      <c r="Q366" s="9" t="str">
        <f t="shared" si="11"/>
        <v>Valid</v>
      </c>
      <c r="R366">
        <v>9525222311</v>
      </c>
      <c r="S366" s="7" t="str">
        <f t="shared" si="10"/>
        <v>Valid</v>
      </c>
      <c r="T366" t="str">
        <f>IF(Table1[[#This Row],[Age]]&lt;25,"18-24",IF(Table1[[#This Row],[Age]]&lt;30,"25-29",IF(Table1[[#This Row],[Age]]&lt;35,"30-34",IF(Table1[[#This Row],[Age]]&lt;40,"35-39",IF(Table1[[#This Row],[Age]]&lt;50,"40-49","50+")))))</f>
        <v>25-29</v>
      </c>
    </row>
    <row r="367" spans="1:20" x14ac:dyDescent="0.35">
      <c r="A367">
        <v>1366</v>
      </c>
      <c r="B367" t="s">
        <v>58</v>
      </c>
      <c r="C367" t="s">
        <v>32</v>
      </c>
      <c r="D367" t="s">
        <v>27</v>
      </c>
      <c r="E367">
        <v>57</v>
      </c>
      <c r="F367" t="s">
        <v>38</v>
      </c>
      <c r="G367" t="s">
        <v>19</v>
      </c>
      <c r="H367" t="s">
        <v>20</v>
      </c>
      <c r="I367" s="1">
        <v>92129</v>
      </c>
      <c r="J367" t="s">
        <v>1534</v>
      </c>
      <c r="K367" t="s">
        <v>30</v>
      </c>
      <c r="L367">
        <v>19</v>
      </c>
      <c r="M367">
        <v>3</v>
      </c>
      <c r="N367" t="s">
        <v>23</v>
      </c>
      <c r="O367" t="s">
        <v>23</v>
      </c>
      <c r="P367" t="s">
        <v>514</v>
      </c>
      <c r="Q367" s="9" t="str">
        <f t="shared" si="11"/>
        <v>Valid</v>
      </c>
      <c r="R367">
        <v>9854502497</v>
      </c>
      <c r="S367" s="7" t="str">
        <f t="shared" si="10"/>
        <v>Valid</v>
      </c>
      <c r="T367" t="str">
        <f>IF(Table1[[#This Row],[Age]]&lt;25,"18-24",IF(Table1[[#This Row],[Age]]&lt;30,"25-29",IF(Table1[[#This Row],[Age]]&lt;35,"30-34",IF(Table1[[#This Row],[Age]]&lt;40,"35-39",IF(Table1[[#This Row],[Age]]&lt;50,"40-49","50+")))))</f>
        <v>50+</v>
      </c>
    </row>
    <row r="368" spans="1:20" x14ac:dyDescent="0.35">
      <c r="A368">
        <v>1367</v>
      </c>
      <c r="B368" t="s">
        <v>82</v>
      </c>
      <c r="C368" t="s">
        <v>32</v>
      </c>
      <c r="D368" t="s">
        <v>27</v>
      </c>
      <c r="E368">
        <v>52</v>
      </c>
      <c r="F368" t="s">
        <v>69</v>
      </c>
      <c r="G368" t="s">
        <v>39</v>
      </c>
      <c r="H368" t="s">
        <v>56</v>
      </c>
      <c r="I368" s="1">
        <v>28886</v>
      </c>
      <c r="J368" t="s">
        <v>1535</v>
      </c>
      <c r="K368" t="s">
        <v>49</v>
      </c>
      <c r="L368">
        <v>16</v>
      </c>
      <c r="M368">
        <v>4</v>
      </c>
      <c r="N368" t="s">
        <v>23</v>
      </c>
      <c r="O368" t="s">
        <v>23</v>
      </c>
      <c r="P368" t="s">
        <v>515</v>
      </c>
      <c r="Q368" s="9" t="str">
        <f t="shared" si="11"/>
        <v>Valid</v>
      </c>
      <c r="R368">
        <v>9621310711</v>
      </c>
      <c r="S368" s="7" t="str">
        <f t="shared" si="10"/>
        <v>Valid</v>
      </c>
      <c r="T368" t="str">
        <f>IF(Table1[[#This Row],[Age]]&lt;25,"18-24",IF(Table1[[#This Row],[Age]]&lt;30,"25-29",IF(Table1[[#This Row],[Age]]&lt;35,"30-34",IF(Table1[[#This Row],[Age]]&lt;40,"35-39",IF(Table1[[#This Row],[Age]]&lt;50,"40-49","50+")))))</f>
        <v>50+</v>
      </c>
    </row>
    <row r="369" spans="1:20" x14ac:dyDescent="0.35">
      <c r="A369">
        <v>1368</v>
      </c>
      <c r="B369" t="s">
        <v>25</v>
      </c>
      <c r="C369" t="s">
        <v>16</v>
      </c>
      <c r="D369" t="s">
        <v>17</v>
      </c>
      <c r="E369">
        <v>39</v>
      </c>
      <c r="F369" t="s">
        <v>62</v>
      </c>
      <c r="G369" t="s">
        <v>55</v>
      </c>
      <c r="H369" t="s">
        <v>56</v>
      </c>
      <c r="I369" s="1">
        <v>-116181</v>
      </c>
      <c r="J369" t="s">
        <v>1536</v>
      </c>
      <c r="K369" t="s">
        <v>46</v>
      </c>
      <c r="L369">
        <v>25</v>
      </c>
      <c r="M369">
        <v>1</v>
      </c>
      <c r="N369" t="s">
        <v>23</v>
      </c>
      <c r="O369" t="s">
        <v>23</v>
      </c>
      <c r="P369" t="s">
        <v>516</v>
      </c>
      <c r="Q369" s="9" t="str">
        <f t="shared" si="11"/>
        <v>Valid</v>
      </c>
      <c r="R369">
        <v>94889951</v>
      </c>
      <c r="S369" s="7" t="str">
        <f t="shared" si="10"/>
        <v>Invalid</v>
      </c>
      <c r="T369" t="str">
        <f>IF(Table1[[#This Row],[Age]]&lt;25,"18-24",IF(Table1[[#This Row],[Age]]&lt;30,"25-29",IF(Table1[[#This Row],[Age]]&lt;35,"30-34",IF(Table1[[#This Row],[Age]]&lt;40,"35-39",IF(Table1[[#This Row],[Age]]&lt;50,"40-49","50+")))))</f>
        <v>35-39</v>
      </c>
    </row>
    <row r="370" spans="1:20" x14ac:dyDescent="0.35">
      <c r="A370">
        <v>1369</v>
      </c>
      <c r="B370" t="s">
        <v>42</v>
      </c>
      <c r="C370" t="s">
        <v>43</v>
      </c>
      <c r="D370" t="s">
        <v>27</v>
      </c>
      <c r="E370">
        <v>48</v>
      </c>
      <c r="F370" t="s">
        <v>33</v>
      </c>
      <c r="G370" t="s">
        <v>39</v>
      </c>
      <c r="H370" t="s">
        <v>20</v>
      </c>
      <c r="I370" s="1">
        <v>82208</v>
      </c>
      <c r="J370" t="s">
        <v>1504</v>
      </c>
      <c r="K370" t="s">
        <v>46</v>
      </c>
      <c r="L370">
        <v>9</v>
      </c>
      <c r="M370">
        <v>3</v>
      </c>
      <c r="N370" t="s">
        <v>23</v>
      </c>
      <c r="O370" t="s">
        <v>23</v>
      </c>
      <c r="P370" t="s">
        <v>517</v>
      </c>
      <c r="Q370" s="9" t="str">
        <f t="shared" si="11"/>
        <v>Valid</v>
      </c>
      <c r="R370">
        <v>9007221041</v>
      </c>
      <c r="S370" s="7" t="str">
        <f t="shared" si="10"/>
        <v>Valid</v>
      </c>
      <c r="T370" t="str">
        <f>IF(Table1[[#This Row],[Age]]&lt;25,"18-24",IF(Table1[[#This Row],[Age]]&lt;30,"25-29",IF(Table1[[#This Row],[Age]]&lt;35,"30-34",IF(Table1[[#This Row],[Age]]&lt;40,"35-39",IF(Table1[[#This Row],[Age]]&lt;50,"40-49","50+")))))</f>
        <v>40-49</v>
      </c>
    </row>
    <row r="371" spans="1:20" x14ac:dyDescent="0.35">
      <c r="A371">
        <v>1370</v>
      </c>
      <c r="B371" t="s">
        <v>25</v>
      </c>
      <c r="C371" t="s">
        <v>16</v>
      </c>
      <c r="D371" t="s">
        <v>17</v>
      </c>
      <c r="E371">
        <v>44</v>
      </c>
      <c r="F371" t="s">
        <v>69</v>
      </c>
      <c r="G371" t="s">
        <v>39</v>
      </c>
      <c r="H371" t="s">
        <v>20</v>
      </c>
      <c r="I371" s="1">
        <v>-100697</v>
      </c>
      <c r="J371" t="s">
        <v>1537</v>
      </c>
      <c r="K371" t="s">
        <v>46</v>
      </c>
      <c r="L371">
        <v>21</v>
      </c>
      <c r="M371">
        <v>1</v>
      </c>
      <c r="N371" t="s">
        <v>23</v>
      </c>
      <c r="O371" t="s">
        <v>23</v>
      </c>
      <c r="P371" t="s">
        <v>518</v>
      </c>
      <c r="Q371" s="9" t="str">
        <f t="shared" si="11"/>
        <v>Valid</v>
      </c>
      <c r="R371">
        <v>9718379025</v>
      </c>
      <c r="S371" s="7" t="str">
        <f t="shared" si="10"/>
        <v>Valid</v>
      </c>
      <c r="T371" t="str">
        <f>IF(Table1[[#This Row],[Age]]&lt;25,"18-24",IF(Table1[[#This Row],[Age]]&lt;30,"25-29",IF(Table1[[#This Row],[Age]]&lt;35,"30-34",IF(Table1[[#This Row],[Age]]&lt;40,"35-39",IF(Table1[[#This Row],[Age]]&lt;50,"40-49","50+")))))</f>
        <v>40-49</v>
      </c>
    </row>
    <row r="372" spans="1:20" x14ac:dyDescent="0.35">
      <c r="A372">
        <v>1371</v>
      </c>
      <c r="B372" t="s">
        <v>54</v>
      </c>
      <c r="C372" t="s">
        <v>32</v>
      </c>
      <c r="D372" t="s">
        <v>17</v>
      </c>
      <c r="E372">
        <v>42</v>
      </c>
      <c r="F372" t="s">
        <v>62</v>
      </c>
      <c r="G372" t="s">
        <v>55</v>
      </c>
      <c r="H372" t="s">
        <v>20</v>
      </c>
      <c r="I372" s="1">
        <v>29048</v>
      </c>
      <c r="J372" t="s">
        <v>1538</v>
      </c>
      <c r="K372" t="s">
        <v>21</v>
      </c>
      <c r="L372">
        <v>10</v>
      </c>
      <c r="M372">
        <v>2</v>
      </c>
      <c r="N372" t="s">
        <v>22</v>
      </c>
      <c r="O372" t="s">
        <v>23</v>
      </c>
      <c r="P372" t="s">
        <v>519</v>
      </c>
      <c r="Q372" s="9" t="str">
        <f t="shared" si="11"/>
        <v>Valid</v>
      </c>
      <c r="R372">
        <v>9784730340</v>
      </c>
      <c r="S372" s="7" t="str">
        <f t="shared" si="10"/>
        <v>Valid</v>
      </c>
      <c r="T372" t="str">
        <f>IF(Table1[[#This Row],[Age]]&lt;25,"18-24",IF(Table1[[#This Row],[Age]]&lt;30,"25-29",IF(Table1[[#This Row],[Age]]&lt;35,"30-34",IF(Table1[[#This Row],[Age]]&lt;40,"35-39",IF(Table1[[#This Row],[Age]]&lt;50,"40-49","50+")))))</f>
        <v>40-49</v>
      </c>
    </row>
    <row r="373" spans="1:20" x14ac:dyDescent="0.35">
      <c r="A373">
        <v>1372</v>
      </c>
      <c r="B373" t="s">
        <v>67</v>
      </c>
      <c r="C373" t="s">
        <v>43</v>
      </c>
      <c r="D373" t="s">
        <v>27</v>
      </c>
      <c r="E373">
        <v>48</v>
      </c>
      <c r="F373" t="s">
        <v>33</v>
      </c>
      <c r="G373" t="s">
        <v>39</v>
      </c>
      <c r="H373" t="s">
        <v>44</v>
      </c>
      <c r="I373" s="1">
        <v>44636</v>
      </c>
      <c r="J373" t="s">
        <v>520</v>
      </c>
      <c r="K373" t="s">
        <v>40</v>
      </c>
      <c r="L373">
        <v>24</v>
      </c>
      <c r="M373">
        <v>3</v>
      </c>
      <c r="N373" t="s">
        <v>22</v>
      </c>
      <c r="O373" t="s">
        <v>23</v>
      </c>
      <c r="P373" t="s">
        <v>521</v>
      </c>
      <c r="Q373" s="9" t="str">
        <f t="shared" si="11"/>
        <v>Valid</v>
      </c>
      <c r="R373">
        <v>9989821591</v>
      </c>
      <c r="S373" s="7" t="str">
        <f t="shared" si="10"/>
        <v>Valid</v>
      </c>
      <c r="T373" t="str">
        <f>IF(Table1[[#This Row],[Age]]&lt;25,"18-24",IF(Table1[[#This Row],[Age]]&lt;30,"25-29",IF(Table1[[#This Row],[Age]]&lt;35,"30-34",IF(Table1[[#This Row],[Age]]&lt;40,"35-39",IF(Table1[[#This Row],[Age]]&lt;50,"40-49","50+")))))</f>
        <v>40-49</v>
      </c>
    </row>
    <row r="374" spans="1:20" x14ac:dyDescent="0.35">
      <c r="A374">
        <v>1373</v>
      </c>
      <c r="B374" t="s">
        <v>37</v>
      </c>
      <c r="C374" t="s">
        <v>43</v>
      </c>
      <c r="D374" t="s">
        <v>17</v>
      </c>
      <c r="E374">
        <v>30</v>
      </c>
      <c r="F374" t="s">
        <v>62</v>
      </c>
      <c r="G374" t="s">
        <v>55</v>
      </c>
      <c r="H374" t="s">
        <v>56</v>
      </c>
      <c r="I374" s="1">
        <v>116569</v>
      </c>
      <c r="J374" t="s">
        <v>1539</v>
      </c>
      <c r="K374" t="s">
        <v>49</v>
      </c>
      <c r="L374">
        <v>24</v>
      </c>
      <c r="M374">
        <v>1</v>
      </c>
      <c r="N374" t="s">
        <v>23</v>
      </c>
      <c r="O374" t="s">
        <v>23</v>
      </c>
      <c r="P374" t="s">
        <v>522</v>
      </c>
      <c r="Q374" s="9" t="str">
        <f t="shared" si="11"/>
        <v>Valid</v>
      </c>
      <c r="R374">
        <v>9228385226</v>
      </c>
      <c r="S374" s="7" t="str">
        <f t="shared" si="10"/>
        <v>Valid</v>
      </c>
      <c r="T374" t="str">
        <f>IF(Table1[[#This Row],[Age]]&lt;25,"18-24",IF(Table1[[#This Row],[Age]]&lt;30,"25-29",IF(Table1[[#This Row],[Age]]&lt;35,"30-34",IF(Table1[[#This Row],[Age]]&lt;40,"35-39",IF(Table1[[#This Row],[Age]]&lt;50,"40-49","50+")))))</f>
        <v>30-34</v>
      </c>
    </row>
    <row r="375" spans="1:20" x14ac:dyDescent="0.35">
      <c r="A375">
        <v>1374</v>
      </c>
      <c r="B375" t="s">
        <v>60</v>
      </c>
      <c r="C375" t="s">
        <v>43</v>
      </c>
      <c r="D375" t="s">
        <v>27</v>
      </c>
      <c r="E375">
        <v>31</v>
      </c>
      <c r="F375" t="s">
        <v>62</v>
      </c>
      <c r="G375" t="s">
        <v>77</v>
      </c>
      <c r="H375" t="s">
        <v>20</v>
      </c>
      <c r="I375" s="1">
        <v>101368</v>
      </c>
      <c r="J375" t="s">
        <v>1540</v>
      </c>
      <c r="K375" t="s">
        <v>21</v>
      </c>
      <c r="L375">
        <v>5</v>
      </c>
      <c r="M375">
        <v>2</v>
      </c>
      <c r="N375" t="s">
        <v>23</v>
      </c>
      <c r="O375" t="s">
        <v>22</v>
      </c>
      <c r="P375" t="s">
        <v>523</v>
      </c>
      <c r="Q375" s="9" t="str">
        <f t="shared" si="11"/>
        <v>Valid</v>
      </c>
      <c r="R375">
        <v>9324633900</v>
      </c>
      <c r="S375" s="7" t="str">
        <f t="shared" si="10"/>
        <v>Valid</v>
      </c>
      <c r="T375" t="str">
        <f>IF(Table1[[#This Row],[Age]]&lt;25,"18-24",IF(Table1[[#This Row],[Age]]&lt;30,"25-29",IF(Table1[[#This Row],[Age]]&lt;35,"30-34",IF(Table1[[#This Row],[Age]]&lt;40,"35-39",IF(Table1[[#This Row],[Age]]&lt;50,"40-49","50+")))))</f>
        <v>30-34</v>
      </c>
    </row>
    <row r="376" spans="1:20" x14ac:dyDescent="0.35">
      <c r="A376">
        <v>1375</v>
      </c>
      <c r="B376" t="s">
        <v>67</v>
      </c>
      <c r="C376" t="s">
        <v>32</v>
      </c>
      <c r="D376" t="s">
        <v>27</v>
      </c>
      <c r="E376">
        <v>58</v>
      </c>
      <c r="F376" t="s">
        <v>62</v>
      </c>
      <c r="G376" t="s">
        <v>34</v>
      </c>
      <c r="H376" t="s">
        <v>56</v>
      </c>
      <c r="I376" s="1">
        <v>94848</v>
      </c>
      <c r="J376" t="s">
        <v>1541</v>
      </c>
      <c r="K376" t="s">
        <v>40</v>
      </c>
      <c r="L376">
        <v>23</v>
      </c>
      <c r="M376">
        <v>3</v>
      </c>
      <c r="N376" t="s">
        <v>22</v>
      </c>
      <c r="O376" t="s">
        <v>22</v>
      </c>
      <c r="P376" t="s">
        <v>524</v>
      </c>
      <c r="Q376" s="9" t="str">
        <f t="shared" si="11"/>
        <v>Valid</v>
      </c>
      <c r="R376">
        <v>9257408893</v>
      </c>
      <c r="S376" s="7" t="str">
        <f t="shared" si="10"/>
        <v>Valid</v>
      </c>
      <c r="T376" t="str">
        <f>IF(Table1[[#This Row],[Age]]&lt;25,"18-24",IF(Table1[[#This Row],[Age]]&lt;30,"25-29",IF(Table1[[#This Row],[Age]]&lt;35,"30-34",IF(Table1[[#This Row],[Age]]&lt;40,"35-39",IF(Table1[[#This Row],[Age]]&lt;50,"40-49","50+")))))</f>
        <v>50+</v>
      </c>
    </row>
    <row r="377" spans="1:20" x14ac:dyDescent="0.35">
      <c r="A377">
        <v>1376</v>
      </c>
      <c r="B377" t="s">
        <v>37</v>
      </c>
      <c r="C377" t="s">
        <v>26</v>
      </c>
      <c r="D377" t="s">
        <v>17</v>
      </c>
      <c r="E377">
        <v>40</v>
      </c>
      <c r="F377" t="s">
        <v>33</v>
      </c>
      <c r="G377" t="s">
        <v>77</v>
      </c>
      <c r="H377" t="s">
        <v>35</v>
      </c>
      <c r="I377" s="1">
        <v>29686</v>
      </c>
      <c r="J377" t="s">
        <v>525</v>
      </c>
      <c r="K377" t="s">
        <v>46</v>
      </c>
      <c r="L377">
        <v>8</v>
      </c>
      <c r="M377">
        <v>4</v>
      </c>
      <c r="N377" t="s">
        <v>22</v>
      </c>
      <c r="O377" t="s">
        <v>23</v>
      </c>
      <c r="P377" t="s">
        <v>526</v>
      </c>
      <c r="Q377" s="9" t="str">
        <f t="shared" si="11"/>
        <v>Valid</v>
      </c>
      <c r="R377">
        <v>9873090047</v>
      </c>
      <c r="S377" s="7" t="str">
        <f t="shared" si="10"/>
        <v>Valid</v>
      </c>
      <c r="T377" t="str">
        <f>IF(Table1[[#This Row],[Age]]&lt;25,"18-24",IF(Table1[[#This Row],[Age]]&lt;30,"25-29",IF(Table1[[#This Row],[Age]]&lt;35,"30-34",IF(Table1[[#This Row],[Age]]&lt;40,"35-39",IF(Table1[[#This Row],[Age]]&lt;50,"40-49","50+")))))</f>
        <v>40-49</v>
      </c>
    </row>
    <row r="378" spans="1:20" x14ac:dyDescent="0.35">
      <c r="A378">
        <v>1377</v>
      </c>
      <c r="B378" t="s">
        <v>67</v>
      </c>
      <c r="C378" t="s">
        <v>26</v>
      </c>
      <c r="D378" t="s">
        <v>27</v>
      </c>
      <c r="E378">
        <v>53</v>
      </c>
      <c r="F378" t="s">
        <v>69</v>
      </c>
      <c r="G378" t="s">
        <v>34</v>
      </c>
      <c r="H378" t="s">
        <v>28</v>
      </c>
      <c r="I378" s="1">
        <v>74554</v>
      </c>
      <c r="J378" t="s">
        <v>527</v>
      </c>
      <c r="K378" t="s">
        <v>30</v>
      </c>
      <c r="L378">
        <v>4</v>
      </c>
      <c r="M378">
        <v>2</v>
      </c>
      <c r="N378" t="s">
        <v>23</v>
      </c>
      <c r="O378" t="s">
        <v>23</v>
      </c>
      <c r="P378" t="s">
        <v>528</v>
      </c>
      <c r="Q378" s="9" t="str">
        <f t="shared" si="11"/>
        <v>Valid</v>
      </c>
      <c r="R378">
        <v>9968035915</v>
      </c>
      <c r="S378" s="7" t="str">
        <f t="shared" si="10"/>
        <v>Valid</v>
      </c>
      <c r="T378" t="str">
        <f>IF(Table1[[#This Row],[Age]]&lt;25,"18-24",IF(Table1[[#This Row],[Age]]&lt;30,"25-29",IF(Table1[[#This Row],[Age]]&lt;35,"30-34",IF(Table1[[#This Row],[Age]]&lt;40,"35-39",IF(Table1[[#This Row],[Age]]&lt;50,"40-49","50+")))))</f>
        <v>50+</v>
      </c>
    </row>
    <row r="379" spans="1:20" x14ac:dyDescent="0.35">
      <c r="A379">
        <v>1378</v>
      </c>
      <c r="B379" t="s">
        <v>67</v>
      </c>
      <c r="C379" t="s">
        <v>32</v>
      </c>
      <c r="D379" t="s">
        <v>27</v>
      </c>
      <c r="E379">
        <v>23</v>
      </c>
      <c r="F379" t="s">
        <v>62</v>
      </c>
      <c r="G379" t="s">
        <v>55</v>
      </c>
      <c r="H379" t="s">
        <v>56</v>
      </c>
      <c r="I379" s="1">
        <v>110673</v>
      </c>
      <c r="J379" t="s">
        <v>1542</v>
      </c>
      <c r="K379" t="s">
        <v>49</v>
      </c>
      <c r="L379">
        <v>22</v>
      </c>
      <c r="M379">
        <v>5</v>
      </c>
      <c r="N379" t="s">
        <v>23</v>
      </c>
      <c r="O379" t="s">
        <v>22</v>
      </c>
      <c r="P379" t="s">
        <v>529</v>
      </c>
      <c r="Q379" s="9" t="str">
        <f t="shared" si="11"/>
        <v>Valid</v>
      </c>
      <c r="R379">
        <v>9699958770</v>
      </c>
      <c r="S379" s="7" t="str">
        <f t="shared" si="10"/>
        <v>Valid</v>
      </c>
      <c r="T379" t="str">
        <f>IF(Table1[[#This Row],[Age]]&lt;25,"18-24",IF(Table1[[#This Row],[Age]]&lt;30,"25-29",IF(Table1[[#This Row],[Age]]&lt;35,"30-34",IF(Table1[[#This Row],[Age]]&lt;40,"35-39",IF(Table1[[#This Row],[Age]]&lt;50,"40-49","50+")))))</f>
        <v>18-24</v>
      </c>
    </row>
    <row r="380" spans="1:20" x14ac:dyDescent="0.35">
      <c r="A380">
        <v>1379</v>
      </c>
      <c r="B380" t="s">
        <v>15</v>
      </c>
      <c r="C380" t="s">
        <v>32</v>
      </c>
      <c r="D380" t="s">
        <v>27</v>
      </c>
      <c r="E380">
        <v>38</v>
      </c>
      <c r="F380" t="s">
        <v>62</v>
      </c>
      <c r="G380" t="s">
        <v>19</v>
      </c>
      <c r="H380" t="s">
        <v>28</v>
      </c>
      <c r="I380" s="1">
        <v>93217</v>
      </c>
      <c r="J380" t="s">
        <v>1543</v>
      </c>
      <c r="K380" t="s">
        <v>30</v>
      </c>
      <c r="L380">
        <v>25</v>
      </c>
      <c r="M380">
        <v>4</v>
      </c>
      <c r="N380" t="s">
        <v>22</v>
      </c>
      <c r="O380" t="s">
        <v>23</v>
      </c>
      <c r="P380" t="s">
        <v>530</v>
      </c>
      <c r="Q380" s="9" t="str">
        <f t="shared" si="11"/>
        <v>Valid</v>
      </c>
      <c r="R380">
        <v>9850454740</v>
      </c>
      <c r="S380" s="7" t="str">
        <f t="shared" si="10"/>
        <v>Valid</v>
      </c>
      <c r="T380" t="str">
        <f>IF(Table1[[#This Row],[Age]]&lt;25,"18-24",IF(Table1[[#This Row],[Age]]&lt;30,"25-29",IF(Table1[[#This Row],[Age]]&lt;35,"30-34",IF(Table1[[#This Row],[Age]]&lt;40,"35-39",IF(Table1[[#This Row],[Age]]&lt;50,"40-49","50+")))))</f>
        <v>35-39</v>
      </c>
    </row>
    <row r="381" spans="1:20" x14ac:dyDescent="0.35">
      <c r="A381">
        <v>1380</v>
      </c>
      <c r="B381" t="s">
        <v>54</v>
      </c>
      <c r="C381" t="s">
        <v>61</v>
      </c>
      <c r="D381" t="s">
        <v>17</v>
      </c>
      <c r="E381">
        <v>27</v>
      </c>
      <c r="F381" t="s">
        <v>38</v>
      </c>
      <c r="G381" t="s">
        <v>39</v>
      </c>
      <c r="H381" t="s">
        <v>28</v>
      </c>
      <c r="I381" s="1">
        <v>52118</v>
      </c>
      <c r="J381" t="s">
        <v>1544</v>
      </c>
      <c r="K381" t="s">
        <v>21</v>
      </c>
      <c r="L381">
        <v>22</v>
      </c>
      <c r="M381">
        <v>1</v>
      </c>
      <c r="N381" t="s">
        <v>23</v>
      </c>
      <c r="O381" t="s">
        <v>23</v>
      </c>
      <c r="P381" t="s">
        <v>531</v>
      </c>
      <c r="Q381" s="9" t="str">
        <f t="shared" si="11"/>
        <v>Valid</v>
      </c>
      <c r="R381">
        <v>9490154347</v>
      </c>
      <c r="S381" s="7" t="str">
        <f t="shared" si="10"/>
        <v>Valid</v>
      </c>
      <c r="T381" t="str">
        <f>IF(Table1[[#This Row],[Age]]&lt;25,"18-24",IF(Table1[[#This Row],[Age]]&lt;30,"25-29",IF(Table1[[#This Row],[Age]]&lt;35,"30-34",IF(Table1[[#This Row],[Age]]&lt;40,"35-39",IF(Table1[[#This Row],[Age]]&lt;50,"40-49","50+")))))</f>
        <v>25-29</v>
      </c>
    </row>
    <row r="382" spans="1:20" x14ac:dyDescent="0.35">
      <c r="A382">
        <v>1381</v>
      </c>
      <c r="B382" t="s">
        <v>60</v>
      </c>
      <c r="C382" t="s">
        <v>32</v>
      </c>
      <c r="D382" t="s">
        <v>17</v>
      </c>
      <c r="E382">
        <v>41</v>
      </c>
      <c r="F382" t="s">
        <v>33</v>
      </c>
      <c r="G382" t="s">
        <v>34</v>
      </c>
      <c r="H382" t="s">
        <v>35</v>
      </c>
      <c r="I382" s="1">
        <v>26170</v>
      </c>
      <c r="J382" t="s">
        <v>1545</v>
      </c>
      <c r="K382" t="s">
        <v>46</v>
      </c>
      <c r="L382">
        <v>11</v>
      </c>
      <c r="M382">
        <v>3</v>
      </c>
      <c r="N382" t="s">
        <v>23</v>
      </c>
      <c r="O382" t="s">
        <v>23</v>
      </c>
      <c r="P382" t="s">
        <v>532</v>
      </c>
      <c r="Q382" s="9" t="str">
        <f t="shared" si="11"/>
        <v>Valid</v>
      </c>
      <c r="R382">
        <v>9007801884</v>
      </c>
      <c r="S382" s="7" t="str">
        <f t="shared" si="10"/>
        <v>Valid</v>
      </c>
      <c r="T382" t="str">
        <f>IF(Table1[[#This Row],[Age]]&lt;25,"18-24",IF(Table1[[#This Row],[Age]]&lt;30,"25-29",IF(Table1[[#This Row],[Age]]&lt;35,"30-34",IF(Table1[[#This Row],[Age]]&lt;40,"35-39",IF(Table1[[#This Row],[Age]]&lt;50,"40-49","50+")))))</f>
        <v>40-49</v>
      </c>
    </row>
    <row r="383" spans="1:20" x14ac:dyDescent="0.35">
      <c r="A383">
        <v>1382</v>
      </c>
      <c r="B383" t="s">
        <v>25</v>
      </c>
      <c r="C383" t="s">
        <v>26</v>
      </c>
      <c r="D383" t="s">
        <v>17</v>
      </c>
      <c r="E383">
        <v>28</v>
      </c>
      <c r="F383" t="s">
        <v>33</v>
      </c>
      <c r="G383" t="s">
        <v>34</v>
      </c>
      <c r="H383" t="s">
        <v>56</v>
      </c>
      <c r="I383" s="1">
        <v>80341</v>
      </c>
      <c r="J383" t="s">
        <v>1546</v>
      </c>
      <c r="K383" t="s">
        <v>30</v>
      </c>
      <c r="L383">
        <v>18</v>
      </c>
      <c r="M383">
        <v>2</v>
      </c>
      <c r="N383" t="s">
        <v>23</v>
      </c>
      <c r="O383" t="s">
        <v>23</v>
      </c>
      <c r="P383" t="s">
        <v>533</v>
      </c>
      <c r="Q383" s="9" t="str">
        <f t="shared" si="11"/>
        <v>Valid</v>
      </c>
      <c r="R383">
        <v>9780089318</v>
      </c>
      <c r="S383" s="7" t="str">
        <f t="shared" si="10"/>
        <v>Valid</v>
      </c>
      <c r="T383" t="str">
        <f>IF(Table1[[#This Row],[Age]]&lt;25,"18-24",IF(Table1[[#This Row],[Age]]&lt;30,"25-29",IF(Table1[[#This Row],[Age]]&lt;35,"30-34",IF(Table1[[#This Row],[Age]]&lt;40,"35-39",IF(Table1[[#This Row],[Age]]&lt;50,"40-49","50+")))))</f>
        <v>25-29</v>
      </c>
    </row>
    <row r="384" spans="1:20" x14ac:dyDescent="0.35">
      <c r="A384">
        <v>1383</v>
      </c>
      <c r="B384" t="s">
        <v>37</v>
      </c>
      <c r="C384" t="s">
        <v>43</v>
      </c>
      <c r="D384" t="s">
        <v>27</v>
      </c>
      <c r="E384">
        <v>46</v>
      </c>
      <c r="F384" t="s">
        <v>38</v>
      </c>
      <c r="G384" t="s">
        <v>77</v>
      </c>
      <c r="H384" t="s">
        <v>35</v>
      </c>
      <c r="I384" s="1">
        <v>82091</v>
      </c>
      <c r="J384" t="s">
        <v>1547</v>
      </c>
      <c r="K384" t="s">
        <v>46</v>
      </c>
      <c r="L384">
        <v>4</v>
      </c>
      <c r="M384">
        <v>4</v>
      </c>
      <c r="N384" t="s">
        <v>22</v>
      </c>
      <c r="O384" t="s">
        <v>23</v>
      </c>
      <c r="P384" t="s">
        <v>534</v>
      </c>
      <c r="Q384" s="9" t="str">
        <f t="shared" si="11"/>
        <v>Valid</v>
      </c>
      <c r="R384">
        <v>9059913116</v>
      </c>
      <c r="S384" s="7" t="str">
        <f t="shared" si="10"/>
        <v>Valid</v>
      </c>
      <c r="T384" t="str">
        <f>IF(Table1[[#This Row],[Age]]&lt;25,"18-24",IF(Table1[[#This Row],[Age]]&lt;30,"25-29",IF(Table1[[#This Row],[Age]]&lt;35,"30-34",IF(Table1[[#This Row],[Age]]&lt;40,"35-39",IF(Table1[[#This Row],[Age]]&lt;50,"40-49","50+")))))</f>
        <v>40-49</v>
      </c>
    </row>
    <row r="385" spans="1:20" x14ac:dyDescent="0.35">
      <c r="A385">
        <v>1384</v>
      </c>
      <c r="B385" t="s">
        <v>82</v>
      </c>
      <c r="C385" t="s">
        <v>43</v>
      </c>
      <c r="D385" t="s">
        <v>27</v>
      </c>
      <c r="E385">
        <v>47</v>
      </c>
      <c r="F385" t="s">
        <v>18</v>
      </c>
      <c r="G385" t="s">
        <v>19</v>
      </c>
      <c r="H385" t="s">
        <v>56</v>
      </c>
      <c r="I385" s="1">
        <v>108942</v>
      </c>
      <c r="J385" t="s">
        <v>1548</v>
      </c>
      <c r="K385" t="s">
        <v>40</v>
      </c>
      <c r="L385">
        <v>18</v>
      </c>
      <c r="M385">
        <v>1</v>
      </c>
      <c r="N385" t="s">
        <v>23</v>
      </c>
      <c r="O385" t="s">
        <v>23</v>
      </c>
      <c r="P385" t="s">
        <v>535</v>
      </c>
      <c r="Q385" s="9" t="str">
        <f t="shared" si="11"/>
        <v>Valid</v>
      </c>
      <c r="R385">
        <v>9650834463</v>
      </c>
      <c r="S385" s="7" t="str">
        <f t="shared" si="10"/>
        <v>Valid</v>
      </c>
      <c r="T385" t="str">
        <f>IF(Table1[[#This Row],[Age]]&lt;25,"18-24",IF(Table1[[#This Row],[Age]]&lt;30,"25-29",IF(Table1[[#This Row],[Age]]&lt;35,"30-34",IF(Table1[[#This Row],[Age]]&lt;40,"35-39",IF(Table1[[#This Row],[Age]]&lt;50,"40-49","50+")))))</f>
        <v>40-49</v>
      </c>
    </row>
    <row r="386" spans="1:20" x14ac:dyDescent="0.35">
      <c r="A386">
        <v>1385</v>
      </c>
      <c r="B386" t="s">
        <v>25</v>
      </c>
      <c r="C386" t="s">
        <v>16</v>
      </c>
      <c r="D386" t="s">
        <v>17</v>
      </c>
      <c r="E386">
        <v>43</v>
      </c>
      <c r="F386" t="s">
        <v>69</v>
      </c>
      <c r="G386" t="s">
        <v>77</v>
      </c>
      <c r="H386" t="s">
        <v>28</v>
      </c>
      <c r="I386" s="1">
        <v>34925</v>
      </c>
      <c r="J386" t="s">
        <v>559</v>
      </c>
      <c r="K386" t="s">
        <v>46</v>
      </c>
      <c r="L386">
        <v>6</v>
      </c>
      <c r="M386">
        <v>1</v>
      </c>
      <c r="N386" t="s">
        <v>23</v>
      </c>
      <c r="O386" t="s">
        <v>22</v>
      </c>
      <c r="P386" t="s">
        <v>536</v>
      </c>
      <c r="Q386" s="9" t="str">
        <f t="shared" si="11"/>
        <v>Valid</v>
      </c>
      <c r="R386">
        <v>9532566860</v>
      </c>
      <c r="S386" s="7" t="str">
        <f t="shared" ref="S386:S449" si="12">IF(AND(ISNUMBER(R386),LEN(R386)=10),"Valid","Invalid")</f>
        <v>Valid</v>
      </c>
      <c r="T386" t="str">
        <f>IF(Table1[[#This Row],[Age]]&lt;25,"18-24",IF(Table1[[#This Row],[Age]]&lt;30,"25-29",IF(Table1[[#This Row],[Age]]&lt;35,"30-34",IF(Table1[[#This Row],[Age]]&lt;40,"35-39",IF(Table1[[#This Row],[Age]]&lt;50,"40-49","50+")))))</f>
        <v>40-49</v>
      </c>
    </row>
    <row r="387" spans="1:20" x14ac:dyDescent="0.35">
      <c r="A387">
        <v>1386</v>
      </c>
      <c r="B387" t="s">
        <v>15</v>
      </c>
      <c r="C387" t="s">
        <v>16</v>
      </c>
      <c r="D387" t="s">
        <v>27</v>
      </c>
      <c r="E387">
        <v>45</v>
      </c>
      <c r="F387" t="s">
        <v>69</v>
      </c>
      <c r="G387" t="s">
        <v>34</v>
      </c>
      <c r="H387" t="s">
        <v>56</v>
      </c>
      <c r="I387" s="1">
        <v>43929</v>
      </c>
      <c r="J387" t="s">
        <v>1549</v>
      </c>
      <c r="K387" t="s">
        <v>46</v>
      </c>
      <c r="L387">
        <v>6</v>
      </c>
      <c r="M387">
        <v>3</v>
      </c>
      <c r="N387" t="s">
        <v>22</v>
      </c>
      <c r="O387" t="s">
        <v>22</v>
      </c>
      <c r="P387" t="s">
        <v>537</v>
      </c>
      <c r="Q387" s="9" t="str">
        <f t="shared" ref="Q387:Q450" si="13">IF(AND(ISNUMBER(SEARCH("@",P387)),ISNUMBER(SEARCH(".",P387))),"Valid","Invalid")</f>
        <v>Valid</v>
      </c>
      <c r="R387">
        <v>9965383889</v>
      </c>
      <c r="S387" s="7" t="str">
        <f t="shared" si="12"/>
        <v>Valid</v>
      </c>
      <c r="T387" t="str">
        <f>IF(Table1[[#This Row],[Age]]&lt;25,"18-24",IF(Table1[[#This Row],[Age]]&lt;30,"25-29",IF(Table1[[#This Row],[Age]]&lt;35,"30-34",IF(Table1[[#This Row],[Age]]&lt;40,"35-39",IF(Table1[[#This Row],[Age]]&lt;50,"40-49","50+")))))</f>
        <v>40-49</v>
      </c>
    </row>
    <row r="388" spans="1:20" x14ac:dyDescent="0.35">
      <c r="A388">
        <v>1387</v>
      </c>
      <c r="B388" t="s">
        <v>15</v>
      </c>
      <c r="C388" t="s">
        <v>26</v>
      </c>
      <c r="D388" t="s">
        <v>17</v>
      </c>
      <c r="E388">
        <v>32</v>
      </c>
      <c r="F388" t="s">
        <v>69</v>
      </c>
      <c r="G388" t="s">
        <v>19</v>
      </c>
      <c r="H388" t="s">
        <v>20</v>
      </c>
      <c r="I388" s="1">
        <v>82330</v>
      </c>
      <c r="J388" t="s">
        <v>1550</v>
      </c>
      <c r="K388" t="s">
        <v>30</v>
      </c>
      <c r="L388">
        <v>18</v>
      </c>
      <c r="M388">
        <v>5</v>
      </c>
      <c r="N388" t="s">
        <v>22</v>
      </c>
      <c r="O388" t="s">
        <v>23</v>
      </c>
      <c r="P388" t="s">
        <v>538</v>
      </c>
      <c r="Q388" s="9" t="str">
        <f t="shared" si="13"/>
        <v>Valid</v>
      </c>
      <c r="R388">
        <v>9115923379</v>
      </c>
      <c r="S388" s="7" t="str">
        <f t="shared" si="12"/>
        <v>Valid</v>
      </c>
      <c r="T388" t="str">
        <f>IF(Table1[[#This Row],[Age]]&lt;25,"18-24",IF(Table1[[#This Row],[Age]]&lt;30,"25-29",IF(Table1[[#This Row],[Age]]&lt;35,"30-34",IF(Table1[[#This Row],[Age]]&lt;40,"35-39",IF(Table1[[#This Row],[Age]]&lt;50,"40-49","50+")))))</f>
        <v>30-34</v>
      </c>
    </row>
    <row r="389" spans="1:20" x14ac:dyDescent="0.35">
      <c r="A389">
        <v>1388</v>
      </c>
      <c r="B389" t="s">
        <v>58</v>
      </c>
      <c r="C389" t="s">
        <v>61</v>
      </c>
      <c r="D389" t="s">
        <v>17</v>
      </c>
      <c r="E389">
        <v>40</v>
      </c>
      <c r="F389" t="s">
        <v>69</v>
      </c>
      <c r="G389" t="s">
        <v>77</v>
      </c>
      <c r="H389" t="s">
        <v>44</v>
      </c>
      <c r="I389" s="1">
        <v>92029</v>
      </c>
      <c r="J389" t="s">
        <v>539</v>
      </c>
      <c r="K389" t="s">
        <v>40</v>
      </c>
      <c r="L389">
        <v>25</v>
      </c>
      <c r="M389">
        <v>4</v>
      </c>
      <c r="N389" t="s">
        <v>22</v>
      </c>
      <c r="O389" t="s">
        <v>23</v>
      </c>
      <c r="P389" t="s">
        <v>540</v>
      </c>
      <c r="Q389" s="9" t="str">
        <f t="shared" si="13"/>
        <v>Valid</v>
      </c>
      <c r="R389">
        <v>9502485218</v>
      </c>
      <c r="S389" s="7" t="str">
        <f t="shared" si="12"/>
        <v>Valid</v>
      </c>
      <c r="T389" t="str">
        <f>IF(Table1[[#This Row],[Age]]&lt;25,"18-24",IF(Table1[[#This Row],[Age]]&lt;30,"25-29",IF(Table1[[#This Row],[Age]]&lt;35,"30-34",IF(Table1[[#This Row],[Age]]&lt;40,"35-39",IF(Table1[[#This Row],[Age]]&lt;50,"40-49","50+")))))</f>
        <v>40-49</v>
      </c>
    </row>
    <row r="390" spans="1:20" x14ac:dyDescent="0.35">
      <c r="A390">
        <v>1389</v>
      </c>
      <c r="B390" t="s">
        <v>42</v>
      </c>
      <c r="C390" t="s">
        <v>43</v>
      </c>
      <c r="D390" t="s">
        <v>27</v>
      </c>
      <c r="E390">
        <v>44</v>
      </c>
      <c r="F390" t="s">
        <v>33</v>
      </c>
      <c r="G390" t="s">
        <v>34</v>
      </c>
      <c r="H390" t="s">
        <v>44</v>
      </c>
      <c r="I390" s="1">
        <v>59866</v>
      </c>
      <c r="J390" t="s">
        <v>1551</v>
      </c>
      <c r="K390" t="s">
        <v>30</v>
      </c>
      <c r="L390">
        <v>24</v>
      </c>
      <c r="M390">
        <v>1</v>
      </c>
      <c r="N390" t="s">
        <v>22</v>
      </c>
      <c r="O390" t="s">
        <v>23</v>
      </c>
      <c r="P390" t="s">
        <v>541</v>
      </c>
      <c r="Q390" s="9" t="str">
        <f t="shared" si="13"/>
        <v>Valid</v>
      </c>
      <c r="R390">
        <v>9026301752</v>
      </c>
      <c r="S390" s="7" t="str">
        <f t="shared" si="12"/>
        <v>Valid</v>
      </c>
      <c r="T390" t="str">
        <f>IF(Table1[[#This Row],[Age]]&lt;25,"18-24",IF(Table1[[#This Row],[Age]]&lt;30,"25-29",IF(Table1[[#This Row],[Age]]&lt;35,"30-34",IF(Table1[[#This Row],[Age]]&lt;40,"35-39",IF(Table1[[#This Row],[Age]]&lt;50,"40-49","50+")))))</f>
        <v>40-49</v>
      </c>
    </row>
    <row r="391" spans="1:20" x14ac:dyDescent="0.35">
      <c r="A391">
        <v>1390</v>
      </c>
      <c r="B391" t="s">
        <v>64</v>
      </c>
      <c r="C391" t="s">
        <v>43</v>
      </c>
      <c r="D391" t="s">
        <v>27</v>
      </c>
      <c r="E391">
        <v>52</v>
      </c>
      <c r="F391" t="s">
        <v>69</v>
      </c>
      <c r="G391" t="s">
        <v>19</v>
      </c>
      <c r="H391" t="s">
        <v>28</v>
      </c>
      <c r="I391" s="1">
        <v>109654</v>
      </c>
      <c r="J391" t="s">
        <v>542</v>
      </c>
      <c r="K391" t="s">
        <v>30</v>
      </c>
      <c r="L391">
        <v>16</v>
      </c>
      <c r="M391">
        <v>1</v>
      </c>
      <c r="N391" t="s">
        <v>22</v>
      </c>
      <c r="O391" t="s">
        <v>23</v>
      </c>
      <c r="P391" t="s">
        <v>543</v>
      </c>
      <c r="Q391" s="9" t="str">
        <f t="shared" si="13"/>
        <v>Valid</v>
      </c>
      <c r="R391">
        <v>9527598567</v>
      </c>
      <c r="S391" s="7" t="str">
        <f t="shared" si="12"/>
        <v>Valid</v>
      </c>
      <c r="T391" t="str">
        <f>IF(Table1[[#This Row],[Age]]&lt;25,"18-24",IF(Table1[[#This Row],[Age]]&lt;30,"25-29",IF(Table1[[#This Row],[Age]]&lt;35,"30-34",IF(Table1[[#This Row],[Age]]&lt;40,"35-39",IF(Table1[[#This Row],[Age]]&lt;50,"40-49","50+")))))</f>
        <v>50+</v>
      </c>
    </row>
    <row r="392" spans="1:20" x14ac:dyDescent="0.35">
      <c r="A392">
        <v>1391</v>
      </c>
      <c r="B392" t="s">
        <v>58</v>
      </c>
      <c r="C392" t="s">
        <v>61</v>
      </c>
      <c r="D392" t="s">
        <v>27</v>
      </c>
      <c r="E392">
        <v>50</v>
      </c>
      <c r="F392" t="s">
        <v>38</v>
      </c>
      <c r="G392" t="s">
        <v>34</v>
      </c>
      <c r="H392" t="s">
        <v>28</v>
      </c>
      <c r="I392" s="1">
        <v>47223</v>
      </c>
      <c r="J392" t="s">
        <v>1552</v>
      </c>
      <c r="K392" t="s">
        <v>40</v>
      </c>
      <c r="L392">
        <v>13</v>
      </c>
      <c r="M392">
        <v>1</v>
      </c>
      <c r="N392" t="s">
        <v>22</v>
      </c>
      <c r="O392" t="s">
        <v>22</v>
      </c>
      <c r="P392" t="s">
        <v>544</v>
      </c>
      <c r="Q392" s="9" t="str">
        <f t="shared" si="13"/>
        <v>Valid</v>
      </c>
      <c r="R392">
        <v>9242144648</v>
      </c>
      <c r="S392" s="7" t="str">
        <f t="shared" si="12"/>
        <v>Valid</v>
      </c>
      <c r="T392" t="str">
        <f>IF(Table1[[#This Row],[Age]]&lt;25,"18-24",IF(Table1[[#This Row],[Age]]&lt;30,"25-29",IF(Table1[[#This Row],[Age]]&lt;35,"30-34",IF(Table1[[#This Row],[Age]]&lt;40,"35-39",IF(Table1[[#This Row],[Age]]&lt;50,"40-49","50+")))))</f>
        <v>50+</v>
      </c>
    </row>
    <row r="393" spans="1:20" x14ac:dyDescent="0.35">
      <c r="A393">
        <v>1392</v>
      </c>
      <c r="B393" t="s">
        <v>64</v>
      </c>
      <c r="C393" t="s">
        <v>26</v>
      </c>
      <c r="D393" t="s">
        <v>17</v>
      </c>
      <c r="E393">
        <v>36</v>
      </c>
      <c r="F393" t="s">
        <v>18</v>
      </c>
      <c r="G393" t="s">
        <v>34</v>
      </c>
      <c r="H393" t="s">
        <v>56</v>
      </c>
      <c r="I393" s="1">
        <v>94567</v>
      </c>
      <c r="J393" t="s">
        <v>1553</v>
      </c>
      <c r="K393" t="s">
        <v>49</v>
      </c>
      <c r="L393">
        <v>2</v>
      </c>
      <c r="M393">
        <v>4</v>
      </c>
      <c r="N393" t="s">
        <v>22</v>
      </c>
      <c r="O393" t="s">
        <v>22</v>
      </c>
      <c r="P393" t="s">
        <v>545</v>
      </c>
      <c r="Q393" s="9" t="str">
        <f t="shared" si="13"/>
        <v>Valid</v>
      </c>
      <c r="R393">
        <v>9746628830</v>
      </c>
      <c r="S393" s="7" t="str">
        <f t="shared" si="12"/>
        <v>Valid</v>
      </c>
      <c r="T393" t="str">
        <f>IF(Table1[[#This Row],[Age]]&lt;25,"18-24",IF(Table1[[#This Row],[Age]]&lt;30,"25-29",IF(Table1[[#This Row],[Age]]&lt;35,"30-34",IF(Table1[[#This Row],[Age]]&lt;40,"35-39",IF(Table1[[#This Row],[Age]]&lt;50,"40-49","50+")))))</f>
        <v>35-39</v>
      </c>
    </row>
    <row r="394" spans="1:20" x14ac:dyDescent="0.35">
      <c r="A394">
        <v>1393</v>
      </c>
      <c r="B394" t="s">
        <v>60</v>
      </c>
      <c r="C394" t="s">
        <v>43</v>
      </c>
      <c r="D394" t="s">
        <v>17</v>
      </c>
      <c r="E394">
        <v>27</v>
      </c>
      <c r="F394" t="s">
        <v>38</v>
      </c>
      <c r="G394" t="s">
        <v>39</v>
      </c>
      <c r="H394" t="s">
        <v>44</v>
      </c>
      <c r="I394" s="1">
        <v>109016</v>
      </c>
      <c r="J394" t="s">
        <v>1554</v>
      </c>
      <c r="K394" t="s">
        <v>46</v>
      </c>
      <c r="L394">
        <v>6</v>
      </c>
      <c r="M394">
        <v>2</v>
      </c>
      <c r="N394" t="s">
        <v>23</v>
      </c>
      <c r="O394" t="s">
        <v>23</v>
      </c>
      <c r="P394" t="s">
        <v>546</v>
      </c>
      <c r="Q394" s="9" t="str">
        <f t="shared" si="13"/>
        <v>Valid</v>
      </c>
      <c r="R394">
        <v>9952291390</v>
      </c>
      <c r="S394" s="7" t="str">
        <f t="shared" si="12"/>
        <v>Valid</v>
      </c>
      <c r="T394" t="str">
        <f>IF(Table1[[#This Row],[Age]]&lt;25,"18-24",IF(Table1[[#This Row],[Age]]&lt;30,"25-29",IF(Table1[[#This Row],[Age]]&lt;35,"30-34",IF(Table1[[#This Row],[Age]]&lt;40,"35-39",IF(Table1[[#This Row],[Age]]&lt;50,"40-49","50+")))))</f>
        <v>25-29</v>
      </c>
    </row>
    <row r="395" spans="1:20" x14ac:dyDescent="0.35">
      <c r="A395">
        <v>1394</v>
      </c>
      <c r="B395" t="s">
        <v>54</v>
      </c>
      <c r="C395" t="s">
        <v>16</v>
      </c>
      <c r="D395" t="s">
        <v>27</v>
      </c>
      <c r="E395">
        <v>32</v>
      </c>
      <c r="F395" t="s">
        <v>69</v>
      </c>
      <c r="G395" t="s">
        <v>34</v>
      </c>
      <c r="H395" t="s">
        <v>56</v>
      </c>
      <c r="I395" s="1">
        <v>72958</v>
      </c>
      <c r="J395" t="s">
        <v>1555</v>
      </c>
      <c r="K395" t="s">
        <v>40</v>
      </c>
      <c r="L395">
        <v>2</v>
      </c>
      <c r="M395">
        <v>2</v>
      </c>
      <c r="N395" t="s">
        <v>22</v>
      </c>
      <c r="O395" t="s">
        <v>23</v>
      </c>
      <c r="P395" t="s">
        <v>547</v>
      </c>
      <c r="Q395" s="9" t="str">
        <f t="shared" si="13"/>
        <v>Valid</v>
      </c>
      <c r="R395">
        <v>9615298632</v>
      </c>
      <c r="S395" s="7" t="str">
        <f t="shared" si="12"/>
        <v>Valid</v>
      </c>
      <c r="T395" t="str">
        <f>IF(Table1[[#This Row],[Age]]&lt;25,"18-24",IF(Table1[[#This Row],[Age]]&lt;30,"25-29",IF(Table1[[#This Row],[Age]]&lt;35,"30-34",IF(Table1[[#This Row],[Age]]&lt;40,"35-39",IF(Table1[[#This Row],[Age]]&lt;50,"40-49","50+")))))</f>
        <v>30-34</v>
      </c>
    </row>
    <row r="396" spans="1:20" x14ac:dyDescent="0.35">
      <c r="A396">
        <v>1395</v>
      </c>
      <c r="B396" t="s">
        <v>15</v>
      </c>
      <c r="C396" t="s">
        <v>26</v>
      </c>
      <c r="D396" t="s">
        <v>27</v>
      </c>
      <c r="E396">
        <v>32</v>
      </c>
      <c r="F396" t="s">
        <v>18</v>
      </c>
      <c r="G396" t="s">
        <v>55</v>
      </c>
      <c r="H396" t="s">
        <v>28</v>
      </c>
      <c r="I396" s="1">
        <v>96542</v>
      </c>
      <c r="J396" t="s">
        <v>1533</v>
      </c>
      <c r="K396" t="s">
        <v>30</v>
      </c>
      <c r="L396">
        <v>4</v>
      </c>
      <c r="M396">
        <v>3</v>
      </c>
      <c r="N396" t="s">
        <v>22</v>
      </c>
      <c r="O396" t="s">
        <v>22</v>
      </c>
      <c r="P396" t="s">
        <v>548</v>
      </c>
      <c r="Q396" s="9" t="str">
        <f t="shared" si="13"/>
        <v>Valid</v>
      </c>
      <c r="R396">
        <v>9132112491</v>
      </c>
      <c r="S396" s="7" t="str">
        <f t="shared" si="12"/>
        <v>Valid</v>
      </c>
      <c r="T396" t="str">
        <f>IF(Table1[[#This Row],[Age]]&lt;25,"18-24",IF(Table1[[#This Row],[Age]]&lt;30,"25-29",IF(Table1[[#This Row],[Age]]&lt;35,"30-34",IF(Table1[[#This Row],[Age]]&lt;40,"35-39",IF(Table1[[#This Row],[Age]]&lt;50,"40-49","50+")))))</f>
        <v>30-34</v>
      </c>
    </row>
    <row r="397" spans="1:20" x14ac:dyDescent="0.35">
      <c r="A397">
        <v>1396</v>
      </c>
      <c r="B397" t="s">
        <v>82</v>
      </c>
      <c r="C397" t="s">
        <v>16</v>
      </c>
      <c r="D397" t="s">
        <v>27</v>
      </c>
      <c r="E397">
        <v>23</v>
      </c>
      <c r="F397" t="s">
        <v>69</v>
      </c>
      <c r="G397" t="s">
        <v>55</v>
      </c>
      <c r="H397" t="s">
        <v>56</v>
      </c>
      <c r="I397" s="1">
        <v>113131</v>
      </c>
      <c r="J397" t="s">
        <v>1556</v>
      </c>
      <c r="K397" t="s">
        <v>21</v>
      </c>
      <c r="L397">
        <v>7</v>
      </c>
      <c r="M397">
        <v>3</v>
      </c>
      <c r="N397" t="s">
        <v>23</v>
      </c>
      <c r="O397" t="s">
        <v>22</v>
      </c>
      <c r="P397" t="s">
        <v>549</v>
      </c>
      <c r="Q397" s="9" t="str">
        <f t="shared" si="13"/>
        <v>Valid</v>
      </c>
      <c r="R397">
        <v>9037963447</v>
      </c>
      <c r="S397" s="7" t="str">
        <f t="shared" si="12"/>
        <v>Valid</v>
      </c>
      <c r="T397" t="str">
        <f>IF(Table1[[#This Row],[Age]]&lt;25,"18-24",IF(Table1[[#This Row],[Age]]&lt;30,"25-29",IF(Table1[[#This Row],[Age]]&lt;35,"30-34",IF(Table1[[#This Row],[Age]]&lt;40,"35-39",IF(Table1[[#This Row],[Age]]&lt;50,"40-49","50+")))))</f>
        <v>18-24</v>
      </c>
    </row>
    <row r="398" spans="1:20" x14ac:dyDescent="0.35">
      <c r="A398">
        <v>1397</v>
      </c>
      <c r="B398" t="s">
        <v>54</v>
      </c>
      <c r="C398" t="s">
        <v>26</v>
      </c>
      <c r="D398" t="s">
        <v>17</v>
      </c>
      <c r="E398">
        <v>46</v>
      </c>
      <c r="F398" t="s">
        <v>33</v>
      </c>
      <c r="G398" t="s">
        <v>34</v>
      </c>
      <c r="H398" t="s">
        <v>20</v>
      </c>
      <c r="I398" s="1">
        <v>41788</v>
      </c>
      <c r="J398" t="s">
        <v>550</v>
      </c>
      <c r="K398" t="s">
        <v>30</v>
      </c>
      <c r="L398">
        <v>1</v>
      </c>
      <c r="M398">
        <v>4</v>
      </c>
      <c r="N398" t="s">
        <v>22</v>
      </c>
      <c r="O398" t="s">
        <v>23</v>
      </c>
      <c r="P398" t="s">
        <v>551</v>
      </c>
      <c r="Q398" s="9" t="str">
        <f t="shared" si="13"/>
        <v>Valid</v>
      </c>
      <c r="R398">
        <v>9760482290</v>
      </c>
      <c r="S398" s="7" t="str">
        <f t="shared" si="12"/>
        <v>Valid</v>
      </c>
      <c r="T398" t="str">
        <f>IF(Table1[[#This Row],[Age]]&lt;25,"18-24",IF(Table1[[#This Row],[Age]]&lt;30,"25-29",IF(Table1[[#This Row],[Age]]&lt;35,"30-34",IF(Table1[[#This Row],[Age]]&lt;40,"35-39",IF(Table1[[#This Row],[Age]]&lt;50,"40-49","50+")))))</f>
        <v>40-49</v>
      </c>
    </row>
    <row r="399" spans="1:20" x14ac:dyDescent="0.35">
      <c r="A399">
        <v>1398</v>
      </c>
      <c r="B399" t="s">
        <v>58</v>
      </c>
      <c r="C399" t="s">
        <v>32</v>
      </c>
      <c r="D399" t="s">
        <v>17</v>
      </c>
      <c r="E399">
        <v>35</v>
      </c>
      <c r="F399" t="s">
        <v>69</v>
      </c>
      <c r="G399" t="s">
        <v>39</v>
      </c>
      <c r="H399" t="s">
        <v>44</v>
      </c>
      <c r="I399" s="1">
        <v>93917</v>
      </c>
      <c r="J399" t="s">
        <v>1557</v>
      </c>
      <c r="K399" t="s">
        <v>21</v>
      </c>
      <c r="L399">
        <v>11</v>
      </c>
      <c r="M399">
        <v>4</v>
      </c>
      <c r="N399" t="s">
        <v>23</v>
      </c>
      <c r="O399" t="s">
        <v>23</v>
      </c>
      <c r="P399" t="s">
        <v>552</v>
      </c>
      <c r="Q399" s="9" t="str">
        <f t="shared" si="13"/>
        <v>Valid</v>
      </c>
      <c r="R399">
        <v>9094472236</v>
      </c>
      <c r="S399" s="7" t="str">
        <f t="shared" si="12"/>
        <v>Valid</v>
      </c>
      <c r="T399" t="str">
        <f>IF(Table1[[#This Row],[Age]]&lt;25,"18-24",IF(Table1[[#This Row],[Age]]&lt;30,"25-29",IF(Table1[[#This Row],[Age]]&lt;35,"30-34",IF(Table1[[#This Row],[Age]]&lt;40,"35-39",IF(Table1[[#This Row],[Age]]&lt;50,"40-49","50+")))))</f>
        <v>35-39</v>
      </c>
    </row>
    <row r="400" spans="1:20" x14ac:dyDescent="0.35">
      <c r="A400">
        <v>1399</v>
      </c>
      <c r="B400" t="s">
        <v>25</v>
      </c>
      <c r="C400" t="s">
        <v>16</v>
      </c>
      <c r="D400" t="s">
        <v>27</v>
      </c>
      <c r="E400">
        <v>51</v>
      </c>
      <c r="F400" t="s">
        <v>38</v>
      </c>
      <c r="G400" t="s">
        <v>19</v>
      </c>
      <c r="H400" t="s">
        <v>44</v>
      </c>
      <c r="I400" s="1">
        <v>104544</v>
      </c>
      <c r="J400" t="s">
        <v>1558</v>
      </c>
      <c r="K400" t="s">
        <v>46</v>
      </c>
      <c r="L400">
        <v>9</v>
      </c>
      <c r="M400">
        <v>5</v>
      </c>
      <c r="N400" t="s">
        <v>23</v>
      </c>
      <c r="O400" t="s">
        <v>22</v>
      </c>
      <c r="P400" t="s">
        <v>553</v>
      </c>
      <c r="Q400" s="9" t="str">
        <f t="shared" si="13"/>
        <v>Valid</v>
      </c>
      <c r="R400">
        <v>9793271116</v>
      </c>
      <c r="S400" s="7" t="str">
        <f t="shared" si="12"/>
        <v>Valid</v>
      </c>
      <c r="T400" t="str">
        <f>IF(Table1[[#This Row],[Age]]&lt;25,"18-24",IF(Table1[[#This Row],[Age]]&lt;30,"25-29",IF(Table1[[#This Row],[Age]]&lt;35,"30-34",IF(Table1[[#This Row],[Age]]&lt;40,"35-39",IF(Table1[[#This Row],[Age]]&lt;50,"40-49","50+")))))</f>
        <v>50+</v>
      </c>
    </row>
    <row r="401" spans="1:20" x14ac:dyDescent="0.35">
      <c r="A401">
        <v>1400</v>
      </c>
      <c r="B401" t="s">
        <v>37</v>
      </c>
      <c r="C401" t="s">
        <v>61</v>
      </c>
      <c r="D401" t="s">
        <v>17</v>
      </c>
      <c r="E401">
        <v>41</v>
      </c>
      <c r="F401" t="s">
        <v>18</v>
      </c>
      <c r="G401" t="s">
        <v>39</v>
      </c>
      <c r="H401" t="s">
        <v>28</v>
      </c>
      <c r="I401" s="1">
        <v>110637</v>
      </c>
      <c r="J401" t="s">
        <v>1541</v>
      </c>
      <c r="K401" t="s">
        <v>49</v>
      </c>
      <c r="L401">
        <v>11</v>
      </c>
      <c r="M401">
        <v>1</v>
      </c>
      <c r="N401" t="s">
        <v>22</v>
      </c>
      <c r="O401" t="s">
        <v>23</v>
      </c>
      <c r="P401" t="s">
        <v>554</v>
      </c>
      <c r="Q401" s="9" t="str">
        <f t="shared" si="13"/>
        <v>Valid</v>
      </c>
      <c r="R401">
        <v>9507995532</v>
      </c>
      <c r="S401" s="7" t="str">
        <f t="shared" si="12"/>
        <v>Valid</v>
      </c>
      <c r="T401" t="str">
        <f>IF(Table1[[#This Row],[Age]]&lt;25,"18-24",IF(Table1[[#This Row],[Age]]&lt;30,"25-29",IF(Table1[[#This Row],[Age]]&lt;35,"30-34",IF(Table1[[#This Row],[Age]]&lt;40,"35-39",IF(Table1[[#This Row],[Age]]&lt;50,"40-49","50+")))))</f>
        <v>40-49</v>
      </c>
    </row>
    <row r="402" spans="1:20" x14ac:dyDescent="0.35">
      <c r="A402">
        <v>1401</v>
      </c>
      <c r="B402" t="s">
        <v>64</v>
      </c>
      <c r="C402" t="s">
        <v>26</v>
      </c>
      <c r="D402" t="s">
        <v>27</v>
      </c>
      <c r="E402">
        <v>30</v>
      </c>
      <c r="F402" t="s">
        <v>69</v>
      </c>
      <c r="G402" t="s">
        <v>39</v>
      </c>
      <c r="H402" t="s">
        <v>35</v>
      </c>
      <c r="I402" s="1">
        <v>68060</v>
      </c>
      <c r="J402" t="s">
        <v>555</v>
      </c>
      <c r="K402" t="s">
        <v>40</v>
      </c>
      <c r="L402">
        <v>24</v>
      </c>
      <c r="M402">
        <v>5</v>
      </c>
      <c r="N402" t="s">
        <v>22</v>
      </c>
      <c r="O402" t="s">
        <v>23</v>
      </c>
      <c r="P402" t="s">
        <v>556</v>
      </c>
      <c r="Q402" s="9" t="str">
        <f t="shared" si="13"/>
        <v>Valid</v>
      </c>
      <c r="R402">
        <v>9792647568</v>
      </c>
      <c r="S402" s="7" t="str">
        <f t="shared" si="12"/>
        <v>Valid</v>
      </c>
      <c r="T402" t="str">
        <f>IF(Table1[[#This Row],[Age]]&lt;25,"18-24",IF(Table1[[#This Row],[Age]]&lt;30,"25-29",IF(Table1[[#This Row],[Age]]&lt;35,"30-34",IF(Table1[[#This Row],[Age]]&lt;40,"35-39",IF(Table1[[#This Row],[Age]]&lt;50,"40-49","50+")))))</f>
        <v>30-34</v>
      </c>
    </row>
    <row r="403" spans="1:20" x14ac:dyDescent="0.35">
      <c r="A403">
        <v>1402</v>
      </c>
      <c r="B403" t="s">
        <v>82</v>
      </c>
      <c r="C403" t="s">
        <v>16</v>
      </c>
      <c r="D403" t="s">
        <v>27</v>
      </c>
      <c r="E403">
        <v>43</v>
      </c>
      <c r="F403" t="s">
        <v>33</v>
      </c>
      <c r="G403" t="s">
        <v>39</v>
      </c>
      <c r="H403" t="s">
        <v>28</v>
      </c>
      <c r="I403" s="1">
        <v>54168</v>
      </c>
      <c r="J403" t="s">
        <v>1559</v>
      </c>
      <c r="K403" t="s">
        <v>40</v>
      </c>
      <c r="L403">
        <v>25</v>
      </c>
      <c r="M403">
        <v>5</v>
      </c>
      <c r="N403" t="s">
        <v>22</v>
      </c>
      <c r="O403" t="s">
        <v>22</v>
      </c>
      <c r="P403" t="s">
        <v>557</v>
      </c>
      <c r="Q403" s="9" t="str">
        <f t="shared" si="13"/>
        <v>Valid</v>
      </c>
      <c r="R403">
        <v>9823171591</v>
      </c>
      <c r="S403" s="7" t="str">
        <f t="shared" si="12"/>
        <v>Valid</v>
      </c>
      <c r="T403" t="str">
        <f>IF(Table1[[#This Row],[Age]]&lt;25,"18-24",IF(Table1[[#This Row],[Age]]&lt;30,"25-29",IF(Table1[[#This Row],[Age]]&lt;35,"30-34",IF(Table1[[#This Row],[Age]]&lt;40,"35-39",IF(Table1[[#This Row],[Age]]&lt;50,"40-49","50+")))))</f>
        <v>40-49</v>
      </c>
    </row>
    <row r="404" spans="1:20" x14ac:dyDescent="0.35">
      <c r="A404">
        <v>1403</v>
      </c>
      <c r="B404" t="s">
        <v>58</v>
      </c>
      <c r="C404" t="s">
        <v>26</v>
      </c>
      <c r="D404" t="s">
        <v>17</v>
      </c>
      <c r="E404">
        <v>30</v>
      </c>
      <c r="F404" t="s">
        <v>69</v>
      </c>
      <c r="G404" t="s">
        <v>19</v>
      </c>
      <c r="H404" t="s">
        <v>44</v>
      </c>
      <c r="I404" s="1">
        <v>113480</v>
      </c>
      <c r="J404" t="s">
        <v>1560</v>
      </c>
      <c r="K404" t="s">
        <v>49</v>
      </c>
      <c r="L404">
        <v>13</v>
      </c>
      <c r="M404">
        <v>1</v>
      </c>
      <c r="N404" t="s">
        <v>22</v>
      </c>
      <c r="O404" t="s">
        <v>23</v>
      </c>
      <c r="P404" t="s">
        <v>558</v>
      </c>
      <c r="Q404" s="9" t="str">
        <f t="shared" si="13"/>
        <v>Valid</v>
      </c>
      <c r="R404">
        <v>9788185805</v>
      </c>
      <c r="S404" s="7" t="str">
        <f t="shared" si="12"/>
        <v>Valid</v>
      </c>
      <c r="T404" t="str">
        <f>IF(Table1[[#This Row],[Age]]&lt;25,"18-24",IF(Table1[[#This Row],[Age]]&lt;30,"25-29",IF(Table1[[#This Row],[Age]]&lt;35,"30-34",IF(Table1[[#This Row],[Age]]&lt;40,"35-39",IF(Table1[[#This Row],[Age]]&lt;50,"40-49","50+")))))</f>
        <v>30-34</v>
      </c>
    </row>
    <row r="405" spans="1:20" x14ac:dyDescent="0.35">
      <c r="A405">
        <v>1404</v>
      </c>
      <c r="B405" t="s">
        <v>54</v>
      </c>
      <c r="C405" t="s">
        <v>32</v>
      </c>
      <c r="D405" t="s">
        <v>27</v>
      </c>
      <c r="E405">
        <v>46</v>
      </c>
      <c r="F405" t="s">
        <v>18</v>
      </c>
      <c r="G405" t="s">
        <v>55</v>
      </c>
      <c r="H405" t="s">
        <v>35</v>
      </c>
      <c r="I405" s="1">
        <v>87391</v>
      </c>
      <c r="J405" t="s">
        <v>559</v>
      </c>
      <c r="K405" t="s">
        <v>30</v>
      </c>
      <c r="L405">
        <v>10</v>
      </c>
      <c r="M405">
        <v>2</v>
      </c>
      <c r="N405" t="s">
        <v>23</v>
      </c>
      <c r="O405" t="s">
        <v>23</v>
      </c>
      <c r="P405" t="s">
        <v>560</v>
      </c>
      <c r="Q405" s="9" t="str">
        <f t="shared" si="13"/>
        <v>Valid</v>
      </c>
      <c r="R405">
        <v>9441710398</v>
      </c>
      <c r="S405" s="7" t="str">
        <f t="shared" si="12"/>
        <v>Valid</v>
      </c>
      <c r="T405" t="str">
        <f>IF(Table1[[#This Row],[Age]]&lt;25,"18-24",IF(Table1[[#This Row],[Age]]&lt;30,"25-29",IF(Table1[[#This Row],[Age]]&lt;35,"30-34",IF(Table1[[#This Row],[Age]]&lt;40,"35-39",IF(Table1[[#This Row],[Age]]&lt;50,"40-49","50+")))))</f>
        <v>40-49</v>
      </c>
    </row>
    <row r="406" spans="1:20" x14ac:dyDescent="0.35">
      <c r="A406">
        <v>1405</v>
      </c>
      <c r="B406" t="s">
        <v>64</v>
      </c>
      <c r="C406" t="s">
        <v>26</v>
      </c>
      <c r="D406" t="s">
        <v>27</v>
      </c>
      <c r="E406">
        <v>37</v>
      </c>
      <c r="F406" t="s">
        <v>62</v>
      </c>
      <c r="G406" t="s">
        <v>55</v>
      </c>
      <c r="H406" t="s">
        <v>56</v>
      </c>
      <c r="I406" s="1">
        <v>85265</v>
      </c>
      <c r="J406" t="s">
        <v>1561</v>
      </c>
      <c r="K406" t="s">
        <v>30</v>
      </c>
      <c r="L406">
        <v>23</v>
      </c>
      <c r="M406">
        <v>2</v>
      </c>
      <c r="N406" t="s">
        <v>22</v>
      </c>
      <c r="O406" t="s">
        <v>23</v>
      </c>
      <c r="P406" t="s">
        <v>561</v>
      </c>
      <c r="Q406" s="9" t="str">
        <f t="shared" si="13"/>
        <v>Valid</v>
      </c>
      <c r="R406">
        <v>9492436623</v>
      </c>
      <c r="S406" s="7" t="str">
        <f t="shared" si="12"/>
        <v>Valid</v>
      </c>
      <c r="T406" t="str">
        <f>IF(Table1[[#This Row],[Age]]&lt;25,"18-24",IF(Table1[[#This Row],[Age]]&lt;30,"25-29",IF(Table1[[#This Row],[Age]]&lt;35,"30-34",IF(Table1[[#This Row],[Age]]&lt;40,"35-39",IF(Table1[[#This Row],[Age]]&lt;50,"40-49","50+")))))</f>
        <v>35-39</v>
      </c>
    </row>
    <row r="407" spans="1:20" x14ac:dyDescent="0.35">
      <c r="A407">
        <v>1406</v>
      </c>
      <c r="B407" t="s">
        <v>60</v>
      </c>
      <c r="C407" t="s">
        <v>61</v>
      </c>
      <c r="D407" t="s">
        <v>27</v>
      </c>
      <c r="E407">
        <v>42</v>
      </c>
      <c r="F407" t="s">
        <v>62</v>
      </c>
      <c r="G407" t="s">
        <v>77</v>
      </c>
      <c r="H407" t="s">
        <v>35</v>
      </c>
      <c r="I407" s="1">
        <v>98615</v>
      </c>
      <c r="J407" t="s">
        <v>1562</v>
      </c>
      <c r="K407" t="s">
        <v>30</v>
      </c>
      <c r="L407">
        <v>20</v>
      </c>
      <c r="M407">
        <v>2</v>
      </c>
      <c r="N407" t="s">
        <v>22</v>
      </c>
      <c r="O407" t="s">
        <v>23</v>
      </c>
      <c r="P407" t="s">
        <v>562</v>
      </c>
      <c r="Q407" s="9" t="str">
        <f t="shared" si="13"/>
        <v>Valid</v>
      </c>
      <c r="R407">
        <v>9013530598</v>
      </c>
      <c r="S407" s="7" t="str">
        <f t="shared" si="12"/>
        <v>Valid</v>
      </c>
      <c r="T407" t="str">
        <f>IF(Table1[[#This Row],[Age]]&lt;25,"18-24",IF(Table1[[#This Row],[Age]]&lt;30,"25-29",IF(Table1[[#This Row],[Age]]&lt;35,"30-34",IF(Table1[[#This Row],[Age]]&lt;40,"35-39",IF(Table1[[#This Row],[Age]]&lt;50,"40-49","50+")))))</f>
        <v>40-49</v>
      </c>
    </row>
    <row r="408" spans="1:20" x14ac:dyDescent="0.35">
      <c r="A408">
        <v>1407</v>
      </c>
      <c r="B408" t="s">
        <v>54</v>
      </c>
      <c r="C408" t="s">
        <v>61</v>
      </c>
      <c r="D408" t="s">
        <v>17</v>
      </c>
      <c r="E408">
        <v>35</v>
      </c>
      <c r="F408" t="s">
        <v>33</v>
      </c>
      <c r="G408" t="s">
        <v>34</v>
      </c>
      <c r="H408" t="s">
        <v>35</v>
      </c>
      <c r="I408" s="1">
        <v>-80407</v>
      </c>
      <c r="J408" t="s">
        <v>172</v>
      </c>
      <c r="K408" t="s">
        <v>30</v>
      </c>
      <c r="L408">
        <v>25</v>
      </c>
      <c r="M408">
        <v>5</v>
      </c>
      <c r="N408" t="s">
        <v>23</v>
      </c>
      <c r="O408" t="s">
        <v>22</v>
      </c>
      <c r="P408" t="s">
        <v>563</v>
      </c>
      <c r="Q408" s="9" t="str">
        <f t="shared" si="13"/>
        <v>Valid</v>
      </c>
      <c r="R408">
        <v>9980714384</v>
      </c>
      <c r="S408" s="7" t="str">
        <f t="shared" si="12"/>
        <v>Valid</v>
      </c>
      <c r="T408" t="str">
        <f>IF(Table1[[#This Row],[Age]]&lt;25,"18-24",IF(Table1[[#This Row],[Age]]&lt;30,"25-29",IF(Table1[[#This Row],[Age]]&lt;35,"30-34",IF(Table1[[#This Row],[Age]]&lt;40,"35-39",IF(Table1[[#This Row],[Age]]&lt;50,"40-49","50+")))))</f>
        <v>35-39</v>
      </c>
    </row>
    <row r="409" spans="1:20" x14ac:dyDescent="0.35">
      <c r="A409">
        <v>1408</v>
      </c>
      <c r="B409" t="s">
        <v>60</v>
      </c>
      <c r="C409" t="s">
        <v>61</v>
      </c>
      <c r="D409" t="s">
        <v>17</v>
      </c>
      <c r="E409">
        <v>52</v>
      </c>
      <c r="F409" t="s">
        <v>33</v>
      </c>
      <c r="G409" t="s">
        <v>39</v>
      </c>
      <c r="H409" t="s">
        <v>20</v>
      </c>
      <c r="I409" s="1">
        <v>63173</v>
      </c>
      <c r="J409" t="s">
        <v>564</v>
      </c>
      <c r="K409" t="s">
        <v>49</v>
      </c>
      <c r="L409">
        <v>8</v>
      </c>
      <c r="M409">
        <v>1</v>
      </c>
      <c r="N409" t="s">
        <v>22</v>
      </c>
      <c r="O409" t="s">
        <v>22</v>
      </c>
      <c r="P409" t="s">
        <v>565</v>
      </c>
      <c r="Q409" s="9" t="str">
        <f t="shared" si="13"/>
        <v>Valid</v>
      </c>
      <c r="R409">
        <v>9061444715</v>
      </c>
      <c r="S409" s="7" t="str">
        <f t="shared" si="12"/>
        <v>Valid</v>
      </c>
      <c r="T409" t="str">
        <f>IF(Table1[[#This Row],[Age]]&lt;25,"18-24",IF(Table1[[#This Row],[Age]]&lt;30,"25-29",IF(Table1[[#This Row],[Age]]&lt;35,"30-34",IF(Table1[[#This Row],[Age]]&lt;40,"35-39",IF(Table1[[#This Row],[Age]]&lt;50,"40-49","50+")))))</f>
        <v>50+</v>
      </c>
    </row>
    <row r="410" spans="1:20" x14ac:dyDescent="0.35">
      <c r="A410">
        <v>1409</v>
      </c>
      <c r="B410" t="s">
        <v>67</v>
      </c>
      <c r="C410" t="s">
        <v>61</v>
      </c>
      <c r="D410" t="s">
        <v>27</v>
      </c>
      <c r="E410">
        <v>34</v>
      </c>
      <c r="F410" t="s">
        <v>38</v>
      </c>
      <c r="G410" t="s">
        <v>19</v>
      </c>
      <c r="H410" t="s">
        <v>20</v>
      </c>
      <c r="I410" s="1">
        <v>119704</v>
      </c>
      <c r="J410" t="s">
        <v>566</v>
      </c>
      <c r="K410" t="s">
        <v>46</v>
      </c>
      <c r="L410">
        <v>17</v>
      </c>
      <c r="M410">
        <v>2</v>
      </c>
      <c r="N410" t="s">
        <v>22</v>
      </c>
      <c r="O410" t="s">
        <v>22</v>
      </c>
      <c r="P410" t="s">
        <v>567</v>
      </c>
      <c r="Q410" s="9" t="str">
        <f t="shared" si="13"/>
        <v>Valid</v>
      </c>
      <c r="R410">
        <v>9602886604</v>
      </c>
      <c r="S410" s="7" t="str">
        <f t="shared" si="12"/>
        <v>Valid</v>
      </c>
      <c r="T410" t="str">
        <f>IF(Table1[[#This Row],[Age]]&lt;25,"18-24",IF(Table1[[#This Row],[Age]]&lt;30,"25-29",IF(Table1[[#This Row],[Age]]&lt;35,"30-34",IF(Table1[[#This Row],[Age]]&lt;40,"35-39",IF(Table1[[#This Row],[Age]]&lt;50,"40-49","50+")))))</f>
        <v>30-34</v>
      </c>
    </row>
    <row r="411" spans="1:20" x14ac:dyDescent="0.35">
      <c r="A411">
        <v>1410</v>
      </c>
      <c r="B411" t="s">
        <v>64</v>
      </c>
      <c r="C411" t="s">
        <v>43</v>
      </c>
      <c r="D411" t="s">
        <v>27</v>
      </c>
      <c r="E411">
        <v>35</v>
      </c>
      <c r="F411" t="s">
        <v>62</v>
      </c>
      <c r="G411" t="s">
        <v>19</v>
      </c>
      <c r="H411" t="s">
        <v>35</v>
      </c>
      <c r="I411" s="1">
        <v>119698</v>
      </c>
      <c r="J411" t="s">
        <v>568</v>
      </c>
      <c r="K411" t="s">
        <v>40</v>
      </c>
      <c r="L411">
        <v>23</v>
      </c>
      <c r="M411">
        <v>5</v>
      </c>
      <c r="N411" t="s">
        <v>23</v>
      </c>
      <c r="O411" t="s">
        <v>22</v>
      </c>
      <c r="P411" t="s">
        <v>569</v>
      </c>
      <c r="Q411" s="9" t="str">
        <f t="shared" si="13"/>
        <v>Valid</v>
      </c>
      <c r="R411">
        <v>9233264105</v>
      </c>
      <c r="S411" s="7" t="str">
        <f t="shared" si="12"/>
        <v>Valid</v>
      </c>
      <c r="T411" t="str">
        <f>IF(Table1[[#This Row],[Age]]&lt;25,"18-24",IF(Table1[[#This Row],[Age]]&lt;30,"25-29",IF(Table1[[#This Row],[Age]]&lt;35,"30-34",IF(Table1[[#This Row],[Age]]&lt;40,"35-39",IF(Table1[[#This Row],[Age]]&lt;50,"40-49","50+")))))</f>
        <v>35-39</v>
      </c>
    </row>
    <row r="412" spans="1:20" x14ac:dyDescent="0.35">
      <c r="A412">
        <v>1411</v>
      </c>
      <c r="B412" t="s">
        <v>67</v>
      </c>
      <c r="C412" t="s">
        <v>26</v>
      </c>
      <c r="D412" t="s">
        <v>17</v>
      </c>
      <c r="E412">
        <v>51</v>
      </c>
      <c r="F412" t="s">
        <v>69</v>
      </c>
      <c r="G412" t="s">
        <v>77</v>
      </c>
      <c r="H412" t="s">
        <v>44</v>
      </c>
      <c r="I412" s="1">
        <v>52867</v>
      </c>
      <c r="J412" t="s">
        <v>570</v>
      </c>
      <c r="K412" t="s">
        <v>49</v>
      </c>
      <c r="L412">
        <v>19</v>
      </c>
      <c r="M412">
        <v>2</v>
      </c>
      <c r="N412" t="s">
        <v>22</v>
      </c>
      <c r="O412" t="s">
        <v>22</v>
      </c>
      <c r="P412" t="s">
        <v>571</v>
      </c>
      <c r="Q412" s="9" t="str">
        <f t="shared" si="13"/>
        <v>Valid</v>
      </c>
      <c r="R412">
        <v>9622967340</v>
      </c>
      <c r="S412" s="7" t="str">
        <f t="shared" si="12"/>
        <v>Valid</v>
      </c>
      <c r="T412" t="str">
        <f>IF(Table1[[#This Row],[Age]]&lt;25,"18-24",IF(Table1[[#This Row],[Age]]&lt;30,"25-29",IF(Table1[[#This Row],[Age]]&lt;35,"30-34",IF(Table1[[#This Row],[Age]]&lt;40,"35-39",IF(Table1[[#This Row],[Age]]&lt;50,"40-49","50+")))))</f>
        <v>50+</v>
      </c>
    </row>
    <row r="413" spans="1:20" x14ac:dyDescent="0.35">
      <c r="A413">
        <v>1412</v>
      </c>
      <c r="B413" t="s">
        <v>67</v>
      </c>
      <c r="C413" t="s">
        <v>26</v>
      </c>
      <c r="D413" t="s">
        <v>27</v>
      </c>
      <c r="E413">
        <v>66</v>
      </c>
      <c r="F413" t="s">
        <v>38</v>
      </c>
      <c r="G413" t="s">
        <v>34</v>
      </c>
      <c r="H413" t="s">
        <v>35</v>
      </c>
      <c r="I413" s="1">
        <v>119782</v>
      </c>
      <c r="J413" t="s">
        <v>1563</v>
      </c>
      <c r="K413" t="s">
        <v>30</v>
      </c>
      <c r="L413">
        <v>22</v>
      </c>
      <c r="M413">
        <v>1</v>
      </c>
      <c r="N413" t="s">
        <v>23</v>
      </c>
      <c r="O413" t="s">
        <v>23</v>
      </c>
      <c r="P413" t="s">
        <v>572</v>
      </c>
      <c r="Q413" s="9" t="str">
        <f t="shared" si="13"/>
        <v>Valid</v>
      </c>
      <c r="R413">
        <v>9369560667</v>
      </c>
      <c r="S413" s="7" t="str">
        <f t="shared" si="12"/>
        <v>Valid</v>
      </c>
      <c r="T413" t="str">
        <f>IF(Table1[[#This Row],[Age]]&lt;25,"18-24",IF(Table1[[#This Row],[Age]]&lt;30,"25-29",IF(Table1[[#This Row],[Age]]&lt;35,"30-34",IF(Table1[[#This Row],[Age]]&lt;40,"35-39",IF(Table1[[#This Row],[Age]]&lt;50,"40-49","50+")))))</f>
        <v>50+</v>
      </c>
    </row>
    <row r="414" spans="1:20" x14ac:dyDescent="0.35">
      <c r="A414">
        <v>1413</v>
      </c>
      <c r="B414" t="s">
        <v>67</v>
      </c>
      <c r="C414" t="s">
        <v>61</v>
      </c>
      <c r="D414" t="s">
        <v>27</v>
      </c>
      <c r="E414">
        <v>30</v>
      </c>
      <c r="F414" t="s">
        <v>69</v>
      </c>
      <c r="G414" t="s">
        <v>34</v>
      </c>
      <c r="H414" t="s">
        <v>20</v>
      </c>
      <c r="I414" s="1">
        <v>39228</v>
      </c>
      <c r="J414" t="s">
        <v>1564</v>
      </c>
      <c r="K414" t="s">
        <v>21</v>
      </c>
      <c r="L414">
        <v>23</v>
      </c>
      <c r="M414">
        <v>1</v>
      </c>
      <c r="N414" t="s">
        <v>23</v>
      </c>
      <c r="O414" t="s">
        <v>23</v>
      </c>
      <c r="P414" t="s">
        <v>573</v>
      </c>
      <c r="Q414" s="9" t="str">
        <f t="shared" si="13"/>
        <v>Valid</v>
      </c>
      <c r="R414">
        <v>9304665415</v>
      </c>
      <c r="S414" s="7" t="str">
        <f t="shared" si="12"/>
        <v>Valid</v>
      </c>
      <c r="T414" t="str">
        <f>IF(Table1[[#This Row],[Age]]&lt;25,"18-24",IF(Table1[[#This Row],[Age]]&lt;30,"25-29",IF(Table1[[#This Row],[Age]]&lt;35,"30-34",IF(Table1[[#This Row],[Age]]&lt;40,"35-39",IF(Table1[[#This Row],[Age]]&lt;50,"40-49","50+")))))</f>
        <v>30-34</v>
      </c>
    </row>
    <row r="415" spans="1:20" x14ac:dyDescent="0.35">
      <c r="A415">
        <v>1414</v>
      </c>
      <c r="B415" t="s">
        <v>15</v>
      </c>
      <c r="C415" t="s">
        <v>43</v>
      </c>
      <c r="D415" t="s">
        <v>17</v>
      </c>
      <c r="E415">
        <v>58</v>
      </c>
      <c r="F415" t="s">
        <v>18</v>
      </c>
      <c r="G415" t="s">
        <v>77</v>
      </c>
      <c r="H415" t="s">
        <v>28</v>
      </c>
      <c r="I415" s="1">
        <v>59356</v>
      </c>
      <c r="J415" t="s">
        <v>574</v>
      </c>
      <c r="K415" t="s">
        <v>30</v>
      </c>
      <c r="L415">
        <v>0</v>
      </c>
      <c r="M415">
        <v>4</v>
      </c>
      <c r="N415" t="s">
        <v>23</v>
      </c>
      <c r="O415" t="s">
        <v>23</v>
      </c>
      <c r="P415" t="s">
        <v>575</v>
      </c>
      <c r="Q415" s="9" t="str">
        <f t="shared" si="13"/>
        <v>Valid</v>
      </c>
      <c r="R415">
        <v>9094423609</v>
      </c>
      <c r="S415" s="7" t="str">
        <f t="shared" si="12"/>
        <v>Valid</v>
      </c>
      <c r="T415" t="str">
        <f>IF(Table1[[#This Row],[Age]]&lt;25,"18-24",IF(Table1[[#This Row],[Age]]&lt;30,"25-29",IF(Table1[[#This Row],[Age]]&lt;35,"30-34",IF(Table1[[#This Row],[Age]]&lt;40,"35-39",IF(Table1[[#This Row],[Age]]&lt;50,"40-49","50+")))))</f>
        <v>50+</v>
      </c>
    </row>
    <row r="416" spans="1:20" x14ac:dyDescent="0.35">
      <c r="A416">
        <v>1415</v>
      </c>
      <c r="B416" t="s">
        <v>42</v>
      </c>
      <c r="C416" t="s">
        <v>61</v>
      </c>
      <c r="D416" t="s">
        <v>17</v>
      </c>
      <c r="E416">
        <v>41</v>
      </c>
      <c r="F416" t="s">
        <v>69</v>
      </c>
      <c r="G416" t="s">
        <v>19</v>
      </c>
      <c r="H416" t="s">
        <v>35</v>
      </c>
      <c r="I416" s="1">
        <v>54526</v>
      </c>
      <c r="J416" t="s">
        <v>1278</v>
      </c>
      <c r="K416" t="s">
        <v>46</v>
      </c>
      <c r="L416">
        <v>6</v>
      </c>
      <c r="M416">
        <v>4</v>
      </c>
      <c r="N416" t="s">
        <v>23</v>
      </c>
      <c r="O416" t="s">
        <v>23</v>
      </c>
      <c r="P416" t="s">
        <v>576</v>
      </c>
      <c r="Q416" s="9" t="str">
        <f t="shared" si="13"/>
        <v>Valid</v>
      </c>
      <c r="R416">
        <v>9790265742</v>
      </c>
      <c r="S416" s="7" t="str">
        <f t="shared" si="12"/>
        <v>Valid</v>
      </c>
      <c r="T416" t="str">
        <f>IF(Table1[[#This Row],[Age]]&lt;25,"18-24",IF(Table1[[#This Row],[Age]]&lt;30,"25-29",IF(Table1[[#This Row],[Age]]&lt;35,"30-34",IF(Table1[[#This Row],[Age]]&lt;40,"35-39",IF(Table1[[#This Row],[Age]]&lt;50,"40-49","50+")))))</f>
        <v>40-49</v>
      </c>
    </row>
    <row r="417" spans="1:20" x14ac:dyDescent="0.35">
      <c r="A417">
        <v>1416</v>
      </c>
      <c r="B417" t="s">
        <v>67</v>
      </c>
      <c r="C417" t="s">
        <v>61</v>
      </c>
      <c r="D417" t="s">
        <v>17</v>
      </c>
      <c r="E417">
        <v>50</v>
      </c>
      <c r="F417" t="s">
        <v>69</v>
      </c>
      <c r="G417" t="s">
        <v>39</v>
      </c>
      <c r="H417" t="s">
        <v>20</v>
      </c>
      <c r="I417" s="1">
        <v>63313</v>
      </c>
      <c r="J417" t="s">
        <v>577</v>
      </c>
      <c r="K417" t="s">
        <v>40</v>
      </c>
      <c r="L417">
        <v>9</v>
      </c>
      <c r="M417">
        <v>2</v>
      </c>
      <c r="N417" t="s">
        <v>23</v>
      </c>
      <c r="O417" t="s">
        <v>22</v>
      </c>
      <c r="P417" t="s">
        <v>578</v>
      </c>
      <c r="Q417" s="9" t="str">
        <f t="shared" si="13"/>
        <v>Valid</v>
      </c>
      <c r="R417">
        <v>9677025714</v>
      </c>
      <c r="S417" s="7" t="str">
        <f t="shared" si="12"/>
        <v>Valid</v>
      </c>
      <c r="T417" t="str">
        <f>IF(Table1[[#This Row],[Age]]&lt;25,"18-24",IF(Table1[[#This Row],[Age]]&lt;30,"25-29",IF(Table1[[#This Row],[Age]]&lt;35,"30-34",IF(Table1[[#This Row],[Age]]&lt;40,"35-39",IF(Table1[[#This Row],[Age]]&lt;50,"40-49","50+")))))</f>
        <v>50+</v>
      </c>
    </row>
    <row r="418" spans="1:20" x14ac:dyDescent="0.35">
      <c r="A418">
        <v>1417</v>
      </c>
      <c r="B418" t="s">
        <v>58</v>
      </c>
      <c r="C418" t="s">
        <v>26</v>
      </c>
      <c r="D418" t="s">
        <v>27</v>
      </c>
      <c r="E418">
        <v>52</v>
      </c>
      <c r="F418" t="s">
        <v>18</v>
      </c>
      <c r="G418" t="s">
        <v>77</v>
      </c>
      <c r="H418" t="s">
        <v>35</v>
      </c>
      <c r="I418" s="1">
        <v>87015</v>
      </c>
      <c r="J418" t="s">
        <v>1565</v>
      </c>
      <c r="K418" t="s">
        <v>46</v>
      </c>
      <c r="L418">
        <v>9</v>
      </c>
      <c r="M418">
        <v>1</v>
      </c>
      <c r="N418" t="s">
        <v>23</v>
      </c>
      <c r="O418" t="s">
        <v>22</v>
      </c>
      <c r="P418" t="s">
        <v>579</v>
      </c>
      <c r="Q418" s="9" t="str">
        <f t="shared" si="13"/>
        <v>Valid</v>
      </c>
      <c r="R418">
        <v>9136146751</v>
      </c>
      <c r="S418" s="7" t="str">
        <f t="shared" si="12"/>
        <v>Valid</v>
      </c>
      <c r="T418" t="str">
        <f>IF(Table1[[#This Row],[Age]]&lt;25,"18-24",IF(Table1[[#This Row],[Age]]&lt;30,"25-29",IF(Table1[[#This Row],[Age]]&lt;35,"30-34",IF(Table1[[#This Row],[Age]]&lt;40,"35-39",IF(Table1[[#This Row],[Age]]&lt;50,"40-49","50+")))))</f>
        <v>50+</v>
      </c>
    </row>
    <row r="419" spans="1:20" x14ac:dyDescent="0.35">
      <c r="A419">
        <v>1418</v>
      </c>
      <c r="B419" t="s">
        <v>67</v>
      </c>
      <c r="C419" t="s">
        <v>16</v>
      </c>
      <c r="D419" t="s">
        <v>17</v>
      </c>
      <c r="E419">
        <v>45</v>
      </c>
      <c r="F419" t="s">
        <v>38</v>
      </c>
      <c r="G419" t="s">
        <v>55</v>
      </c>
      <c r="H419" t="s">
        <v>20</v>
      </c>
      <c r="I419" s="1">
        <v>27764</v>
      </c>
      <c r="J419" t="s">
        <v>580</v>
      </c>
      <c r="K419" t="s">
        <v>40</v>
      </c>
      <c r="L419">
        <v>10</v>
      </c>
      <c r="M419">
        <v>4</v>
      </c>
      <c r="N419" t="s">
        <v>22</v>
      </c>
      <c r="O419" t="s">
        <v>23</v>
      </c>
      <c r="P419" t="s">
        <v>581</v>
      </c>
      <c r="Q419" s="9" t="str">
        <f t="shared" si="13"/>
        <v>Valid</v>
      </c>
      <c r="R419">
        <v>9700749076</v>
      </c>
      <c r="S419" s="7" t="str">
        <f t="shared" si="12"/>
        <v>Valid</v>
      </c>
      <c r="T419" t="str">
        <f>IF(Table1[[#This Row],[Age]]&lt;25,"18-24",IF(Table1[[#This Row],[Age]]&lt;30,"25-29",IF(Table1[[#This Row],[Age]]&lt;35,"30-34",IF(Table1[[#This Row],[Age]]&lt;40,"35-39",IF(Table1[[#This Row],[Age]]&lt;50,"40-49","50+")))))</f>
        <v>40-49</v>
      </c>
    </row>
    <row r="420" spans="1:20" x14ac:dyDescent="0.35">
      <c r="A420">
        <v>1419</v>
      </c>
      <c r="B420" t="s">
        <v>37</v>
      </c>
      <c r="C420" t="s">
        <v>26</v>
      </c>
      <c r="D420" t="s">
        <v>27</v>
      </c>
      <c r="E420">
        <v>28</v>
      </c>
      <c r="F420" t="s">
        <v>33</v>
      </c>
      <c r="G420" t="s">
        <v>55</v>
      </c>
      <c r="H420" t="s">
        <v>35</v>
      </c>
      <c r="I420" s="1">
        <v>117833</v>
      </c>
      <c r="J420" t="s">
        <v>582</v>
      </c>
      <c r="K420" t="s">
        <v>40</v>
      </c>
      <c r="L420">
        <v>1</v>
      </c>
      <c r="M420">
        <v>4</v>
      </c>
      <c r="N420" t="s">
        <v>22</v>
      </c>
      <c r="O420" t="s">
        <v>22</v>
      </c>
      <c r="P420" t="s">
        <v>583</v>
      </c>
      <c r="Q420" s="9" t="str">
        <f t="shared" si="13"/>
        <v>Valid</v>
      </c>
      <c r="R420">
        <v>9585915558</v>
      </c>
      <c r="S420" s="7" t="str">
        <f t="shared" si="12"/>
        <v>Valid</v>
      </c>
      <c r="T420" t="str">
        <f>IF(Table1[[#This Row],[Age]]&lt;25,"18-24",IF(Table1[[#This Row],[Age]]&lt;30,"25-29",IF(Table1[[#This Row],[Age]]&lt;35,"30-34",IF(Table1[[#This Row],[Age]]&lt;40,"35-39",IF(Table1[[#This Row],[Age]]&lt;50,"40-49","50+")))))</f>
        <v>25-29</v>
      </c>
    </row>
    <row r="421" spans="1:20" x14ac:dyDescent="0.35">
      <c r="A421">
        <v>1420</v>
      </c>
      <c r="B421" t="s">
        <v>54</v>
      </c>
      <c r="C421" t="s">
        <v>43</v>
      </c>
      <c r="D421" t="s">
        <v>27</v>
      </c>
      <c r="E421">
        <v>22</v>
      </c>
      <c r="F421" t="s">
        <v>69</v>
      </c>
      <c r="G421" t="s">
        <v>77</v>
      </c>
      <c r="H421" t="s">
        <v>35</v>
      </c>
      <c r="I421" s="1">
        <v>59620</v>
      </c>
      <c r="J421" t="s">
        <v>584</v>
      </c>
      <c r="K421" t="s">
        <v>49</v>
      </c>
      <c r="L421">
        <v>18</v>
      </c>
      <c r="M421">
        <v>5</v>
      </c>
      <c r="N421" t="s">
        <v>23</v>
      </c>
      <c r="O421" t="s">
        <v>23</v>
      </c>
      <c r="P421" t="s">
        <v>585</v>
      </c>
      <c r="Q421" s="9" t="str">
        <f t="shared" si="13"/>
        <v>Valid</v>
      </c>
      <c r="R421">
        <v>9655836811</v>
      </c>
      <c r="S421" s="7" t="str">
        <f t="shared" si="12"/>
        <v>Valid</v>
      </c>
      <c r="T421" t="str">
        <f>IF(Table1[[#This Row],[Age]]&lt;25,"18-24",IF(Table1[[#This Row],[Age]]&lt;30,"25-29",IF(Table1[[#This Row],[Age]]&lt;35,"30-34",IF(Table1[[#This Row],[Age]]&lt;40,"35-39",IF(Table1[[#This Row],[Age]]&lt;50,"40-49","50+")))))</f>
        <v>18-24</v>
      </c>
    </row>
    <row r="422" spans="1:20" x14ac:dyDescent="0.35">
      <c r="A422">
        <v>1421</v>
      </c>
      <c r="B422" t="s">
        <v>15</v>
      </c>
      <c r="C422" t="s">
        <v>32</v>
      </c>
      <c r="D422" t="s">
        <v>17</v>
      </c>
      <c r="E422">
        <v>25</v>
      </c>
      <c r="F422" t="s">
        <v>33</v>
      </c>
      <c r="G422" t="s">
        <v>55</v>
      </c>
      <c r="H422" t="s">
        <v>56</v>
      </c>
      <c r="I422" s="1">
        <v>99629</v>
      </c>
      <c r="J422" t="s">
        <v>1566</v>
      </c>
      <c r="K422" t="s">
        <v>46</v>
      </c>
      <c r="L422">
        <v>17</v>
      </c>
      <c r="M422">
        <v>1</v>
      </c>
      <c r="N422" t="s">
        <v>23</v>
      </c>
      <c r="O422" t="s">
        <v>22</v>
      </c>
      <c r="P422" t="s">
        <v>586</v>
      </c>
      <c r="Q422" s="9" t="str">
        <f t="shared" si="13"/>
        <v>Valid</v>
      </c>
      <c r="R422">
        <v>9863791724</v>
      </c>
      <c r="S422" s="7" t="str">
        <f t="shared" si="12"/>
        <v>Valid</v>
      </c>
      <c r="T422" t="str">
        <f>IF(Table1[[#This Row],[Age]]&lt;25,"18-24",IF(Table1[[#This Row],[Age]]&lt;30,"25-29",IF(Table1[[#This Row],[Age]]&lt;35,"30-34",IF(Table1[[#This Row],[Age]]&lt;40,"35-39",IF(Table1[[#This Row],[Age]]&lt;50,"40-49","50+")))))</f>
        <v>25-29</v>
      </c>
    </row>
    <row r="423" spans="1:20" x14ac:dyDescent="0.35">
      <c r="A423">
        <v>1422</v>
      </c>
      <c r="B423" t="s">
        <v>54</v>
      </c>
      <c r="C423" t="s">
        <v>32</v>
      </c>
      <c r="D423" t="s">
        <v>17</v>
      </c>
      <c r="E423">
        <v>29</v>
      </c>
      <c r="F423" t="s">
        <v>33</v>
      </c>
      <c r="G423" t="s">
        <v>39</v>
      </c>
      <c r="H423" t="s">
        <v>56</v>
      </c>
      <c r="I423" s="1">
        <v>71045</v>
      </c>
      <c r="J423" t="s">
        <v>1567</v>
      </c>
      <c r="K423" t="s">
        <v>40</v>
      </c>
      <c r="L423">
        <v>1</v>
      </c>
      <c r="M423">
        <v>4</v>
      </c>
      <c r="N423" t="s">
        <v>22</v>
      </c>
      <c r="O423" t="s">
        <v>23</v>
      </c>
      <c r="P423" t="s">
        <v>587</v>
      </c>
      <c r="Q423" s="9" t="str">
        <f t="shared" si="13"/>
        <v>Valid</v>
      </c>
      <c r="R423">
        <v>9998723262</v>
      </c>
      <c r="S423" s="7" t="str">
        <f t="shared" si="12"/>
        <v>Valid</v>
      </c>
      <c r="T423" t="str">
        <f>IF(Table1[[#This Row],[Age]]&lt;25,"18-24",IF(Table1[[#This Row],[Age]]&lt;30,"25-29",IF(Table1[[#This Row],[Age]]&lt;35,"30-34",IF(Table1[[#This Row],[Age]]&lt;40,"35-39",IF(Table1[[#This Row],[Age]]&lt;50,"40-49","50+")))))</f>
        <v>25-29</v>
      </c>
    </row>
    <row r="424" spans="1:20" x14ac:dyDescent="0.35">
      <c r="A424">
        <v>1423</v>
      </c>
      <c r="B424" t="s">
        <v>60</v>
      </c>
      <c r="C424" t="s">
        <v>61</v>
      </c>
      <c r="D424" t="s">
        <v>17</v>
      </c>
      <c r="E424">
        <v>40</v>
      </c>
      <c r="F424" t="s">
        <v>38</v>
      </c>
      <c r="G424" t="s">
        <v>39</v>
      </c>
      <c r="H424" t="s">
        <v>28</v>
      </c>
      <c r="I424" s="1">
        <v>102263</v>
      </c>
      <c r="J424" t="s">
        <v>588</v>
      </c>
      <c r="K424" t="s">
        <v>49</v>
      </c>
      <c r="L424">
        <v>10</v>
      </c>
      <c r="M424">
        <v>3</v>
      </c>
      <c r="N424" t="s">
        <v>23</v>
      </c>
      <c r="O424" t="s">
        <v>22</v>
      </c>
      <c r="P424" t="s">
        <v>589</v>
      </c>
      <c r="Q424" s="9" t="str">
        <f t="shared" si="13"/>
        <v>Valid</v>
      </c>
      <c r="R424">
        <v>9882993014</v>
      </c>
      <c r="S424" s="7" t="str">
        <f t="shared" si="12"/>
        <v>Valid</v>
      </c>
      <c r="T424" t="str">
        <f>IF(Table1[[#This Row],[Age]]&lt;25,"18-24",IF(Table1[[#This Row],[Age]]&lt;30,"25-29",IF(Table1[[#This Row],[Age]]&lt;35,"30-34",IF(Table1[[#This Row],[Age]]&lt;40,"35-39",IF(Table1[[#This Row],[Age]]&lt;50,"40-49","50+")))))</f>
        <v>40-49</v>
      </c>
    </row>
    <row r="425" spans="1:20" x14ac:dyDescent="0.35">
      <c r="A425">
        <v>1424</v>
      </c>
      <c r="B425" t="s">
        <v>60</v>
      </c>
      <c r="C425" t="s">
        <v>43</v>
      </c>
      <c r="D425" t="s">
        <v>27</v>
      </c>
      <c r="E425">
        <v>34</v>
      </c>
      <c r="F425" t="s">
        <v>62</v>
      </c>
      <c r="G425" t="s">
        <v>39</v>
      </c>
      <c r="H425" t="s">
        <v>28</v>
      </c>
      <c r="I425" s="1">
        <v>58494</v>
      </c>
      <c r="J425" t="s">
        <v>1568</v>
      </c>
      <c r="K425" t="s">
        <v>40</v>
      </c>
      <c r="L425">
        <v>23</v>
      </c>
      <c r="M425">
        <v>4</v>
      </c>
      <c r="N425" t="s">
        <v>23</v>
      </c>
      <c r="O425" t="s">
        <v>23</v>
      </c>
      <c r="P425" t="s">
        <v>590</v>
      </c>
      <c r="Q425" s="9" t="str">
        <f t="shared" si="13"/>
        <v>Valid</v>
      </c>
      <c r="R425">
        <v>9798989431</v>
      </c>
      <c r="S425" s="7" t="str">
        <f t="shared" si="12"/>
        <v>Valid</v>
      </c>
      <c r="T425" t="str">
        <f>IF(Table1[[#This Row],[Age]]&lt;25,"18-24",IF(Table1[[#This Row],[Age]]&lt;30,"25-29",IF(Table1[[#This Row],[Age]]&lt;35,"30-34",IF(Table1[[#This Row],[Age]]&lt;40,"35-39",IF(Table1[[#This Row],[Age]]&lt;50,"40-49","50+")))))</f>
        <v>30-34</v>
      </c>
    </row>
    <row r="426" spans="1:20" x14ac:dyDescent="0.35">
      <c r="A426">
        <v>1425</v>
      </c>
      <c r="B426" t="s">
        <v>37</v>
      </c>
      <c r="C426" t="s">
        <v>32</v>
      </c>
      <c r="D426" t="s">
        <v>17</v>
      </c>
      <c r="E426">
        <v>45</v>
      </c>
      <c r="F426" t="s">
        <v>38</v>
      </c>
      <c r="G426" t="s">
        <v>77</v>
      </c>
      <c r="H426" t="s">
        <v>56</v>
      </c>
      <c r="I426" s="1">
        <v>56516</v>
      </c>
      <c r="J426" t="s">
        <v>1569</v>
      </c>
      <c r="K426" t="s">
        <v>21</v>
      </c>
      <c r="L426">
        <v>6</v>
      </c>
      <c r="M426">
        <v>1</v>
      </c>
      <c r="N426" t="s">
        <v>22</v>
      </c>
      <c r="O426" t="s">
        <v>22</v>
      </c>
      <c r="P426" t="s">
        <v>591</v>
      </c>
      <c r="Q426" s="9" t="str">
        <f t="shared" si="13"/>
        <v>Valid</v>
      </c>
      <c r="R426">
        <v>9706145975</v>
      </c>
      <c r="S426" s="7" t="str">
        <f t="shared" si="12"/>
        <v>Valid</v>
      </c>
      <c r="T426" t="str">
        <f>IF(Table1[[#This Row],[Age]]&lt;25,"18-24",IF(Table1[[#This Row],[Age]]&lt;30,"25-29",IF(Table1[[#This Row],[Age]]&lt;35,"30-34",IF(Table1[[#This Row],[Age]]&lt;40,"35-39",IF(Table1[[#This Row],[Age]]&lt;50,"40-49","50+")))))</f>
        <v>40-49</v>
      </c>
    </row>
    <row r="427" spans="1:20" x14ac:dyDescent="0.35">
      <c r="A427">
        <v>1426</v>
      </c>
      <c r="B427" t="s">
        <v>15</v>
      </c>
      <c r="C427" t="s">
        <v>26</v>
      </c>
      <c r="D427" t="s">
        <v>17</v>
      </c>
      <c r="E427">
        <v>55</v>
      </c>
      <c r="F427" t="s">
        <v>38</v>
      </c>
      <c r="G427" t="s">
        <v>34</v>
      </c>
      <c r="H427" t="s">
        <v>28</v>
      </c>
      <c r="I427" s="1">
        <v>90132</v>
      </c>
      <c r="J427" t="s">
        <v>1470</v>
      </c>
      <c r="K427" t="s">
        <v>40</v>
      </c>
      <c r="L427">
        <v>20</v>
      </c>
      <c r="M427">
        <v>3</v>
      </c>
      <c r="N427" t="s">
        <v>23</v>
      </c>
      <c r="O427" t="s">
        <v>23</v>
      </c>
      <c r="P427" t="s">
        <v>592</v>
      </c>
      <c r="Q427" s="9" t="str">
        <f t="shared" si="13"/>
        <v>Valid</v>
      </c>
      <c r="R427">
        <v>9324875954</v>
      </c>
      <c r="S427" s="7" t="str">
        <f t="shared" si="12"/>
        <v>Valid</v>
      </c>
      <c r="T427" t="str">
        <f>IF(Table1[[#This Row],[Age]]&lt;25,"18-24",IF(Table1[[#This Row],[Age]]&lt;30,"25-29",IF(Table1[[#This Row],[Age]]&lt;35,"30-34",IF(Table1[[#This Row],[Age]]&lt;40,"35-39",IF(Table1[[#This Row],[Age]]&lt;50,"40-49","50+")))))</f>
        <v>50+</v>
      </c>
    </row>
    <row r="428" spans="1:20" x14ac:dyDescent="0.35">
      <c r="A428">
        <v>1427</v>
      </c>
      <c r="B428" t="s">
        <v>15</v>
      </c>
      <c r="C428" t="s">
        <v>26</v>
      </c>
      <c r="D428" t="s">
        <v>27</v>
      </c>
      <c r="E428">
        <v>23</v>
      </c>
      <c r="F428" t="s">
        <v>62</v>
      </c>
      <c r="G428" t="s">
        <v>77</v>
      </c>
      <c r="H428" t="s">
        <v>44</v>
      </c>
      <c r="I428" s="1">
        <v>95862</v>
      </c>
      <c r="J428" t="s">
        <v>593</v>
      </c>
      <c r="K428" t="s">
        <v>30</v>
      </c>
      <c r="L428">
        <v>17</v>
      </c>
      <c r="M428">
        <v>2</v>
      </c>
      <c r="N428" t="s">
        <v>23</v>
      </c>
      <c r="O428" t="s">
        <v>23</v>
      </c>
      <c r="P428" t="s">
        <v>594</v>
      </c>
      <c r="Q428" s="9" t="str">
        <f t="shared" si="13"/>
        <v>Valid</v>
      </c>
      <c r="R428">
        <v>9511666148</v>
      </c>
      <c r="S428" s="7" t="str">
        <f t="shared" si="12"/>
        <v>Valid</v>
      </c>
      <c r="T428" t="str">
        <f>IF(Table1[[#This Row],[Age]]&lt;25,"18-24",IF(Table1[[#This Row],[Age]]&lt;30,"25-29",IF(Table1[[#This Row],[Age]]&lt;35,"30-34",IF(Table1[[#This Row],[Age]]&lt;40,"35-39",IF(Table1[[#This Row],[Age]]&lt;50,"40-49","50+")))))</f>
        <v>18-24</v>
      </c>
    </row>
    <row r="429" spans="1:20" x14ac:dyDescent="0.35">
      <c r="A429">
        <v>1428</v>
      </c>
      <c r="B429" t="s">
        <v>67</v>
      </c>
      <c r="C429" t="s">
        <v>16</v>
      </c>
      <c r="D429" t="s">
        <v>17</v>
      </c>
      <c r="E429">
        <v>46</v>
      </c>
      <c r="F429" t="s">
        <v>18</v>
      </c>
      <c r="G429" t="s">
        <v>77</v>
      </c>
      <c r="H429" t="s">
        <v>35</v>
      </c>
      <c r="I429" s="1">
        <v>110369</v>
      </c>
      <c r="J429" t="s">
        <v>1570</v>
      </c>
      <c r="K429" t="s">
        <v>46</v>
      </c>
      <c r="L429">
        <v>4</v>
      </c>
      <c r="M429">
        <v>2</v>
      </c>
      <c r="N429" t="s">
        <v>23</v>
      </c>
      <c r="O429" t="s">
        <v>22</v>
      </c>
      <c r="P429" t="s">
        <v>595</v>
      </c>
      <c r="Q429" s="9" t="str">
        <f t="shared" si="13"/>
        <v>Valid</v>
      </c>
      <c r="R429">
        <v>9551609214</v>
      </c>
      <c r="S429" s="7" t="str">
        <f t="shared" si="12"/>
        <v>Valid</v>
      </c>
      <c r="T429" t="str">
        <f>IF(Table1[[#This Row],[Age]]&lt;25,"18-24",IF(Table1[[#This Row],[Age]]&lt;30,"25-29",IF(Table1[[#This Row],[Age]]&lt;35,"30-34",IF(Table1[[#This Row],[Age]]&lt;40,"35-39",IF(Table1[[#This Row],[Age]]&lt;50,"40-49","50+")))))</f>
        <v>40-49</v>
      </c>
    </row>
    <row r="430" spans="1:20" x14ac:dyDescent="0.35">
      <c r="A430">
        <v>1429</v>
      </c>
      <c r="B430" t="s">
        <v>60</v>
      </c>
      <c r="C430" t="s">
        <v>43</v>
      </c>
      <c r="D430" t="s">
        <v>27</v>
      </c>
      <c r="E430">
        <v>50</v>
      </c>
      <c r="F430" t="s">
        <v>18</v>
      </c>
      <c r="G430" t="s">
        <v>34</v>
      </c>
      <c r="H430" t="s">
        <v>28</v>
      </c>
      <c r="I430" s="1">
        <v>85867</v>
      </c>
      <c r="J430" t="s">
        <v>1170</v>
      </c>
      <c r="K430" t="s">
        <v>30</v>
      </c>
      <c r="L430">
        <v>25</v>
      </c>
      <c r="M430">
        <v>2</v>
      </c>
      <c r="N430" t="s">
        <v>22</v>
      </c>
      <c r="O430" t="s">
        <v>22</v>
      </c>
      <c r="P430" t="s">
        <v>596</v>
      </c>
      <c r="Q430" s="9" t="str">
        <f t="shared" si="13"/>
        <v>Valid</v>
      </c>
      <c r="R430">
        <v>9380022742</v>
      </c>
      <c r="S430" s="7" t="str">
        <f t="shared" si="12"/>
        <v>Valid</v>
      </c>
      <c r="T430" t="str">
        <f>IF(Table1[[#This Row],[Age]]&lt;25,"18-24",IF(Table1[[#This Row],[Age]]&lt;30,"25-29",IF(Table1[[#This Row],[Age]]&lt;35,"30-34",IF(Table1[[#This Row],[Age]]&lt;40,"35-39",IF(Table1[[#This Row],[Age]]&lt;50,"40-49","50+")))))</f>
        <v>50+</v>
      </c>
    </row>
    <row r="431" spans="1:20" x14ac:dyDescent="0.35">
      <c r="A431">
        <v>1430</v>
      </c>
      <c r="B431" t="s">
        <v>37</v>
      </c>
      <c r="C431" t="s">
        <v>16</v>
      </c>
      <c r="D431" t="s">
        <v>27</v>
      </c>
      <c r="E431">
        <v>48</v>
      </c>
      <c r="F431" t="s">
        <v>33</v>
      </c>
      <c r="G431" t="s">
        <v>77</v>
      </c>
      <c r="H431" t="s">
        <v>35</v>
      </c>
      <c r="I431" s="1">
        <v>78580</v>
      </c>
      <c r="J431" t="s">
        <v>1571</v>
      </c>
      <c r="K431" t="s">
        <v>46</v>
      </c>
      <c r="L431">
        <v>16</v>
      </c>
      <c r="M431">
        <v>5</v>
      </c>
      <c r="N431" t="s">
        <v>23</v>
      </c>
      <c r="O431" t="s">
        <v>22</v>
      </c>
      <c r="P431" t="s">
        <v>597</v>
      </c>
      <c r="Q431" s="9" t="str">
        <f t="shared" si="13"/>
        <v>Valid</v>
      </c>
      <c r="R431">
        <v>9844475681</v>
      </c>
      <c r="S431" s="7" t="str">
        <f t="shared" si="12"/>
        <v>Valid</v>
      </c>
      <c r="T431" t="str">
        <f>IF(Table1[[#This Row],[Age]]&lt;25,"18-24",IF(Table1[[#This Row],[Age]]&lt;30,"25-29",IF(Table1[[#This Row],[Age]]&lt;35,"30-34",IF(Table1[[#This Row],[Age]]&lt;40,"35-39",IF(Table1[[#This Row],[Age]]&lt;50,"40-49","50+")))))</f>
        <v>40-49</v>
      </c>
    </row>
    <row r="432" spans="1:20" x14ac:dyDescent="0.35">
      <c r="A432">
        <v>1431</v>
      </c>
      <c r="B432" t="s">
        <v>64</v>
      </c>
      <c r="C432" t="s">
        <v>16</v>
      </c>
      <c r="D432" t="s">
        <v>27</v>
      </c>
      <c r="E432">
        <v>37</v>
      </c>
      <c r="F432" t="s">
        <v>18</v>
      </c>
      <c r="G432" t="s">
        <v>39</v>
      </c>
      <c r="H432" t="s">
        <v>35</v>
      </c>
      <c r="I432" s="1">
        <v>76897</v>
      </c>
      <c r="J432" t="s">
        <v>1572</v>
      </c>
      <c r="K432" t="s">
        <v>46</v>
      </c>
      <c r="L432">
        <v>11</v>
      </c>
      <c r="M432">
        <v>1</v>
      </c>
      <c r="N432" t="s">
        <v>22</v>
      </c>
      <c r="O432" t="s">
        <v>23</v>
      </c>
      <c r="P432" t="s">
        <v>598</v>
      </c>
      <c r="Q432" s="9" t="str">
        <f t="shared" si="13"/>
        <v>Valid</v>
      </c>
      <c r="R432">
        <v>9992629877</v>
      </c>
      <c r="S432" s="7" t="str">
        <f t="shared" si="12"/>
        <v>Valid</v>
      </c>
      <c r="T432" t="str">
        <f>IF(Table1[[#This Row],[Age]]&lt;25,"18-24",IF(Table1[[#This Row],[Age]]&lt;30,"25-29",IF(Table1[[#This Row],[Age]]&lt;35,"30-34",IF(Table1[[#This Row],[Age]]&lt;40,"35-39",IF(Table1[[#This Row],[Age]]&lt;50,"40-49","50+")))))</f>
        <v>35-39</v>
      </c>
    </row>
    <row r="433" spans="1:20" x14ac:dyDescent="0.35">
      <c r="A433">
        <v>1432</v>
      </c>
      <c r="B433" t="s">
        <v>60</v>
      </c>
      <c r="C433" t="s">
        <v>26</v>
      </c>
      <c r="D433" t="s">
        <v>27</v>
      </c>
      <c r="E433">
        <v>49</v>
      </c>
      <c r="F433" t="s">
        <v>69</v>
      </c>
      <c r="G433" t="s">
        <v>77</v>
      </c>
      <c r="H433" t="s">
        <v>20</v>
      </c>
      <c r="I433" s="1">
        <v>60444</v>
      </c>
      <c r="J433" t="s">
        <v>1573</v>
      </c>
      <c r="K433" t="s">
        <v>46</v>
      </c>
      <c r="L433">
        <v>20</v>
      </c>
      <c r="M433">
        <v>1</v>
      </c>
      <c r="N433" t="s">
        <v>23</v>
      </c>
      <c r="O433" t="s">
        <v>23</v>
      </c>
      <c r="P433" t="s">
        <v>599</v>
      </c>
      <c r="Q433" s="9" t="str">
        <f t="shared" si="13"/>
        <v>Valid</v>
      </c>
      <c r="R433">
        <v>9109548228</v>
      </c>
      <c r="S433" s="7" t="str">
        <f t="shared" si="12"/>
        <v>Valid</v>
      </c>
      <c r="T433" t="str">
        <f>IF(Table1[[#This Row],[Age]]&lt;25,"18-24",IF(Table1[[#This Row],[Age]]&lt;30,"25-29",IF(Table1[[#This Row],[Age]]&lt;35,"30-34",IF(Table1[[#This Row],[Age]]&lt;40,"35-39",IF(Table1[[#This Row],[Age]]&lt;50,"40-49","50+")))))</f>
        <v>40-49</v>
      </c>
    </row>
    <row r="434" spans="1:20" x14ac:dyDescent="0.35">
      <c r="A434">
        <v>1433</v>
      </c>
      <c r="B434" t="s">
        <v>15</v>
      </c>
      <c r="C434" t="s">
        <v>32</v>
      </c>
      <c r="D434" t="s">
        <v>17</v>
      </c>
      <c r="E434">
        <v>50</v>
      </c>
      <c r="F434" t="s">
        <v>38</v>
      </c>
      <c r="G434" t="s">
        <v>77</v>
      </c>
      <c r="H434" t="s">
        <v>44</v>
      </c>
      <c r="I434" s="1">
        <v>76039</v>
      </c>
      <c r="J434" t="s">
        <v>1574</v>
      </c>
      <c r="K434" t="s">
        <v>49</v>
      </c>
      <c r="L434">
        <v>19</v>
      </c>
      <c r="M434">
        <v>5</v>
      </c>
      <c r="N434" t="s">
        <v>23</v>
      </c>
      <c r="O434" t="s">
        <v>22</v>
      </c>
      <c r="P434" t="s">
        <v>600</v>
      </c>
      <c r="Q434" s="9" t="str">
        <f t="shared" si="13"/>
        <v>Valid</v>
      </c>
      <c r="R434">
        <v>9402321036</v>
      </c>
      <c r="S434" s="7" t="str">
        <f t="shared" si="12"/>
        <v>Valid</v>
      </c>
      <c r="T434" t="str">
        <f>IF(Table1[[#This Row],[Age]]&lt;25,"18-24",IF(Table1[[#This Row],[Age]]&lt;30,"25-29",IF(Table1[[#This Row],[Age]]&lt;35,"30-34",IF(Table1[[#This Row],[Age]]&lt;40,"35-39",IF(Table1[[#This Row],[Age]]&lt;50,"40-49","50+")))))</f>
        <v>50+</v>
      </c>
    </row>
    <row r="435" spans="1:20" x14ac:dyDescent="0.35">
      <c r="A435">
        <v>1434</v>
      </c>
      <c r="B435" t="s">
        <v>37</v>
      </c>
      <c r="C435" t="s">
        <v>61</v>
      </c>
      <c r="D435" t="s">
        <v>17</v>
      </c>
      <c r="E435">
        <v>38</v>
      </c>
      <c r="F435" t="s">
        <v>69</v>
      </c>
      <c r="G435" t="s">
        <v>55</v>
      </c>
      <c r="H435" t="s">
        <v>35</v>
      </c>
      <c r="I435" s="1">
        <v>55238</v>
      </c>
      <c r="J435" t="s">
        <v>1575</v>
      </c>
      <c r="K435" t="s">
        <v>21</v>
      </c>
      <c r="L435">
        <v>19</v>
      </c>
      <c r="M435">
        <v>1</v>
      </c>
      <c r="N435" t="s">
        <v>23</v>
      </c>
      <c r="O435" t="s">
        <v>22</v>
      </c>
      <c r="P435" t="s">
        <v>601</v>
      </c>
      <c r="Q435" s="9" t="str">
        <f t="shared" si="13"/>
        <v>Valid</v>
      </c>
      <c r="R435">
        <v>9318382079</v>
      </c>
      <c r="S435" s="7" t="str">
        <f t="shared" si="12"/>
        <v>Valid</v>
      </c>
      <c r="T435" t="str">
        <f>IF(Table1[[#This Row],[Age]]&lt;25,"18-24",IF(Table1[[#This Row],[Age]]&lt;30,"25-29",IF(Table1[[#This Row],[Age]]&lt;35,"30-34",IF(Table1[[#This Row],[Age]]&lt;40,"35-39",IF(Table1[[#This Row],[Age]]&lt;50,"40-49","50+")))))</f>
        <v>35-39</v>
      </c>
    </row>
    <row r="436" spans="1:20" x14ac:dyDescent="0.35">
      <c r="A436">
        <v>1435</v>
      </c>
      <c r="B436" t="s">
        <v>37</v>
      </c>
      <c r="C436" t="s">
        <v>43</v>
      </c>
      <c r="D436" t="s">
        <v>27</v>
      </c>
      <c r="E436">
        <v>35</v>
      </c>
      <c r="F436" t="s">
        <v>33</v>
      </c>
      <c r="G436" t="s">
        <v>77</v>
      </c>
      <c r="H436" t="s">
        <v>20</v>
      </c>
      <c r="I436" s="1">
        <v>33686</v>
      </c>
      <c r="J436" t="s">
        <v>602</v>
      </c>
      <c r="K436" t="s">
        <v>30</v>
      </c>
      <c r="L436">
        <v>21</v>
      </c>
      <c r="M436">
        <v>5</v>
      </c>
      <c r="N436" t="s">
        <v>22</v>
      </c>
      <c r="O436" t="s">
        <v>22</v>
      </c>
      <c r="P436" t="s">
        <v>603</v>
      </c>
      <c r="Q436" s="9" t="str">
        <f t="shared" si="13"/>
        <v>Valid</v>
      </c>
      <c r="R436">
        <v>9763151700</v>
      </c>
      <c r="S436" s="7" t="str">
        <f t="shared" si="12"/>
        <v>Valid</v>
      </c>
      <c r="T436" t="str">
        <f>IF(Table1[[#This Row],[Age]]&lt;25,"18-24",IF(Table1[[#This Row],[Age]]&lt;30,"25-29",IF(Table1[[#This Row],[Age]]&lt;35,"30-34",IF(Table1[[#This Row],[Age]]&lt;40,"35-39",IF(Table1[[#This Row],[Age]]&lt;50,"40-49","50+")))))</f>
        <v>35-39</v>
      </c>
    </row>
    <row r="437" spans="1:20" x14ac:dyDescent="0.35">
      <c r="A437">
        <v>1436</v>
      </c>
      <c r="B437" t="s">
        <v>64</v>
      </c>
      <c r="C437" t="s">
        <v>61</v>
      </c>
      <c r="D437" t="s">
        <v>27</v>
      </c>
      <c r="E437">
        <v>55</v>
      </c>
      <c r="F437" t="s">
        <v>62</v>
      </c>
      <c r="G437" t="s">
        <v>39</v>
      </c>
      <c r="H437" t="s">
        <v>20</v>
      </c>
      <c r="I437" s="1">
        <v>26559</v>
      </c>
      <c r="J437" t="s">
        <v>1576</v>
      </c>
      <c r="K437" t="s">
        <v>46</v>
      </c>
      <c r="L437">
        <v>12</v>
      </c>
      <c r="M437">
        <v>2</v>
      </c>
      <c r="N437" t="s">
        <v>23</v>
      </c>
      <c r="O437" t="s">
        <v>22</v>
      </c>
      <c r="P437" t="s">
        <v>604</v>
      </c>
      <c r="Q437" s="9" t="str">
        <f t="shared" si="13"/>
        <v>Valid</v>
      </c>
      <c r="R437">
        <v>9997181273</v>
      </c>
      <c r="S437" s="7" t="str">
        <f t="shared" si="12"/>
        <v>Valid</v>
      </c>
      <c r="T437" t="str">
        <f>IF(Table1[[#This Row],[Age]]&lt;25,"18-24",IF(Table1[[#This Row],[Age]]&lt;30,"25-29",IF(Table1[[#This Row],[Age]]&lt;35,"30-34",IF(Table1[[#This Row],[Age]]&lt;40,"35-39",IF(Table1[[#This Row],[Age]]&lt;50,"40-49","50+")))))</f>
        <v>50+</v>
      </c>
    </row>
    <row r="438" spans="1:20" x14ac:dyDescent="0.35">
      <c r="A438">
        <v>1437</v>
      </c>
      <c r="B438" t="s">
        <v>37</v>
      </c>
      <c r="C438" t="s">
        <v>32</v>
      </c>
      <c r="D438" t="s">
        <v>17</v>
      </c>
      <c r="E438">
        <v>53</v>
      </c>
      <c r="F438" t="s">
        <v>69</v>
      </c>
      <c r="G438" t="s">
        <v>77</v>
      </c>
      <c r="H438" t="s">
        <v>56</v>
      </c>
      <c r="I438" s="1">
        <v>49615</v>
      </c>
      <c r="J438" t="s">
        <v>605</v>
      </c>
      <c r="K438" t="s">
        <v>46</v>
      </c>
      <c r="L438">
        <v>23</v>
      </c>
      <c r="M438">
        <v>4</v>
      </c>
      <c r="N438" t="s">
        <v>22</v>
      </c>
      <c r="O438" t="s">
        <v>22</v>
      </c>
      <c r="P438" t="s">
        <v>606</v>
      </c>
      <c r="Q438" s="9" t="str">
        <f t="shared" si="13"/>
        <v>Valid</v>
      </c>
      <c r="R438">
        <v>9012083574</v>
      </c>
      <c r="S438" s="7" t="str">
        <f t="shared" si="12"/>
        <v>Valid</v>
      </c>
      <c r="T438" t="str">
        <f>IF(Table1[[#This Row],[Age]]&lt;25,"18-24",IF(Table1[[#This Row],[Age]]&lt;30,"25-29",IF(Table1[[#This Row],[Age]]&lt;35,"30-34",IF(Table1[[#This Row],[Age]]&lt;40,"35-39",IF(Table1[[#This Row],[Age]]&lt;50,"40-49","50+")))))</f>
        <v>50+</v>
      </c>
    </row>
    <row r="439" spans="1:20" x14ac:dyDescent="0.35">
      <c r="A439">
        <v>1438</v>
      </c>
      <c r="B439" t="s">
        <v>82</v>
      </c>
      <c r="C439" t="s">
        <v>43</v>
      </c>
      <c r="D439" t="s">
        <v>27</v>
      </c>
      <c r="E439">
        <v>57</v>
      </c>
      <c r="F439" t="s">
        <v>62</v>
      </c>
      <c r="G439" t="s">
        <v>77</v>
      </c>
      <c r="H439" t="s">
        <v>35</v>
      </c>
      <c r="I439" s="1">
        <v>51380</v>
      </c>
      <c r="J439" t="s">
        <v>1577</v>
      </c>
      <c r="K439" t="s">
        <v>49</v>
      </c>
      <c r="L439">
        <v>13</v>
      </c>
      <c r="M439">
        <v>2</v>
      </c>
      <c r="N439" t="s">
        <v>23</v>
      </c>
      <c r="O439" t="s">
        <v>22</v>
      </c>
      <c r="P439" t="s">
        <v>607</v>
      </c>
      <c r="Q439" s="9" t="str">
        <f t="shared" si="13"/>
        <v>Valid</v>
      </c>
      <c r="R439">
        <v>9602059309</v>
      </c>
      <c r="S439" s="7" t="str">
        <f t="shared" si="12"/>
        <v>Valid</v>
      </c>
      <c r="T439" t="str">
        <f>IF(Table1[[#This Row],[Age]]&lt;25,"18-24",IF(Table1[[#This Row],[Age]]&lt;30,"25-29",IF(Table1[[#This Row],[Age]]&lt;35,"30-34",IF(Table1[[#This Row],[Age]]&lt;40,"35-39",IF(Table1[[#This Row],[Age]]&lt;50,"40-49","50+")))))</f>
        <v>50+</v>
      </c>
    </row>
    <row r="440" spans="1:20" x14ac:dyDescent="0.35">
      <c r="A440">
        <v>1439</v>
      </c>
      <c r="B440" t="s">
        <v>82</v>
      </c>
      <c r="C440" t="s">
        <v>32</v>
      </c>
      <c r="D440" t="s">
        <v>17</v>
      </c>
      <c r="E440">
        <v>38</v>
      </c>
      <c r="F440" t="s">
        <v>33</v>
      </c>
      <c r="G440" t="s">
        <v>19</v>
      </c>
      <c r="H440" t="s">
        <v>56</v>
      </c>
      <c r="I440" s="1">
        <v>97138</v>
      </c>
      <c r="J440" t="s">
        <v>1578</v>
      </c>
      <c r="K440" t="s">
        <v>21</v>
      </c>
      <c r="L440">
        <v>19</v>
      </c>
      <c r="M440">
        <v>4</v>
      </c>
      <c r="N440" t="s">
        <v>22</v>
      </c>
      <c r="O440" t="s">
        <v>22</v>
      </c>
      <c r="P440" t="s">
        <v>608</v>
      </c>
      <c r="Q440" s="9" t="str">
        <f t="shared" si="13"/>
        <v>Valid</v>
      </c>
      <c r="R440">
        <v>9747674171</v>
      </c>
      <c r="S440" s="7" t="str">
        <f t="shared" si="12"/>
        <v>Valid</v>
      </c>
      <c r="T440" t="str">
        <f>IF(Table1[[#This Row],[Age]]&lt;25,"18-24",IF(Table1[[#This Row],[Age]]&lt;30,"25-29",IF(Table1[[#This Row],[Age]]&lt;35,"30-34",IF(Table1[[#This Row],[Age]]&lt;40,"35-39",IF(Table1[[#This Row],[Age]]&lt;50,"40-49","50+")))))</f>
        <v>35-39</v>
      </c>
    </row>
    <row r="441" spans="1:20" x14ac:dyDescent="0.35">
      <c r="A441">
        <v>1440</v>
      </c>
      <c r="B441" t="s">
        <v>64</v>
      </c>
      <c r="C441" t="s">
        <v>32</v>
      </c>
      <c r="D441" t="s">
        <v>17</v>
      </c>
      <c r="E441">
        <v>30</v>
      </c>
      <c r="F441" t="s">
        <v>33</v>
      </c>
      <c r="G441" t="s">
        <v>19</v>
      </c>
      <c r="H441" t="s">
        <v>35</v>
      </c>
      <c r="I441" s="1">
        <v>29447</v>
      </c>
      <c r="J441" t="s">
        <v>1579</v>
      </c>
      <c r="K441" t="s">
        <v>49</v>
      </c>
      <c r="L441">
        <v>18</v>
      </c>
      <c r="M441">
        <v>3</v>
      </c>
      <c r="N441" t="s">
        <v>23</v>
      </c>
      <c r="O441" t="s">
        <v>22</v>
      </c>
      <c r="P441" t="s">
        <v>609</v>
      </c>
      <c r="Q441" s="9" t="str">
        <f t="shared" si="13"/>
        <v>Valid</v>
      </c>
      <c r="R441">
        <v>9889731851</v>
      </c>
      <c r="S441" s="7" t="str">
        <f t="shared" si="12"/>
        <v>Valid</v>
      </c>
      <c r="T441" t="str">
        <f>IF(Table1[[#This Row],[Age]]&lt;25,"18-24",IF(Table1[[#This Row],[Age]]&lt;30,"25-29",IF(Table1[[#This Row],[Age]]&lt;35,"30-34",IF(Table1[[#This Row],[Age]]&lt;40,"35-39",IF(Table1[[#This Row],[Age]]&lt;50,"40-49","50+")))))</f>
        <v>30-34</v>
      </c>
    </row>
    <row r="442" spans="1:20" x14ac:dyDescent="0.35">
      <c r="A442">
        <v>1441</v>
      </c>
      <c r="B442" t="s">
        <v>15</v>
      </c>
      <c r="C442" t="s">
        <v>43</v>
      </c>
      <c r="D442" t="s">
        <v>27</v>
      </c>
      <c r="E442">
        <v>31</v>
      </c>
      <c r="F442" t="s">
        <v>18</v>
      </c>
      <c r="G442" t="s">
        <v>39</v>
      </c>
      <c r="H442" t="s">
        <v>35</v>
      </c>
      <c r="I442" s="1">
        <v>103959</v>
      </c>
      <c r="J442" t="s">
        <v>1580</v>
      </c>
      <c r="K442" t="s">
        <v>46</v>
      </c>
      <c r="L442">
        <v>20</v>
      </c>
      <c r="M442">
        <v>3</v>
      </c>
      <c r="N442" t="s">
        <v>22</v>
      </c>
      <c r="O442" t="s">
        <v>23</v>
      </c>
      <c r="P442" t="s">
        <v>610</v>
      </c>
      <c r="Q442" s="9" t="str">
        <f t="shared" si="13"/>
        <v>Valid</v>
      </c>
      <c r="R442">
        <v>9188041197</v>
      </c>
      <c r="S442" s="7" t="str">
        <f t="shared" si="12"/>
        <v>Valid</v>
      </c>
      <c r="T442" t="str">
        <f>IF(Table1[[#This Row],[Age]]&lt;25,"18-24",IF(Table1[[#This Row],[Age]]&lt;30,"25-29",IF(Table1[[#This Row],[Age]]&lt;35,"30-34",IF(Table1[[#This Row],[Age]]&lt;40,"35-39",IF(Table1[[#This Row],[Age]]&lt;50,"40-49","50+")))))</f>
        <v>30-34</v>
      </c>
    </row>
    <row r="443" spans="1:20" x14ac:dyDescent="0.35">
      <c r="A443">
        <v>1442</v>
      </c>
      <c r="B443" t="s">
        <v>15</v>
      </c>
      <c r="C443" t="s">
        <v>61</v>
      </c>
      <c r="D443" t="s">
        <v>27</v>
      </c>
      <c r="E443">
        <v>48</v>
      </c>
      <c r="F443" t="s">
        <v>33</v>
      </c>
      <c r="G443" t="s">
        <v>77</v>
      </c>
      <c r="H443" t="s">
        <v>28</v>
      </c>
      <c r="I443" s="1">
        <v>41623</v>
      </c>
      <c r="J443" t="s">
        <v>1413</v>
      </c>
      <c r="K443" t="s">
        <v>21</v>
      </c>
      <c r="L443">
        <v>21</v>
      </c>
      <c r="M443">
        <v>2</v>
      </c>
      <c r="N443" t="s">
        <v>23</v>
      </c>
      <c r="O443" t="s">
        <v>22</v>
      </c>
      <c r="P443" t="s">
        <v>611</v>
      </c>
      <c r="Q443" s="9" t="str">
        <f t="shared" si="13"/>
        <v>Valid</v>
      </c>
      <c r="R443">
        <v>9839340288</v>
      </c>
      <c r="S443" s="7" t="str">
        <f t="shared" si="12"/>
        <v>Valid</v>
      </c>
      <c r="T443" t="str">
        <f>IF(Table1[[#This Row],[Age]]&lt;25,"18-24",IF(Table1[[#This Row],[Age]]&lt;30,"25-29",IF(Table1[[#This Row],[Age]]&lt;35,"30-34",IF(Table1[[#This Row],[Age]]&lt;40,"35-39",IF(Table1[[#This Row],[Age]]&lt;50,"40-49","50+")))))</f>
        <v>40-49</v>
      </c>
    </row>
    <row r="444" spans="1:20" x14ac:dyDescent="0.35">
      <c r="A444">
        <v>1443</v>
      </c>
      <c r="B444" t="s">
        <v>42</v>
      </c>
      <c r="C444" t="s">
        <v>26</v>
      </c>
      <c r="D444" t="s">
        <v>27</v>
      </c>
      <c r="E444">
        <v>33</v>
      </c>
      <c r="F444" t="s">
        <v>69</v>
      </c>
      <c r="G444" t="s">
        <v>19</v>
      </c>
      <c r="H444" t="s">
        <v>56</v>
      </c>
      <c r="I444" s="1">
        <v>69603</v>
      </c>
      <c r="J444" t="s">
        <v>1581</v>
      </c>
      <c r="K444" t="s">
        <v>49</v>
      </c>
      <c r="L444">
        <v>14</v>
      </c>
      <c r="M444">
        <v>3</v>
      </c>
      <c r="N444" t="s">
        <v>23</v>
      </c>
      <c r="O444" t="s">
        <v>23</v>
      </c>
      <c r="P444" t="s">
        <v>612</v>
      </c>
      <c r="Q444" s="9" t="str">
        <f t="shared" si="13"/>
        <v>Valid</v>
      </c>
      <c r="R444">
        <v>9253620829</v>
      </c>
      <c r="S444" s="7" t="str">
        <f t="shared" si="12"/>
        <v>Valid</v>
      </c>
      <c r="T444" t="str">
        <f>IF(Table1[[#This Row],[Age]]&lt;25,"18-24",IF(Table1[[#This Row],[Age]]&lt;30,"25-29",IF(Table1[[#This Row],[Age]]&lt;35,"30-34",IF(Table1[[#This Row],[Age]]&lt;40,"35-39",IF(Table1[[#This Row],[Age]]&lt;50,"40-49","50+")))))</f>
        <v>30-34</v>
      </c>
    </row>
    <row r="445" spans="1:20" x14ac:dyDescent="0.35">
      <c r="A445">
        <v>1444</v>
      </c>
      <c r="B445" t="s">
        <v>15</v>
      </c>
      <c r="C445" t="s">
        <v>43</v>
      </c>
      <c r="D445" t="s">
        <v>27</v>
      </c>
      <c r="E445">
        <v>41</v>
      </c>
      <c r="F445" t="s">
        <v>69</v>
      </c>
      <c r="G445" t="s">
        <v>77</v>
      </c>
      <c r="H445" t="s">
        <v>35</v>
      </c>
      <c r="I445" s="1">
        <v>88395</v>
      </c>
      <c r="J445" t="s">
        <v>1582</v>
      </c>
      <c r="K445" t="s">
        <v>49</v>
      </c>
      <c r="L445">
        <v>5</v>
      </c>
      <c r="M445">
        <v>5</v>
      </c>
      <c r="N445" t="s">
        <v>22</v>
      </c>
      <c r="O445" t="s">
        <v>23</v>
      </c>
      <c r="P445" t="s">
        <v>613</v>
      </c>
      <c r="Q445" s="9" t="str">
        <f t="shared" si="13"/>
        <v>Valid</v>
      </c>
      <c r="R445">
        <v>9737514494</v>
      </c>
      <c r="S445" s="7" t="str">
        <f t="shared" si="12"/>
        <v>Valid</v>
      </c>
      <c r="T445" t="str">
        <f>IF(Table1[[#This Row],[Age]]&lt;25,"18-24",IF(Table1[[#This Row],[Age]]&lt;30,"25-29",IF(Table1[[#This Row],[Age]]&lt;35,"30-34",IF(Table1[[#This Row],[Age]]&lt;40,"35-39",IF(Table1[[#This Row],[Age]]&lt;50,"40-49","50+")))))</f>
        <v>40-49</v>
      </c>
    </row>
    <row r="446" spans="1:20" x14ac:dyDescent="0.35">
      <c r="A446">
        <v>1445</v>
      </c>
      <c r="B446" t="s">
        <v>64</v>
      </c>
      <c r="C446" t="s">
        <v>16</v>
      </c>
      <c r="D446" t="s">
        <v>27</v>
      </c>
      <c r="E446">
        <v>39</v>
      </c>
      <c r="F446" t="s">
        <v>69</v>
      </c>
      <c r="G446" t="s">
        <v>55</v>
      </c>
      <c r="H446" t="s">
        <v>44</v>
      </c>
      <c r="I446" s="2" t="s">
        <v>1316</v>
      </c>
      <c r="J446" t="s">
        <v>1583</v>
      </c>
      <c r="K446" t="s">
        <v>21</v>
      </c>
      <c r="L446">
        <v>15</v>
      </c>
      <c r="M446">
        <v>4</v>
      </c>
      <c r="N446" t="s">
        <v>23</v>
      </c>
      <c r="O446" t="s">
        <v>23</v>
      </c>
      <c r="P446" t="s">
        <v>614</v>
      </c>
      <c r="Q446" s="9" t="str">
        <f t="shared" si="13"/>
        <v>Invalid</v>
      </c>
      <c r="R446">
        <v>9822649115</v>
      </c>
      <c r="S446" s="7" t="str">
        <f t="shared" si="12"/>
        <v>Valid</v>
      </c>
      <c r="T446" t="str">
        <f>IF(Table1[[#This Row],[Age]]&lt;25,"18-24",IF(Table1[[#This Row],[Age]]&lt;30,"25-29",IF(Table1[[#This Row],[Age]]&lt;35,"30-34",IF(Table1[[#This Row],[Age]]&lt;40,"35-39",IF(Table1[[#This Row],[Age]]&lt;50,"40-49","50+")))))</f>
        <v>35-39</v>
      </c>
    </row>
    <row r="447" spans="1:20" x14ac:dyDescent="0.35">
      <c r="A447">
        <v>1446</v>
      </c>
      <c r="B447" t="s">
        <v>64</v>
      </c>
      <c r="C447" t="s">
        <v>61</v>
      </c>
      <c r="D447" t="s">
        <v>27</v>
      </c>
      <c r="E447">
        <v>57</v>
      </c>
      <c r="F447" t="s">
        <v>62</v>
      </c>
      <c r="G447" t="s">
        <v>19</v>
      </c>
      <c r="H447" t="s">
        <v>28</v>
      </c>
      <c r="I447" s="1">
        <v>64285</v>
      </c>
      <c r="J447" t="s">
        <v>1584</v>
      </c>
      <c r="K447" t="s">
        <v>40</v>
      </c>
      <c r="L447">
        <v>22</v>
      </c>
      <c r="M447">
        <v>1</v>
      </c>
      <c r="N447" t="s">
        <v>22</v>
      </c>
      <c r="O447" t="s">
        <v>22</v>
      </c>
      <c r="P447" t="s">
        <v>615</v>
      </c>
      <c r="Q447" s="9" t="str">
        <f t="shared" si="13"/>
        <v>Valid</v>
      </c>
      <c r="R447">
        <v>9325446777</v>
      </c>
      <c r="S447" s="7" t="str">
        <f t="shared" si="12"/>
        <v>Valid</v>
      </c>
      <c r="T447" t="str">
        <f>IF(Table1[[#This Row],[Age]]&lt;25,"18-24",IF(Table1[[#This Row],[Age]]&lt;30,"25-29",IF(Table1[[#This Row],[Age]]&lt;35,"30-34",IF(Table1[[#This Row],[Age]]&lt;40,"35-39",IF(Table1[[#This Row],[Age]]&lt;50,"40-49","50+")))))</f>
        <v>50+</v>
      </c>
    </row>
    <row r="448" spans="1:20" x14ac:dyDescent="0.35">
      <c r="A448">
        <v>1447</v>
      </c>
      <c r="B448" t="s">
        <v>64</v>
      </c>
      <c r="C448" t="s">
        <v>16</v>
      </c>
      <c r="D448" t="s">
        <v>17</v>
      </c>
      <c r="E448">
        <v>29</v>
      </c>
      <c r="F448" t="s">
        <v>18</v>
      </c>
      <c r="G448" t="s">
        <v>19</v>
      </c>
      <c r="H448" t="s">
        <v>28</v>
      </c>
      <c r="I448" s="1">
        <v>52686</v>
      </c>
      <c r="J448" t="s">
        <v>1585</v>
      </c>
      <c r="K448" t="s">
        <v>49</v>
      </c>
      <c r="L448">
        <v>23</v>
      </c>
      <c r="M448">
        <v>2</v>
      </c>
      <c r="N448" t="s">
        <v>23</v>
      </c>
      <c r="O448" t="s">
        <v>22</v>
      </c>
      <c r="P448" t="s">
        <v>616</v>
      </c>
      <c r="Q448" s="9" t="str">
        <f t="shared" si="13"/>
        <v>Valid</v>
      </c>
      <c r="R448">
        <v>9667942810</v>
      </c>
      <c r="S448" s="7" t="str">
        <f t="shared" si="12"/>
        <v>Valid</v>
      </c>
      <c r="T448" t="str">
        <f>IF(Table1[[#This Row],[Age]]&lt;25,"18-24",IF(Table1[[#This Row],[Age]]&lt;30,"25-29",IF(Table1[[#This Row],[Age]]&lt;35,"30-34",IF(Table1[[#This Row],[Age]]&lt;40,"35-39",IF(Table1[[#This Row],[Age]]&lt;50,"40-49","50+")))))</f>
        <v>25-29</v>
      </c>
    </row>
    <row r="449" spans="1:20" x14ac:dyDescent="0.35">
      <c r="A449">
        <v>1448</v>
      </c>
      <c r="B449" t="s">
        <v>42</v>
      </c>
      <c r="C449" t="s">
        <v>32</v>
      </c>
      <c r="D449" t="s">
        <v>27</v>
      </c>
      <c r="E449">
        <v>50</v>
      </c>
      <c r="F449" t="s">
        <v>38</v>
      </c>
      <c r="G449" t="s">
        <v>39</v>
      </c>
      <c r="H449" t="s">
        <v>20</v>
      </c>
      <c r="I449" s="1">
        <v>75477</v>
      </c>
      <c r="J449" t="s">
        <v>1586</v>
      </c>
      <c r="K449" t="s">
        <v>49</v>
      </c>
      <c r="L449">
        <v>25</v>
      </c>
      <c r="M449">
        <v>3</v>
      </c>
      <c r="N449" t="s">
        <v>23</v>
      </c>
      <c r="O449" t="s">
        <v>22</v>
      </c>
      <c r="P449" t="s">
        <v>617</v>
      </c>
      <c r="Q449" s="9" t="str">
        <f t="shared" si="13"/>
        <v>Valid</v>
      </c>
      <c r="R449">
        <v>9847588995</v>
      </c>
      <c r="S449" s="7" t="str">
        <f t="shared" si="12"/>
        <v>Valid</v>
      </c>
      <c r="T449" t="str">
        <f>IF(Table1[[#This Row],[Age]]&lt;25,"18-24",IF(Table1[[#This Row],[Age]]&lt;30,"25-29",IF(Table1[[#This Row],[Age]]&lt;35,"30-34",IF(Table1[[#This Row],[Age]]&lt;40,"35-39",IF(Table1[[#This Row],[Age]]&lt;50,"40-49","50+")))))</f>
        <v>50+</v>
      </c>
    </row>
    <row r="450" spans="1:20" x14ac:dyDescent="0.35">
      <c r="A450">
        <v>1105</v>
      </c>
      <c r="B450" t="s">
        <v>67</v>
      </c>
      <c r="C450" t="s">
        <v>61</v>
      </c>
      <c r="D450" t="s">
        <v>27</v>
      </c>
      <c r="E450">
        <v>58</v>
      </c>
      <c r="F450" t="s">
        <v>69</v>
      </c>
      <c r="G450" t="s">
        <v>34</v>
      </c>
      <c r="H450" t="s">
        <v>28</v>
      </c>
      <c r="I450" s="1">
        <v>94134</v>
      </c>
      <c r="J450" t="s">
        <v>618</v>
      </c>
      <c r="K450" t="s">
        <v>21</v>
      </c>
      <c r="L450">
        <v>12</v>
      </c>
      <c r="M450">
        <v>3</v>
      </c>
      <c r="N450" t="s">
        <v>23</v>
      </c>
      <c r="O450" t="s">
        <v>22</v>
      </c>
      <c r="P450" t="s">
        <v>619</v>
      </c>
      <c r="Q450" s="9" t="str">
        <f t="shared" si="13"/>
        <v>Valid</v>
      </c>
      <c r="R450">
        <v>9967297289</v>
      </c>
      <c r="S450" s="7" t="str">
        <f t="shared" ref="S450:S513" si="14">IF(AND(ISNUMBER(R450),LEN(R450)=10),"Valid","Invalid")</f>
        <v>Valid</v>
      </c>
      <c r="T450" t="str">
        <f>IF(Table1[[#This Row],[Age]]&lt;25,"18-24",IF(Table1[[#This Row],[Age]]&lt;30,"25-29",IF(Table1[[#This Row],[Age]]&lt;35,"30-34",IF(Table1[[#This Row],[Age]]&lt;40,"35-39",IF(Table1[[#This Row],[Age]]&lt;50,"40-49","50+")))))</f>
        <v>50+</v>
      </c>
    </row>
    <row r="451" spans="1:20" x14ac:dyDescent="0.35">
      <c r="A451">
        <v>1450</v>
      </c>
      <c r="B451" t="s">
        <v>15</v>
      </c>
      <c r="C451" t="s">
        <v>43</v>
      </c>
      <c r="D451" t="s">
        <v>17</v>
      </c>
      <c r="E451">
        <v>40</v>
      </c>
      <c r="F451" t="s">
        <v>62</v>
      </c>
      <c r="G451" t="s">
        <v>77</v>
      </c>
      <c r="H451" t="s">
        <v>56</v>
      </c>
      <c r="I451" s="1">
        <v>105844</v>
      </c>
      <c r="J451" t="s">
        <v>620</v>
      </c>
      <c r="K451" t="s">
        <v>21</v>
      </c>
      <c r="L451">
        <v>2</v>
      </c>
      <c r="M451">
        <v>4</v>
      </c>
      <c r="N451" t="s">
        <v>23</v>
      </c>
      <c r="O451" t="s">
        <v>23</v>
      </c>
      <c r="P451" t="s">
        <v>621</v>
      </c>
      <c r="Q451" s="9" t="str">
        <f t="shared" ref="Q451:Q514" si="15">IF(AND(ISNUMBER(SEARCH("@",P451)),ISNUMBER(SEARCH(".",P451))),"Valid","Invalid")</f>
        <v>Valid</v>
      </c>
      <c r="R451">
        <v>96011446</v>
      </c>
      <c r="S451" s="7" t="str">
        <f t="shared" si="14"/>
        <v>Invalid</v>
      </c>
      <c r="T451" t="str">
        <f>IF(Table1[[#This Row],[Age]]&lt;25,"18-24",IF(Table1[[#This Row],[Age]]&lt;30,"25-29",IF(Table1[[#This Row],[Age]]&lt;35,"30-34",IF(Table1[[#This Row],[Age]]&lt;40,"35-39",IF(Table1[[#This Row],[Age]]&lt;50,"40-49","50+")))))</f>
        <v>40-49</v>
      </c>
    </row>
    <row r="452" spans="1:20" x14ac:dyDescent="0.35">
      <c r="A452">
        <v>1451</v>
      </c>
      <c r="B452" t="s">
        <v>25</v>
      </c>
      <c r="C452" t="s">
        <v>16</v>
      </c>
      <c r="D452" t="s">
        <v>27</v>
      </c>
      <c r="E452">
        <v>45</v>
      </c>
      <c r="F452" t="s">
        <v>69</v>
      </c>
      <c r="G452" t="s">
        <v>19</v>
      </c>
      <c r="H452" t="s">
        <v>20</v>
      </c>
      <c r="I452" s="1">
        <v>96824</v>
      </c>
      <c r="J452" t="s">
        <v>1587</v>
      </c>
      <c r="K452" t="s">
        <v>21</v>
      </c>
      <c r="L452">
        <v>19</v>
      </c>
      <c r="M452">
        <v>1</v>
      </c>
      <c r="N452" t="s">
        <v>23</v>
      </c>
      <c r="O452" t="s">
        <v>22</v>
      </c>
      <c r="P452" t="s">
        <v>622</v>
      </c>
      <c r="Q452" s="9" t="str">
        <f t="shared" si="15"/>
        <v>Valid</v>
      </c>
      <c r="R452">
        <v>9871929148</v>
      </c>
      <c r="S452" s="7" t="str">
        <f t="shared" si="14"/>
        <v>Valid</v>
      </c>
      <c r="T452" t="str">
        <f>IF(Table1[[#This Row],[Age]]&lt;25,"18-24",IF(Table1[[#This Row],[Age]]&lt;30,"25-29",IF(Table1[[#This Row],[Age]]&lt;35,"30-34",IF(Table1[[#This Row],[Age]]&lt;40,"35-39",IF(Table1[[#This Row],[Age]]&lt;50,"40-49","50+")))))</f>
        <v>40-49</v>
      </c>
    </row>
    <row r="453" spans="1:20" x14ac:dyDescent="0.35">
      <c r="A453">
        <v>1452</v>
      </c>
      <c r="B453" t="s">
        <v>58</v>
      </c>
      <c r="C453" t="s">
        <v>43</v>
      </c>
      <c r="D453" t="s">
        <v>17</v>
      </c>
      <c r="E453">
        <v>25</v>
      </c>
      <c r="F453" t="s">
        <v>69</v>
      </c>
      <c r="G453" t="s">
        <v>34</v>
      </c>
      <c r="H453" t="s">
        <v>28</v>
      </c>
      <c r="I453" s="1">
        <v>75972</v>
      </c>
      <c r="J453" t="s">
        <v>623</v>
      </c>
      <c r="K453" t="s">
        <v>21</v>
      </c>
      <c r="L453">
        <v>15</v>
      </c>
      <c r="M453">
        <v>5</v>
      </c>
      <c r="N453" t="s">
        <v>23</v>
      </c>
      <c r="O453" t="s">
        <v>23</v>
      </c>
      <c r="P453" t="s">
        <v>624</v>
      </c>
      <c r="Q453" s="9" t="str">
        <f t="shared" si="15"/>
        <v>Valid</v>
      </c>
      <c r="R453">
        <v>9296760892</v>
      </c>
      <c r="S453" s="7" t="str">
        <f t="shared" si="14"/>
        <v>Valid</v>
      </c>
      <c r="T453" t="str">
        <f>IF(Table1[[#This Row],[Age]]&lt;25,"18-24",IF(Table1[[#This Row],[Age]]&lt;30,"25-29",IF(Table1[[#This Row],[Age]]&lt;35,"30-34",IF(Table1[[#This Row],[Age]]&lt;40,"35-39",IF(Table1[[#This Row],[Age]]&lt;50,"40-49","50+")))))</f>
        <v>25-29</v>
      </c>
    </row>
    <row r="454" spans="1:20" x14ac:dyDescent="0.35">
      <c r="A454">
        <v>1453</v>
      </c>
      <c r="B454" t="s">
        <v>64</v>
      </c>
      <c r="C454" t="s">
        <v>43</v>
      </c>
      <c r="D454" t="s">
        <v>27</v>
      </c>
      <c r="E454">
        <v>26</v>
      </c>
      <c r="F454" t="s">
        <v>38</v>
      </c>
      <c r="G454" t="s">
        <v>19</v>
      </c>
      <c r="H454" t="s">
        <v>35</v>
      </c>
      <c r="I454" s="1">
        <v>115349</v>
      </c>
      <c r="J454" t="s">
        <v>1588</v>
      </c>
      <c r="K454" t="s">
        <v>21</v>
      </c>
      <c r="L454">
        <v>17</v>
      </c>
      <c r="M454">
        <v>1</v>
      </c>
      <c r="N454" t="s">
        <v>23</v>
      </c>
      <c r="O454" t="s">
        <v>22</v>
      </c>
      <c r="P454" t="s">
        <v>625</v>
      </c>
      <c r="Q454" s="9" t="str">
        <f t="shared" si="15"/>
        <v>Valid</v>
      </c>
      <c r="R454">
        <v>9388905276</v>
      </c>
      <c r="S454" s="7" t="str">
        <f t="shared" si="14"/>
        <v>Valid</v>
      </c>
      <c r="T454" t="str">
        <f>IF(Table1[[#This Row],[Age]]&lt;25,"18-24",IF(Table1[[#This Row],[Age]]&lt;30,"25-29",IF(Table1[[#This Row],[Age]]&lt;35,"30-34",IF(Table1[[#This Row],[Age]]&lt;40,"35-39",IF(Table1[[#This Row],[Age]]&lt;50,"40-49","50+")))))</f>
        <v>25-29</v>
      </c>
    </row>
    <row r="455" spans="1:20" x14ac:dyDescent="0.35">
      <c r="A455">
        <v>1454</v>
      </c>
      <c r="B455" t="s">
        <v>60</v>
      </c>
      <c r="C455" t="s">
        <v>32</v>
      </c>
      <c r="D455" t="s">
        <v>27</v>
      </c>
      <c r="E455">
        <v>45</v>
      </c>
      <c r="F455" t="s">
        <v>69</v>
      </c>
      <c r="G455" t="s">
        <v>77</v>
      </c>
      <c r="H455" t="s">
        <v>20</v>
      </c>
      <c r="I455" s="1">
        <v>73719</v>
      </c>
      <c r="J455" t="s">
        <v>1589</v>
      </c>
      <c r="K455" t="s">
        <v>46</v>
      </c>
      <c r="L455">
        <v>19</v>
      </c>
      <c r="M455">
        <v>1</v>
      </c>
      <c r="N455" t="s">
        <v>22</v>
      </c>
      <c r="O455" t="s">
        <v>22</v>
      </c>
      <c r="P455" t="s">
        <v>626</v>
      </c>
      <c r="Q455" s="9" t="str">
        <f t="shared" si="15"/>
        <v>Valid</v>
      </c>
      <c r="R455">
        <v>9312650783</v>
      </c>
      <c r="S455" s="7" t="str">
        <f t="shared" si="14"/>
        <v>Valid</v>
      </c>
      <c r="T455" t="str">
        <f>IF(Table1[[#This Row],[Age]]&lt;25,"18-24",IF(Table1[[#This Row],[Age]]&lt;30,"25-29",IF(Table1[[#This Row],[Age]]&lt;35,"30-34",IF(Table1[[#This Row],[Age]]&lt;40,"35-39",IF(Table1[[#This Row],[Age]]&lt;50,"40-49","50+")))))</f>
        <v>40-49</v>
      </c>
    </row>
    <row r="456" spans="1:20" x14ac:dyDescent="0.35">
      <c r="A456">
        <v>1455</v>
      </c>
      <c r="B456" t="s">
        <v>42</v>
      </c>
      <c r="C456" t="s">
        <v>32</v>
      </c>
      <c r="D456" t="s">
        <v>17</v>
      </c>
      <c r="E456">
        <v>49</v>
      </c>
      <c r="F456" t="s">
        <v>69</v>
      </c>
      <c r="G456" t="s">
        <v>55</v>
      </c>
      <c r="H456" t="s">
        <v>35</v>
      </c>
      <c r="I456" s="1">
        <v>49024</v>
      </c>
      <c r="J456" t="s">
        <v>1474</v>
      </c>
      <c r="K456" t="s">
        <v>49</v>
      </c>
      <c r="L456">
        <v>2</v>
      </c>
      <c r="M456">
        <v>5</v>
      </c>
      <c r="N456" t="s">
        <v>22</v>
      </c>
      <c r="O456" t="s">
        <v>22</v>
      </c>
      <c r="P456" t="s">
        <v>627</v>
      </c>
      <c r="Q456" s="9" t="str">
        <f t="shared" si="15"/>
        <v>Valid</v>
      </c>
      <c r="R456">
        <v>9081207908</v>
      </c>
      <c r="S456" s="7" t="str">
        <f t="shared" si="14"/>
        <v>Valid</v>
      </c>
      <c r="T456" t="str">
        <f>IF(Table1[[#This Row],[Age]]&lt;25,"18-24",IF(Table1[[#This Row],[Age]]&lt;30,"25-29",IF(Table1[[#This Row],[Age]]&lt;35,"30-34",IF(Table1[[#This Row],[Age]]&lt;40,"35-39",IF(Table1[[#This Row],[Age]]&lt;50,"40-49","50+")))))</f>
        <v>40-49</v>
      </c>
    </row>
    <row r="457" spans="1:20" x14ac:dyDescent="0.35">
      <c r="A457">
        <v>1456</v>
      </c>
      <c r="B457" t="s">
        <v>42</v>
      </c>
      <c r="C457" t="s">
        <v>32</v>
      </c>
      <c r="D457" t="s">
        <v>17</v>
      </c>
      <c r="E457">
        <v>27</v>
      </c>
      <c r="F457" t="s">
        <v>69</v>
      </c>
      <c r="G457" t="s">
        <v>39</v>
      </c>
      <c r="H457" t="s">
        <v>56</v>
      </c>
      <c r="I457" s="1">
        <v>27949</v>
      </c>
      <c r="J457" t="s">
        <v>1590</v>
      </c>
      <c r="K457" t="s">
        <v>30</v>
      </c>
      <c r="L457">
        <v>13</v>
      </c>
      <c r="M457">
        <v>5</v>
      </c>
      <c r="N457" t="s">
        <v>22</v>
      </c>
      <c r="O457" t="s">
        <v>23</v>
      </c>
      <c r="P457" t="s">
        <v>628</v>
      </c>
      <c r="Q457" s="9" t="str">
        <f t="shared" si="15"/>
        <v>Valid</v>
      </c>
      <c r="R457">
        <v>9970105834</v>
      </c>
      <c r="S457" s="7" t="str">
        <f t="shared" si="14"/>
        <v>Valid</v>
      </c>
      <c r="T457" t="str">
        <f>IF(Table1[[#This Row],[Age]]&lt;25,"18-24",IF(Table1[[#This Row],[Age]]&lt;30,"25-29",IF(Table1[[#This Row],[Age]]&lt;35,"30-34",IF(Table1[[#This Row],[Age]]&lt;40,"35-39",IF(Table1[[#This Row],[Age]]&lt;50,"40-49","50+")))))</f>
        <v>25-29</v>
      </c>
    </row>
    <row r="458" spans="1:20" x14ac:dyDescent="0.35">
      <c r="A458">
        <v>1457</v>
      </c>
      <c r="B458" t="s">
        <v>60</v>
      </c>
      <c r="C458" t="s">
        <v>26</v>
      </c>
      <c r="D458" t="s">
        <v>17</v>
      </c>
      <c r="E458">
        <v>56</v>
      </c>
      <c r="F458" t="s">
        <v>33</v>
      </c>
      <c r="G458" t="s">
        <v>34</v>
      </c>
      <c r="H458" t="s">
        <v>44</v>
      </c>
      <c r="I458" s="1">
        <v>46775</v>
      </c>
      <c r="J458" t="s">
        <v>629</v>
      </c>
      <c r="K458" t="s">
        <v>30</v>
      </c>
      <c r="L458">
        <v>5</v>
      </c>
      <c r="M458">
        <v>3</v>
      </c>
      <c r="N458" t="s">
        <v>22</v>
      </c>
      <c r="O458" t="s">
        <v>23</v>
      </c>
      <c r="P458" t="s">
        <v>630</v>
      </c>
      <c r="Q458" s="9" t="str">
        <f t="shared" si="15"/>
        <v>Valid</v>
      </c>
      <c r="R458">
        <v>9513408382</v>
      </c>
      <c r="S458" s="7" t="str">
        <f t="shared" si="14"/>
        <v>Valid</v>
      </c>
      <c r="T458" t="str">
        <f>IF(Table1[[#This Row],[Age]]&lt;25,"18-24",IF(Table1[[#This Row],[Age]]&lt;30,"25-29",IF(Table1[[#This Row],[Age]]&lt;35,"30-34",IF(Table1[[#This Row],[Age]]&lt;40,"35-39",IF(Table1[[#This Row],[Age]]&lt;50,"40-49","50+")))))</f>
        <v>50+</v>
      </c>
    </row>
    <row r="459" spans="1:20" x14ac:dyDescent="0.35">
      <c r="A459">
        <v>1458</v>
      </c>
      <c r="B459" t="s">
        <v>60</v>
      </c>
      <c r="C459" t="s">
        <v>32</v>
      </c>
      <c r="D459" t="s">
        <v>17</v>
      </c>
      <c r="E459">
        <v>31</v>
      </c>
      <c r="F459" t="s">
        <v>18</v>
      </c>
      <c r="G459" t="s">
        <v>19</v>
      </c>
      <c r="H459" t="s">
        <v>35</v>
      </c>
      <c r="I459" s="1">
        <v>-77391</v>
      </c>
      <c r="J459" t="s">
        <v>631</v>
      </c>
      <c r="K459" t="s">
        <v>21</v>
      </c>
      <c r="L459">
        <v>6</v>
      </c>
      <c r="M459">
        <v>2</v>
      </c>
      <c r="N459" t="s">
        <v>23</v>
      </c>
      <c r="O459" t="s">
        <v>22</v>
      </c>
      <c r="P459" t="s">
        <v>632</v>
      </c>
      <c r="Q459" s="9" t="str">
        <f t="shared" si="15"/>
        <v>Valid</v>
      </c>
      <c r="R459">
        <v>9037644931</v>
      </c>
      <c r="S459" s="7" t="str">
        <f t="shared" si="14"/>
        <v>Valid</v>
      </c>
      <c r="T459" t="str">
        <f>IF(Table1[[#This Row],[Age]]&lt;25,"18-24",IF(Table1[[#This Row],[Age]]&lt;30,"25-29",IF(Table1[[#This Row],[Age]]&lt;35,"30-34",IF(Table1[[#This Row],[Age]]&lt;40,"35-39",IF(Table1[[#This Row],[Age]]&lt;50,"40-49","50+")))))</f>
        <v>30-34</v>
      </c>
    </row>
    <row r="460" spans="1:20" x14ac:dyDescent="0.35">
      <c r="A460">
        <v>1459</v>
      </c>
      <c r="B460" t="s">
        <v>67</v>
      </c>
      <c r="C460" t="s">
        <v>61</v>
      </c>
      <c r="D460" t="s">
        <v>17</v>
      </c>
      <c r="E460">
        <v>30</v>
      </c>
      <c r="F460" t="s">
        <v>69</v>
      </c>
      <c r="G460" t="s">
        <v>55</v>
      </c>
      <c r="H460" t="s">
        <v>28</v>
      </c>
      <c r="I460" s="1">
        <v>62581</v>
      </c>
      <c r="J460" t="s">
        <v>1591</v>
      </c>
      <c r="K460" t="s">
        <v>40</v>
      </c>
      <c r="L460">
        <v>18</v>
      </c>
      <c r="M460">
        <v>4</v>
      </c>
      <c r="N460" t="s">
        <v>22</v>
      </c>
      <c r="O460" t="s">
        <v>22</v>
      </c>
      <c r="P460" t="s">
        <v>633</v>
      </c>
      <c r="Q460" s="9" t="str">
        <f t="shared" si="15"/>
        <v>Valid</v>
      </c>
      <c r="R460">
        <v>9920201071</v>
      </c>
      <c r="S460" s="7" t="str">
        <f t="shared" si="14"/>
        <v>Valid</v>
      </c>
      <c r="T460" t="str">
        <f>IF(Table1[[#This Row],[Age]]&lt;25,"18-24",IF(Table1[[#This Row],[Age]]&lt;30,"25-29",IF(Table1[[#This Row],[Age]]&lt;35,"30-34",IF(Table1[[#This Row],[Age]]&lt;40,"35-39",IF(Table1[[#This Row],[Age]]&lt;50,"40-49","50+")))))</f>
        <v>30-34</v>
      </c>
    </row>
    <row r="461" spans="1:20" x14ac:dyDescent="0.35">
      <c r="A461">
        <v>1460</v>
      </c>
      <c r="B461" t="s">
        <v>60</v>
      </c>
      <c r="C461" t="s">
        <v>26</v>
      </c>
      <c r="D461" t="s">
        <v>17</v>
      </c>
      <c r="E461">
        <v>51</v>
      </c>
      <c r="F461" t="s">
        <v>62</v>
      </c>
      <c r="G461" t="s">
        <v>55</v>
      </c>
      <c r="H461" t="s">
        <v>56</v>
      </c>
      <c r="I461" s="1">
        <v>38926</v>
      </c>
      <c r="J461" t="s">
        <v>1592</v>
      </c>
      <c r="K461" t="s">
        <v>30</v>
      </c>
      <c r="L461">
        <v>5</v>
      </c>
      <c r="M461">
        <v>5</v>
      </c>
      <c r="N461" t="s">
        <v>22</v>
      </c>
      <c r="O461" t="s">
        <v>23</v>
      </c>
      <c r="P461" t="s">
        <v>634</v>
      </c>
      <c r="Q461" s="9" t="str">
        <f t="shared" si="15"/>
        <v>Valid</v>
      </c>
      <c r="R461">
        <v>9747662409</v>
      </c>
      <c r="S461" s="7" t="str">
        <f t="shared" si="14"/>
        <v>Valid</v>
      </c>
      <c r="T461" t="str">
        <f>IF(Table1[[#This Row],[Age]]&lt;25,"18-24",IF(Table1[[#This Row],[Age]]&lt;30,"25-29",IF(Table1[[#This Row],[Age]]&lt;35,"30-34",IF(Table1[[#This Row],[Age]]&lt;40,"35-39",IF(Table1[[#This Row],[Age]]&lt;50,"40-49","50+")))))</f>
        <v>50+</v>
      </c>
    </row>
    <row r="462" spans="1:20" x14ac:dyDescent="0.35">
      <c r="A462">
        <v>1461</v>
      </c>
      <c r="B462" t="s">
        <v>54</v>
      </c>
      <c r="C462" t="s">
        <v>32</v>
      </c>
      <c r="D462" t="s">
        <v>27</v>
      </c>
      <c r="E462">
        <v>52</v>
      </c>
      <c r="F462" t="s">
        <v>38</v>
      </c>
      <c r="G462" t="s">
        <v>39</v>
      </c>
      <c r="H462" t="s">
        <v>28</v>
      </c>
      <c r="I462" s="1">
        <v>72778</v>
      </c>
      <c r="J462" t="s">
        <v>1593</v>
      </c>
      <c r="K462" t="s">
        <v>40</v>
      </c>
      <c r="L462">
        <v>25</v>
      </c>
      <c r="M462">
        <v>3</v>
      </c>
      <c r="N462" t="s">
        <v>23</v>
      </c>
      <c r="O462" t="s">
        <v>23</v>
      </c>
      <c r="P462" t="s">
        <v>635</v>
      </c>
      <c r="Q462" s="9" t="str">
        <f t="shared" si="15"/>
        <v>Valid</v>
      </c>
      <c r="R462">
        <v>9288581370</v>
      </c>
      <c r="S462" s="7" t="str">
        <f t="shared" si="14"/>
        <v>Valid</v>
      </c>
      <c r="T462" t="str">
        <f>IF(Table1[[#This Row],[Age]]&lt;25,"18-24",IF(Table1[[#This Row],[Age]]&lt;30,"25-29",IF(Table1[[#This Row],[Age]]&lt;35,"30-34",IF(Table1[[#This Row],[Age]]&lt;40,"35-39",IF(Table1[[#This Row],[Age]]&lt;50,"40-49","50+")))))</f>
        <v>50+</v>
      </c>
    </row>
    <row r="463" spans="1:20" x14ac:dyDescent="0.35">
      <c r="A463">
        <v>1462</v>
      </c>
      <c r="B463" t="s">
        <v>25</v>
      </c>
      <c r="C463" t="s">
        <v>32</v>
      </c>
      <c r="D463" t="s">
        <v>17</v>
      </c>
      <c r="E463">
        <v>25</v>
      </c>
      <c r="F463" t="s">
        <v>69</v>
      </c>
      <c r="G463" t="s">
        <v>19</v>
      </c>
      <c r="H463" t="s">
        <v>44</v>
      </c>
      <c r="I463" s="1">
        <v>55600</v>
      </c>
      <c r="J463" t="s">
        <v>636</v>
      </c>
      <c r="K463" t="s">
        <v>49</v>
      </c>
      <c r="L463">
        <v>11</v>
      </c>
      <c r="M463">
        <v>5</v>
      </c>
      <c r="N463" t="s">
        <v>23</v>
      </c>
      <c r="O463" t="s">
        <v>22</v>
      </c>
      <c r="P463" t="s">
        <v>637</v>
      </c>
      <c r="Q463" s="9" t="str">
        <f t="shared" si="15"/>
        <v>Valid</v>
      </c>
      <c r="R463">
        <v>9210586960</v>
      </c>
      <c r="S463" s="7" t="str">
        <f t="shared" si="14"/>
        <v>Valid</v>
      </c>
      <c r="T463" t="str">
        <f>IF(Table1[[#This Row],[Age]]&lt;25,"18-24",IF(Table1[[#This Row],[Age]]&lt;30,"25-29",IF(Table1[[#This Row],[Age]]&lt;35,"30-34",IF(Table1[[#This Row],[Age]]&lt;40,"35-39",IF(Table1[[#This Row],[Age]]&lt;50,"40-49","50+")))))</f>
        <v>25-29</v>
      </c>
    </row>
    <row r="464" spans="1:20" x14ac:dyDescent="0.35">
      <c r="A464">
        <v>1463</v>
      </c>
      <c r="B464" t="s">
        <v>58</v>
      </c>
      <c r="C464" t="s">
        <v>26</v>
      </c>
      <c r="D464" t="s">
        <v>17</v>
      </c>
      <c r="E464">
        <v>37</v>
      </c>
      <c r="F464" t="s">
        <v>38</v>
      </c>
      <c r="G464" t="s">
        <v>19</v>
      </c>
      <c r="H464" t="s">
        <v>20</v>
      </c>
      <c r="I464" s="1">
        <v>32342</v>
      </c>
      <c r="J464" t="s">
        <v>1594</v>
      </c>
      <c r="K464" t="s">
        <v>40</v>
      </c>
      <c r="L464">
        <v>17</v>
      </c>
      <c r="M464">
        <v>1</v>
      </c>
      <c r="N464" t="s">
        <v>23</v>
      </c>
      <c r="O464" t="s">
        <v>23</v>
      </c>
      <c r="P464" t="s">
        <v>638</v>
      </c>
      <c r="Q464" s="9" t="str">
        <f t="shared" si="15"/>
        <v>Valid</v>
      </c>
      <c r="R464">
        <v>9295935861</v>
      </c>
      <c r="S464" s="7" t="str">
        <f t="shared" si="14"/>
        <v>Valid</v>
      </c>
      <c r="T464" t="str">
        <f>IF(Table1[[#This Row],[Age]]&lt;25,"18-24",IF(Table1[[#This Row],[Age]]&lt;30,"25-29",IF(Table1[[#This Row],[Age]]&lt;35,"30-34",IF(Table1[[#This Row],[Age]]&lt;40,"35-39",IF(Table1[[#This Row],[Age]]&lt;50,"40-49","50+")))))</f>
        <v>35-39</v>
      </c>
    </row>
    <row r="465" spans="1:20" x14ac:dyDescent="0.35">
      <c r="A465">
        <v>1464</v>
      </c>
      <c r="B465" t="s">
        <v>54</v>
      </c>
      <c r="C465" t="s">
        <v>26</v>
      </c>
      <c r="D465" t="s">
        <v>17</v>
      </c>
      <c r="E465">
        <v>38</v>
      </c>
      <c r="F465" t="s">
        <v>33</v>
      </c>
      <c r="G465" t="s">
        <v>77</v>
      </c>
      <c r="H465" t="s">
        <v>35</v>
      </c>
      <c r="I465" s="1">
        <v>77833</v>
      </c>
      <c r="J465" t="s">
        <v>1595</v>
      </c>
      <c r="K465" t="s">
        <v>21</v>
      </c>
      <c r="L465">
        <v>19</v>
      </c>
      <c r="M465">
        <v>3</v>
      </c>
      <c r="N465" t="s">
        <v>23</v>
      </c>
      <c r="O465" t="s">
        <v>23</v>
      </c>
      <c r="P465" t="s">
        <v>639</v>
      </c>
      <c r="Q465" s="9" t="str">
        <f t="shared" si="15"/>
        <v>Valid</v>
      </c>
      <c r="R465">
        <v>9158646366</v>
      </c>
      <c r="S465" s="7" t="str">
        <f t="shared" si="14"/>
        <v>Valid</v>
      </c>
      <c r="T465" t="str">
        <f>IF(Table1[[#This Row],[Age]]&lt;25,"18-24",IF(Table1[[#This Row],[Age]]&lt;30,"25-29",IF(Table1[[#This Row],[Age]]&lt;35,"30-34",IF(Table1[[#This Row],[Age]]&lt;40,"35-39",IF(Table1[[#This Row],[Age]]&lt;50,"40-49","50+")))))</f>
        <v>35-39</v>
      </c>
    </row>
    <row r="466" spans="1:20" x14ac:dyDescent="0.35">
      <c r="A466">
        <v>1465</v>
      </c>
      <c r="B466" t="s">
        <v>82</v>
      </c>
      <c r="C466" t="s">
        <v>16</v>
      </c>
      <c r="D466" t="s">
        <v>17</v>
      </c>
      <c r="E466">
        <v>56</v>
      </c>
      <c r="F466" t="s">
        <v>69</v>
      </c>
      <c r="G466" t="s">
        <v>55</v>
      </c>
      <c r="H466" t="s">
        <v>44</v>
      </c>
      <c r="I466" s="1">
        <v>49962</v>
      </c>
      <c r="J466" t="s">
        <v>1596</v>
      </c>
      <c r="K466" t="s">
        <v>40</v>
      </c>
      <c r="L466">
        <v>14</v>
      </c>
      <c r="M466">
        <v>4</v>
      </c>
      <c r="N466" t="s">
        <v>22</v>
      </c>
      <c r="O466" t="s">
        <v>23</v>
      </c>
      <c r="P466" t="s">
        <v>640</v>
      </c>
      <c r="Q466" s="9" t="str">
        <f t="shared" si="15"/>
        <v>Invalid</v>
      </c>
      <c r="R466">
        <v>9820814663</v>
      </c>
      <c r="S466" s="7" t="str">
        <f t="shared" si="14"/>
        <v>Valid</v>
      </c>
      <c r="T466" t="str">
        <f>IF(Table1[[#This Row],[Age]]&lt;25,"18-24",IF(Table1[[#This Row],[Age]]&lt;30,"25-29",IF(Table1[[#This Row],[Age]]&lt;35,"30-34",IF(Table1[[#This Row],[Age]]&lt;40,"35-39",IF(Table1[[#This Row],[Age]]&lt;50,"40-49","50+")))))</f>
        <v>50+</v>
      </c>
    </row>
    <row r="467" spans="1:20" x14ac:dyDescent="0.35">
      <c r="A467">
        <v>1466</v>
      </c>
      <c r="B467" t="s">
        <v>67</v>
      </c>
      <c r="C467" t="s">
        <v>26</v>
      </c>
      <c r="D467" t="s">
        <v>27</v>
      </c>
      <c r="E467">
        <v>52</v>
      </c>
      <c r="F467" t="s">
        <v>33</v>
      </c>
      <c r="G467" t="s">
        <v>19</v>
      </c>
      <c r="H467" t="s">
        <v>56</v>
      </c>
      <c r="I467" s="1">
        <v>92644</v>
      </c>
      <c r="J467" t="s">
        <v>1597</v>
      </c>
      <c r="K467" t="s">
        <v>40</v>
      </c>
      <c r="L467">
        <v>10</v>
      </c>
      <c r="M467">
        <v>4</v>
      </c>
      <c r="N467" t="s">
        <v>22</v>
      </c>
      <c r="O467" t="s">
        <v>23</v>
      </c>
      <c r="P467" t="s">
        <v>641</v>
      </c>
      <c r="Q467" s="9" t="str">
        <f t="shared" si="15"/>
        <v>Valid</v>
      </c>
      <c r="R467">
        <v>9571615148</v>
      </c>
      <c r="S467" s="7" t="str">
        <f t="shared" si="14"/>
        <v>Valid</v>
      </c>
      <c r="T467" t="str">
        <f>IF(Table1[[#This Row],[Age]]&lt;25,"18-24",IF(Table1[[#This Row],[Age]]&lt;30,"25-29",IF(Table1[[#This Row],[Age]]&lt;35,"30-34",IF(Table1[[#This Row],[Age]]&lt;40,"35-39",IF(Table1[[#This Row],[Age]]&lt;50,"40-49","50+")))))</f>
        <v>50+</v>
      </c>
    </row>
    <row r="468" spans="1:20" x14ac:dyDescent="0.35">
      <c r="A468">
        <v>1467</v>
      </c>
      <c r="B468" t="s">
        <v>42</v>
      </c>
      <c r="C468" t="s">
        <v>32</v>
      </c>
      <c r="D468" t="s">
        <v>27</v>
      </c>
      <c r="E468">
        <v>27</v>
      </c>
      <c r="F468" t="s">
        <v>18</v>
      </c>
      <c r="G468" t="s">
        <v>19</v>
      </c>
      <c r="H468" t="s">
        <v>44</v>
      </c>
      <c r="I468" s="1">
        <v>62319</v>
      </c>
      <c r="J468" t="s">
        <v>574</v>
      </c>
      <c r="K468" t="s">
        <v>49</v>
      </c>
      <c r="L468">
        <v>19</v>
      </c>
      <c r="M468">
        <v>1</v>
      </c>
      <c r="N468" t="s">
        <v>23</v>
      </c>
      <c r="O468" t="s">
        <v>23</v>
      </c>
      <c r="P468" t="s">
        <v>642</v>
      </c>
      <c r="Q468" s="9" t="str">
        <f t="shared" si="15"/>
        <v>Valid</v>
      </c>
      <c r="R468">
        <v>9858320325</v>
      </c>
      <c r="S468" s="7" t="str">
        <f t="shared" si="14"/>
        <v>Valid</v>
      </c>
      <c r="T468" t="str">
        <f>IF(Table1[[#This Row],[Age]]&lt;25,"18-24",IF(Table1[[#This Row],[Age]]&lt;30,"25-29",IF(Table1[[#This Row],[Age]]&lt;35,"30-34",IF(Table1[[#This Row],[Age]]&lt;40,"35-39",IF(Table1[[#This Row],[Age]]&lt;50,"40-49","50+")))))</f>
        <v>25-29</v>
      </c>
    </row>
    <row r="469" spans="1:20" x14ac:dyDescent="0.35">
      <c r="A469">
        <v>1468</v>
      </c>
      <c r="B469" t="s">
        <v>64</v>
      </c>
      <c r="C469" t="s">
        <v>61</v>
      </c>
      <c r="D469" t="s">
        <v>27</v>
      </c>
      <c r="E469">
        <v>42</v>
      </c>
      <c r="F469" t="s">
        <v>62</v>
      </c>
      <c r="G469" t="s">
        <v>39</v>
      </c>
      <c r="H469" t="s">
        <v>35</v>
      </c>
      <c r="I469" s="1">
        <v>100720</v>
      </c>
      <c r="J469" t="s">
        <v>1500</v>
      </c>
      <c r="K469" t="s">
        <v>21</v>
      </c>
      <c r="L469">
        <v>4</v>
      </c>
      <c r="M469">
        <v>4</v>
      </c>
      <c r="N469" t="s">
        <v>23</v>
      </c>
      <c r="O469" t="s">
        <v>22</v>
      </c>
      <c r="P469" t="s">
        <v>643</v>
      </c>
      <c r="Q469" s="9" t="str">
        <f t="shared" si="15"/>
        <v>Valid</v>
      </c>
      <c r="R469">
        <v>9152859148</v>
      </c>
      <c r="S469" s="7" t="str">
        <f t="shared" si="14"/>
        <v>Valid</v>
      </c>
      <c r="T469" t="str">
        <f>IF(Table1[[#This Row],[Age]]&lt;25,"18-24",IF(Table1[[#This Row],[Age]]&lt;30,"25-29",IF(Table1[[#This Row],[Age]]&lt;35,"30-34",IF(Table1[[#This Row],[Age]]&lt;40,"35-39",IF(Table1[[#This Row],[Age]]&lt;50,"40-49","50+")))))</f>
        <v>40-49</v>
      </c>
    </row>
    <row r="470" spans="1:20" x14ac:dyDescent="0.35">
      <c r="A470">
        <v>1469</v>
      </c>
      <c r="B470" t="s">
        <v>25</v>
      </c>
      <c r="C470" t="s">
        <v>32</v>
      </c>
      <c r="D470" t="s">
        <v>17</v>
      </c>
      <c r="E470">
        <v>28</v>
      </c>
      <c r="F470" t="s">
        <v>18</v>
      </c>
      <c r="G470" t="s">
        <v>55</v>
      </c>
      <c r="H470" t="s">
        <v>44</v>
      </c>
      <c r="I470" s="1">
        <v>33918</v>
      </c>
      <c r="J470" t="s">
        <v>644</v>
      </c>
      <c r="K470" t="s">
        <v>46</v>
      </c>
      <c r="L470">
        <v>19</v>
      </c>
      <c r="M470">
        <v>5</v>
      </c>
      <c r="N470" t="s">
        <v>23</v>
      </c>
      <c r="O470" t="s">
        <v>22</v>
      </c>
      <c r="P470" t="s">
        <v>645</v>
      </c>
      <c r="Q470" s="9" t="str">
        <f t="shared" si="15"/>
        <v>Valid</v>
      </c>
      <c r="R470">
        <v>91034022</v>
      </c>
      <c r="S470" s="7" t="str">
        <f t="shared" si="14"/>
        <v>Invalid</v>
      </c>
      <c r="T470" t="str">
        <f>IF(Table1[[#This Row],[Age]]&lt;25,"18-24",IF(Table1[[#This Row],[Age]]&lt;30,"25-29",IF(Table1[[#This Row],[Age]]&lt;35,"30-34",IF(Table1[[#This Row],[Age]]&lt;40,"35-39",IF(Table1[[#This Row],[Age]]&lt;50,"40-49","50+")))))</f>
        <v>25-29</v>
      </c>
    </row>
    <row r="471" spans="1:20" x14ac:dyDescent="0.35">
      <c r="A471">
        <v>1470</v>
      </c>
      <c r="B471" t="s">
        <v>54</v>
      </c>
      <c r="C471" t="s">
        <v>43</v>
      </c>
      <c r="D471" t="s">
        <v>27</v>
      </c>
      <c r="E471">
        <v>37</v>
      </c>
      <c r="F471" t="s">
        <v>69</v>
      </c>
      <c r="G471" t="s">
        <v>77</v>
      </c>
      <c r="H471" t="s">
        <v>28</v>
      </c>
      <c r="I471" s="1">
        <v>94383</v>
      </c>
      <c r="J471" t="s">
        <v>1598</v>
      </c>
      <c r="K471" t="s">
        <v>30</v>
      </c>
      <c r="L471">
        <v>9</v>
      </c>
      <c r="M471">
        <v>5</v>
      </c>
      <c r="N471" t="s">
        <v>23</v>
      </c>
      <c r="O471" t="s">
        <v>22</v>
      </c>
      <c r="P471" t="s">
        <v>646</v>
      </c>
      <c r="Q471" s="9" t="str">
        <f t="shared" si="15"/>
        <v>Valid</v>
      </c>
      <c r="R471">
        <v>9789560517</v>
      </c>
      <c r="S471" s="7" t="str">
        <f t="shared" si="14"/>
        <v>Valid</v>
      </c>
      <c r="T471" t="str">
        <f>IF(Table1[[#This Row],[Age]]&lt;25,"18-24",IF(Table1[[#This Row],[Age]]&lt;30,"25-29",IF(Table1[[#This Row],[Age]]&lt;35,"30-34",IF(Table1[[#This Row],[Age]]&lt;40,"35-39",IF(Table1[[#This Row],[Age]]&lt;50,"40-49","50+")))))</f>
        <v>35-39</v>
      </c>
    </row>
    <row r="472" spans="1:20" x14ac:dyDescent="0.35">
      <c r="A472">
        <v>1471</v>
      </c>
      <c r="B472" t="s">
        <v>67</v>
      </c>
      <c r="C472" t="s">
        <v>26</v>
      </c>
      <c r="D472" t="s">
        <v>27</v>
      </c>
      <c r="E472">
        <v>51</v>
      </c>
      <c r="F472" t="s">
        <v>62</v>
      </c>
      <c r="G472" t="s">
        <v>77</v>
      </c>
      <c r="H472" t="s">
        <v>44</v>
      </c>
      <c r="I472" s="1">
        <v>103074</v>
      </c>
      <c r="J472" t="s">
        <v>1599</v>
      </c>
      <c r="K472" t="s">
        <v>49</v>
      </c>
      <c r="L472">
        <v>2</v>
      </c>
      <c r="M472">
        <v>2</v>
      </c>
      <c r="N472" t="s">
        <v>23</v>
      </c>
      <c r="O472" t="s">
        <v>22</v>
      </c>
      <c r="P472" t="s">
        <v>647</v>
      </c>
      <c r="Q472" s="9" t="str">
        <f t="shared" si="15"/>
        <v>Valid</v>
      </c>
      <c r="R472">
        <v>9263363028</v>
      </c>
      <c r="S472" s="7" t="str">
        <f t="shared" si="14"/>
        <v>Valid</v>
      </c>
      <c r="T472" t="str">
        <f>IF(Table1[[#This Row],[Age]]&lt;25,"18-24",IF(Table1[[#This Row],[Age]]&lt;30,"25-29",IF(Table1[[#This Row],[Age]]&lt;35,"30-34",IF(Table1[[#This Row],[Age]]&lt;40,"35-39",IF(Table1[[#This Row],[Age]]&lt;50,"40-49","50+")))))</f>
        <v>50+</v>
      </c>
    </row>
    <row r="473" spans="1:20" x14ac:dyDescent="0.35">
      <c r="A473">
        <v>1472</v>
      </c>
      <c r="B473" t="s">
        <v>42</v>
      </c>
      <c r="C473" t="s">
        <v>32</v>
      </c>
      <c r="D473" t="s">
        <v>27</v>
      </c>
      <c r="E473">
        <v>30</v>
      </c>
      <c r="F473" t="s">
        <v>33</v>
      </c>
      <c r="G473" t="s">
        <v>39</v>
      </c>
      <c r="H473" t="s">
        <v>20</v>
      </c>
      <c r="I473" s="1">
        <v>70382</v>
      </c>
      <c r="J473" t="s">
        <v>1600</v>
      </c>
      <c r="K473" t="s">
        <v>40</v>
      </c>
      <c r="L473">
        <v>22</v>
      </c>
      <c r="M473">
        <v>2</v>
      </c>
      <c r="N473" t="s">
        <v>22</v>
      </c>
      <c r="O473" t="s">
        <v>22</v>
      </c>
      <c r="P473" t="s">
        <v>648</v>
      </c>
      <c r="Q473" s="9" t="str">
        <f t="shared" si="15"/>
        <v>Valid</v>
      </c>
      <c r="R473">
        <v>9017913291</v>
      </c>
      <c r="S473" s="7" t="str">
        <f t="shared" si="14"/>
        <v>Valid</v>
      </c>
      <c r="T473" t="str">
        <f>IF(Table1[[#This Row],[Age]]&lt;25,"18-24",IF(Table1[[#This Row],[Age]]&lt;30,"25-29",IF(Table1[[#This Row],[Age]]&lt;35,"30-34",IF(Table1[[#This Row],[Age]]&lt;40,"35-39",IF(Table1[[#This Row],[Age]]&lt;50,"40-49","50+")))))</f>
        <v>30-34</v>
      </c>
    </row>
    <row r="474" spans="1:20" x14ac:dyDescent="0.35">
      <c r="A474">
        <v>1473</v>
      </c>
      <c r="B474" t="s">
        <v>42</v>
      </c>
      <c r="C474" t="s">
        <v>26</v>
      </c>
      <c r="D474" t="s">
        <v>17</v>
      </c>
      <c r="E474">
        <v>47</v>
      </c>
      <c r="F474" t="s">
        <v>18</v>
      </c>
      <c r="G474" t="s">
        <v>19</v>
      </c>
      <c r="H474" t="s">
        <v>35</v>
      </c>
      <c r="I474" s="1">
        <v>66307</v>
      </c>
      <c r="J474" t="s">
        <v>649</v>
      </c>
      <c r="K474" t="s">
        <v>40</v>
      </c>
      <c r="L474">
        <v>4</v>
      </c>
      <c r="M474">
        <v>4</v>
      </c>
      <c r="N474" t="s">
        <v>22</v>
      </c>
      <c r="O474" t="s">
        <v>23</v>
      </c>
      <c r="P474" t="s">
        <v>650</v>
      </c>
      <c r="Q474" s="9" t="str">
        <f t="shared" si="15"/>
        <v>Valid</v>
      </c>
      <c r="R474">
        <v>9871753667</v>
      </c>
      <c r="S474" s="7" t="str">
        <f t="shared" si="14"/>
        <v>Valid</v>
      </c>
      <c r="T474" t="str">
        <f>IF(Table1[[#This Row],[Age]]&lt;25,"18-24",IF(Table1[[#This Row],[Age]]&lt;30,"25-29",IF(Table1[[#This Row],[Age]]&lt;35,"30-34",IF(Table1[[#This Row],[Age]]&lt;40,"35-39",IF(Table1[[#This Row],[Age]]&lt;50,"40-49","50+")))))</f>
        <v>40-49</v>
      </c>
    </row>
    <row r="475" spans="1:20" x14ac:dyDescent="0.35">
      <c r="A475">
        <v>1474</v>
      </c>
      <c r="B475" t="s">
        <v>82</v>
      </c>
      <c r="C475" t="s">
        <v>43</v>
      </c>
      <c r="D475" t="s">
        <v>17</v>
      </c>
      <c r="E475">
        <v>26</v>
      </c>
      <c r="F475" t="s">
        <v>18</v>
      </c>
      <c r="G475" t="s">
        <v>39</v>
      </c>
      <c r="H475" t="s">
        <v>56</v>
      </c>
      <c r="I475" s="1">
        <v>-60112</v>
      </c>
      <c r="J475" t="s">
        <v>1601</v>
      </c>
      <c r="K475" t="s">
        <v>40</v>
      </c>
      <c r="L475">
        <v>1</v>
      </c>
      <c r="M475">
        <v>4</v>
      </c>
      <c r="N475" t="s">
        <v>22</v>
      </c>
      <c r="O475" t="s">
        <v>22</v>
      </c>
      <c r="P475" t="s">
        <v>651</v>
      </c>
      <c r="Q475" s="9" t="str">
        <f t="shared" si="15"/>
        <v>Valid</v>
      </c>
      <c r="R475">
        <v>9768237318</v>
      </c>
      <c r="S475" s="7" t="str">
        <f t="shared" si="14"/>
        <v>Valid</v>
      </c>
      <c r="T475" t="str">
        <f>IF(Table1[[#This Row],[Age]]&lt;25,"18-24",IF(Table1[[#This Row],[Age]]&lt;30,"25-29",IF(Table1[[#This Row],[Age]]&lt;35,"30-34",IF(Table1[[#This Row],[Age]]&lt;40,"35-39",IF(Table1[[#This Row],[Age]]&lt;50,"40-49","50+")))))</f>
        <v>25-29</v>
      </c>
    </row>
    <row r="476" spans="1:20" x14ac:dyDescent="0.35">
      <c r="A476">
        <v>1475</v>
      </c>
      <c r="B476" t="s">
        <v>42</v>
      </c>
      <c r="C476" t="s">
        <v>32</v>
      </c>
      <c r="D476" t="s">
        <v>27</v>
      </c>
      <c r="E476">
        <v>32</v>
      </c>
      <c r="F476" t="s">
        <v>33</v>
      </c>
      <c r="G476" t="s">
        <v>34</v>
      </c>
      <c r="H476" t="s">
        <v>56</v>
      </c>
      <c r="I476" s="1">
        <v>113156</v>
      </c>
      <c r="J476" t="s">
        <v>652</v>
      </c>
      <c r="K476" t="s">
        <v>46</v>
      </c>
      <c r="L476">
        <v>6</v>
      </c>
      <c r="M476">
        <v>4</v>
      </c>
      <c r="N476" t="s">
        <v>23</v>
      </c>
      <c r="O476" t="s">
        <v>23</v>
      </c>
      <c r="P476" t="s">
        <v>653</v>
      </c>
      <c r="Q476" s="9" t="str">
        <f t="shared" si="15"/>
        <v>Valid</v>
      </c>
      <c r="R476">
        <v>9586765746</v>
      </c>
      <c r="S476" s="7" t="str">
        <f t="shared" si="14"/>
        <v>Valid</v>
      </c>
      <c r="T476" t="str">
        <f>IF(Table1[[#This Row],[Age]]&lt;25,"18-24",IF(Table1[[#This Row],[Age]]&lt;30,"25-29",IF(Table1[[#This Row],[Age]]&lt;35,"30-34",IF(Table1[[#This Row],[Age]]&lt;40,"35-39",IF(Table1[[#This Row],[Age]]&lt;50,"40-49","50+")))))</f>
        <v>30-34</v>
      </c>
    </row>
    <row r="477" spans="1:20" x14ac:dyDescent="0.35">
      <c r="A477">
        <v>1476</v>
      </c>
      <c r="B477" t="s">
        <v>82</v>
      </c>
      <c r="C477" t="s">
        <v>43</v>
      </c>
      <c r="D477" t="s">
        <v>17</v>
      </c>
      <c r="E477">
        <v>27</v>
      </c>
      <c r="F477" t="s">
        <v>38</v>
      </c>
      <c r="G477" t="s">
        <v>34</v>
      </c>
      <c r="H477" t="s">
        <v>56</v>
      </c>
      <c r="I477" s="1">
        <v>31181</v>
      </c>
      <c r="J477" t="s">
        <v>1602</v>
      </c>
      <c r="K477" t="s">
        <v>46</v>
      </c>
      <c r="L477">
        <v>9</v>
      </c>
      <c r="M477">
        <v>1</v>
      </c>
      <c r="N477" t="s">
        <v>23</v>
      </c>
      <c r="O477" t="s">
        <v>23</v>
      </c>
      <c r="P477" t="s">
        <v>654</v>
      </c>
      <c r="Q477" s="9" t="str">
        <f t="shared" si="15"/>
        <v>Valid</v>
      </c>
      <c r="R477">
        <v>9483361645</v>
      </c>
      <c r="S477" s="7" t="str">
        <f t="shared" si="14"/>
        <v>Valid</v>
      </c>
      <c r="T477" t="str">
        <f>IF(Table1[[#This Row],[Age]]&lt;25,"18-24",IF(Table1[[#This Row],[Age]]&lt;30,"25-29",IF(Table1[[#This Row],[Age]]&lt;35,"30-34",IF(Table1[[#This Row],[Age]]&lt;40,"35-39",IF(Table1[[#This Row],[Age]]&lt;50,"40-49","50+")))))</f>
        <v>25-29</v>
      </c>
    </row>
    <row r="478" spans="1:20" x14ac:dyDescent="0.35">
      <c r="A478">
        <v>1477</v>
      </c>
      <c r="B478" t="s">
        <v>64</v>
      </c>
      <c r="C478" t="s">
        <v>26</v>
      </c>
      <c r="D478" t="s">
        <v>17</v>
      </c>
      <c r="E478">
        <v>55</v>
      </c>
      <c r="F478" t="s">
        <v>33</v>
      </c>
      <c r="G478" t="s">
        <v>34</v>
      </c>
      <c r="H478" t="s">
        <v>28</v>
      </c>
      <c r="I478" s="1">
        <v>79827</v>
      </c>
      <c r="J478" t="s">
        <v>1603</v>
      </c>
      <c r="K478" t="s">
        <v>30</v>
      </c>
      <c r="L478">
        <v>14</v>
      </c>
      <c r="M478">
        <v>5</v>
      </c>
      <c r="N478" t="s">
        <v>23</v>
      </c>
      <c r="O478" t="s">
        <v>23</v>
      </c>
      <c r="P478" t="s">
        <v>655</v>
      </c>
      <c r="Q478" s="9" t="str">
        <f t="shared" si="15"/>
        <v>Valid</v>
      </c>
      <c r="R478">
        <v>9080220620</v>
      </c>
      <c r="S478" s="7" t="str">
        <f t="shared" si="14"/>
        <v>Valid</v>
      </c>
      <c r="T478" t="str">
        <f>IF(Table1[[#This Row],[Age]]&lt;25,"18-24",IF(Table1[[#This Row],[Age]]&lt;30,"25-29",IF(Table1[[#This Row],[Age]]&lt;35,"30-34",IF(Table1[[#This Row],[Age]]&lt;40,"35-39",IF(Table1[[#This Row],[Age]]&lt;50,"40-49","50+")))))</f>
        <v>50+</v>
      </c>
    </row>
    <row r="479" spans="1:20" x14ac:dyDescent="0.35">
      <c r="A479">
        <v>1478</v>
      </c>
      <c r="B479" t="s">
        <v>64</v>
      </c>
      <c r="C479" t="s">
        <v>16</v>
      </c>
      <c r="D479" t="s">
        <v>17</v>
      </c>
      <c r="E479">
        <v>30</v>
      </c>
      <c r="F479" t="s">
        <v>62</v>
      </c>
      <c r="G479" t="s">
        <v>19</v>
      </c>
      <c r="H479" t="s">
        <v>20</v>
      </c>
      <c r="I479" s="1">
        <v>117275</v>
      </c>
      <c r="J479" t="s">
        <v>1604</v>
      </c>
      <c r="K479" t="s">
        <v>46</v>
      </c>
      <c r="L479">
        <v>14</v>
      </c>
      <c r="M479">
        <v>1</v>
      </c>
      <c r="N479" t="s">
        <v>22</v>
      </c>
      <c r="O479" t="s">
        <v>23</v>
      </c>
      <c r="P479" t="s">
        <v>656</v>
      </c>
      <c r="Q479" s="9" t="str">
        <f t="shared" si="15"/>
        <v>Valid</v>
      </c>
      <c r="R479">
        <v>9688555071</v>
      </c>
      <c r="S479" s="7" t="str">
        <f t="shared" si="14"/>
        <v>Valid</v>
      </c>
      <c r="T479" t="str">
        <f>IF(Table1[[#This Row],[Age]]&lt;25,"18-24",IF(Table1[[#This Row],[Age]]&lt;30,"25-29",IF(Table1[[#This Row],[Age]]&lt;35,"30-34",IF(Table1[[#This Row],[Age]]&lt;40,"35-39",IF(Table1[[#This Row],[Age]]&lt;50,"40-49","50+")))))</f>
        <v>30-34</v>
      </c>
    </row>
    <row r="480" spans="1:20" x14ac:dyDescent="0.35">
      <c r="A480">
        <v>1479</v>
      </c>
      <c r="B480" t="s">
        <v>82</v>
      </c>
      <c r="C480" t="s">
        <v>32</v>
      </c>
      <c r="D480" t="s">
        <v>27</v>
      </c>
      <c r="E480">
        <v>25</v>
      </c>
      <c r="F480" t="s">
        <v>62</v>
      </c>
      <c r="G480" t="s">
        <v>77</v>
      </c>
      <c r="H480" t="s">
        <v>28</v>
      </c>
      <c r="I480" s="1">
        <v>32846</v>
      </c>
      <c r="J480" t="s">
        <v>657</v>
      </c>
      <c r="K480" t="s">
        <v>49</v>
      </c>
      <c r="L480">
        <v>6</v>
      </c>
      <c r="M480">
        <v>3</v>
      </c>
      <c r="N480" t="s">
        <v>23</v>
      </c>
      <c r="O480" t="s">
        <v>22</v>
      </c>
      <c r="P480" t="s">
        <v>658</v>
      </c>
      <c r="Q480" s="9" t="str">
        <f t="shared" si="15"/>
        <v>Valid</v>
      </c>
      <c r="R480">
        <v>9074755486</v>
      </c>
      <c r="S480" s="7" t="str">
        <f t="shared" si="14"/>
        <v>Valid</v>
      </c>
      <c r="T480" t="str">
        <f>IF(Table1[[#This Row],[Age]]&lt;25,"18-24",IF(Table1[[#This Row],[Age]]&lt;30,"25-29",IF(Table1[[#This Row],[Age]]&lt;35,"30-34",IF(Table1[[#This Row],[Age]]&lt;40,"35-39",IF(Table1[[#This Row],[Age]]&lt;50,"40-49","50+")))))</f>
        <v>25-29</v>
      </c>
    </row>
    <row r="481" spans="1:20" x14ac:dyDescent="0.35">
      <c r="A481">
        <v>1480</v>
      </c>
      <c r="B481" t="s">
        <v>42</v>
      </c>
      <c r="C481" t="s">
        <v>43</v>
      </c>
      <c r="D481" t="s">
        <v>27</v>
      </c>
      <c r="E481">
        <v>44</v>
      </c>
      <c r="F481" t="s">
        <v>18</v>
      </c>
      <c r="G481" t="s">
        <v>34</v>
      </c>
      <c r="H481" t="s">
        <v>35</v>
      </c>
      <c r="I481" s="1">
        <v>35776</v>
      </c>
      <c r="J481" t="s">
        <v>659</v>
      </c>
      <c r="K481" t="s">
        <v>46</v>
      </c>
      <c r="L481">
        <v>24</v>
      </c>
      <c r="M481">
        <v>2</v>
      </c>
      <c r="N481" t="s">
        <v>22</v>
      </c>
      <c r="O481" t="s">
        <v>22</v>
      </c>
      <c r="P481" t="s">
        <v>660</v>
      </c>
      <c r="Q481" s="9" t="str">
        <f t="shared" si="15"/>
        <v>Valid</v>
      </c>
      <c r="R481">
        <v>9865018721</v>
      </c>
      <c r="S481" s="7" t="str">
        <f t="shared" si="14"/>
        <v>Valid</v>
      </c>
      <c r="T481" t="str">
        <f>IF(Table1[[#This Row],[Age]]&lt;25,"18-24",IF(Table1[[#This Row],[Age]]&lt;30,"25-29",IF(Table1[[#This Row],[Age]]&lt;35,"30-34",IF(Table1[[#This Row],[Age]]&lt;40,"35-39",IF(Table1[[#This Row],[Age]]&lt;50,"40-49","50+")))))</f>
        <v>40-49</v>
      </c>
    </row>
    <row r="482" spans="1:20" x14ac:dyDescent="0.35">
      <c r="A482">
        <v>1481</v>
      </c>
      <c r="B482" t="s">
        <v>67</v>
      </c>
      <c r="C482" t="s">
        <v>32</v>
      </c>
      <c r="D482" t="s">
        <v>17</v>
      </c>
      <c r="E482">
        <v>31</v>
      </c>
      <c r="F482" t="s">
        <v>38</v>
      </c>
      <c r="G482" t="s">
        <v>39</v>
      </c>
      <c r="H482" t="s">
        <v>35</v>
      </c>
      <c r="I482" s="1">
        <v>94898</v>
      </c>
      <c r="J482" t="s">
        <v>1605</v>
      </c>
      <c r="K482" t="s">
        <v>21</v>
      </c>
      <c r="L482">
        <v>11</v>
      </c>
      <c r="M482">
        <v>3</v>
      </c>
      <c r="N482" t="s">
        <v>23</v>
      </c>
      <c r="O482" t="s">
        <v>22</v>
      </c>
      <c r="P482" t="s">
        <v>661</v>
      </c>
      <c r="Q482" s="9" t="str">
        <f t="shared" si="15"/>
        <v>Valid</v>
      </c>
      <c r="R482">
        <v>9996895210</v>
      </c>
      <c r="S482" s="7" t="str">
        <f t="shared" si="14"/>
        <v>Valid</v>
      </c>
      <c r="T482" t="str">
        <f>IF(Table1[[#This Row],[Age]]&lt;25,"18-24",IF(Table1[[#This Row],[Age]]&lt;30,"25-29",IF(Table1[[#This Row],[Age]]&lt;35,"30-34",IF(Table1[[#This Row],[Age]]&lt;40,"35-39",IF(Table1[[#This Row],[Age]]&lt;50,"40-49","50+")))))</f>
        <v>30-34</v>
      </c>
    </row>
    <row r="483" spans="1:20" x14ac:dyDescent="0.35">
      <c r="A483">
        <v>1482</v>
      </c>
      <c r="B483" t="s">
        <v>67</v>
      </c>
      <c r="C483" t="s">
        <v>16</v>
      </c>
      <c r="D483" t="s">
        <v>17</v>
      </c>
      <c r="E483">
        <v>28</v>
      </c>
      <c r="F483" t="s">
        <v>33</v>
      </c>
      <c r="G483" t="s">
        <v>55</v>
      </c>
      <c r="H483" t="s">
        <v>28</v>
      </c>
      <c r="I483" s="1">
        <v>57684</v>
      </c>
      <c r="J483" t="s">
        <v>662</v>
      </c>
      <c r="K483" t="s">
        <v>30</v>
      </c>
      <c r="L483">
        <v>11</v>
      </c>
      <c r="M483">
        <v>2</v>
      </c>
      <c r="N483" t="s">
        <v>23</v>
      </c>
      <c r="O483" t="s">
        <v>22</v>
      </c>
      <c r="P483" t="s">
        <v>663</v>
      </c>
      <c r="Q483" s="9" t="str">
        <f t="shared" si="15"/>
        <v>Valid</v>
      </c>
      <c r="R483">
        <v>9071819771</v>
      </c>
      <c r="S483" s="7" t="str">
        <f t="shared" si="14"/>
        <v>Valid</v>
      </c>
      <c r="T483" t="str">
        <f>IF(Table1[[#This Row],[Age]]&lt;25,"18-24",IF(Table1[[#This Row],[Age]]&lt;30,"25-29",IF(Table1[[#This Row],[Age]]&lt;35,"30-34",IF(Table1[[#This Row],[Age]]&lt;40,"35-39",IF(Table1[[#This Row],[Age]]&lt;50,"40-49","50+")))))</f>
        <v>25-29</v>
      </c>
    </row>
    <row r="484" spans="1:20" x14ac:dyDescent="0.35">
      <c r="A484">
        <v>1483</v>
      </c>
      <c r="B484" t="s">
        <v>67</v>
      </c>
      <c r="C484" t="s">
        <v>16</v>
      </c>
      <c r="D484" t="s">
        <v>17</v>
      </c>
      <c r="E484">
        <v>42</v>
      </c>
      <c r="F484" t="s">
        <v>18</v>
      </c>
      <c r="G484" t="s">
        <v>77</v>
      </c>
      <c r="H484" t="s">
        <v>28</v>
      </c>
      <c r="I484" s="1">
        <v>119703</v>
      </c>
      <c r="J484" t="s">
        <v>1606</v>
      </c>
      <c r="K484" t="s">
        <v>49</v>
      </c>
      <c r="L484">
        <v>5</v>
      </c>
      <c r="M484">
        <v>5</v>
      </c>
      <c r="N484" t="s">
        <v>22</v>
      </c>
      <c r="O484" t="s">
        <v>23</v>
      </c>
      <c r="P484" t="s">
        <v>664</v>
      </c>
      <c r="Q484" s="9" t="str">
        <f t="shared" si="15"/>
        <v>Valid</v>
      </c>
      <c r="R484">
        <v>9996588264</v>
      </c>
      <c r="S484" s="7" t="str">
        <f t="shared" si="14"/>
        <v>Valid</v>
      </c>
      <c r="T484" t="str">
        <f>IF(Table1[[#This Row],[Age]]&lt;25,"18-24",IF(Table1[[#This Row],[Age]]&lt;30,"25-29",IF(Table1[[#This Row],[Age]]&lt;35,"30-34",IF(Table1[[#This Row],[Age]]&lt;40,"35-39",IF(Table1[[#This Row],[Age]]&lt;50,"40-49","50+")))))</f>
        <v>40-49</v>
      </c>
    </row>
    <row r="485" spans="1:20" x14ac:dyDescent="0.35">
      <c r="A485">
        <v>1484</v>
      </c>
      <c r="B485" t="s">
        <v>37</v>
      </c>
      <c r="C485" t="s">
        <v>61</v>
      </c>
      <c r="D485" t="s">
        <v>17</v>
      </c>
      <c r="E485">
        <v>46</v>
      </c>
      <c r="F485" t="s">
        <v>69</v>
      </c>
      <c r="G485" t="s">
        <v>77</v>
      </c>
      <c r="H485" t="s">
        <v>35</v>
      </c>
      <c r="I485" s="1">
        <v>50214</v>
      </c>
      <c r="J485" t="s">
        <v>280</v>
      </c>
      <c r="K485" t="s">
        <v>40</v>
      </c>
      <c r="L485">
        <v>17</v>
      </c>
      <c r="M485">
        <v>1</v>
      </c>
      <c r="N485" t="s">
        <v>23</v>
      </c>
      <c r="O485" t="s">
        <v>22</v>
      </c>
      <c r="P485" t="s">
        <v>665</v>
      </c>
      <c r="Q485" s="9" t="str">
        <f t="shared" si="15"/>
        <v>Valid</v>
      </c>
      <c r="R485">
        <v>9688400074</v>
      </c>
      <c r="S485" s="7" t="str">
        <f t="shared" si="14"/>
        <v>Valid</v>
      </c>
      <c r="T485" t="str">
        <f>IF(Table1[[#This Row],[Age]]&lt;25,"18-24",IF(Table1[[#This Row],[Age]]&lt;30,"25-29",IF(Table1[[#This Row],[Age]]&lt;35,"30-34",IF(Table1[[#This Row],[Age]]&lt;40,"35-39",IF(Table1[[#This Row],[Age]]&lt;50,"40-49","50+")))))</f>
        <v>40-49</v>
      </c>
    </row>
    <row r="486" spans="1:20" x14ac:dyDescent="0.35">
      <c r="A486">
        <v>1485</v>
      </c>
      <c r="B486" t="s">
        <v>60</v>
      </c>
      <c r="C486" t="s">
        <v>26</v>
      </c>
      <c r="D486" t="s">
        <v>17</v>
      </c>
      <c r="E486">
        <v>57</v>
      </c>
      <c r="F486" t="s">
        <v>69</v>
      </c>
      <c r="G486" t="s">
        <v>55</v>
      </c>
      <c r="H486" t="s">
        <v>56</v>
      </c>
      <c r="I486" s="1">
        <v>90080</v>
      </c>
      <c r="J486" t="s">
        <v>1607</v>
      </c>
      <c r="K486" t="s">
        <v>40</v>
      </c>
      <c r="L486">
        <v>9</v>
      </c>
      <c r="M486">
        <v>2</v>
      </c>
      <c r="N486" t="s">
        <v>23</v>
      </c>
      <c r="O486" t="s">
        <v>23</v>
      </c>
      <c r="P486" t="s">
        <v>666</v>
      </c>
      <c r="Q486" s="9" t="str">
        <f t="shared" si="15"/>
        <v>Valid</v>
      </c>
      <c r="R486">
        <v>9765427721</v>
      </c>
      <c r="S486" s="7" t="str">
        <f t="shared" si="14"/>
        <v>Valid</v>
      </c>
      <c r="T486" t="str">
        <f>IF(Table1[[#This Row],[Age]]&lt;25,"18-24",IF(Table1[[#This Row],[Age]]&lt;30,"25-29",IF(Table1[[#This Row],[Age]]&lt;35,"30-34",IF(Table1[[#This Row],[Age]]&lt;40,"35-39",IF(Table1[[#This Row],[Age]]&lt;50,"40-49","50+")))))</f>
        <v>50+</v>
      </c>
    </row>
    <row r="487" spans="1:20" x14ac:dyDescent="0.35">
      <c r="A487">
        <v>1486</v>
      </c>
      <c r="B487" t="s">
        <v>42</v>
      </c>
      <c r="C487" t="s">
        <v>43</v>
      </c>
      <c r="D487" t="s">
        <v>27</v>
      </c>
      <c r="E487">
        <v>25</v>
      </c>
      <c r="F487" t="s">
        <v>62</v>
      </c>
      <c r="G487" t="s">
        <v>39</v>
      </c>
      <c r="H487" t="s">
        <v>20</v>
      </c>
      <c r="I487" s="1">
        <v>79833</v>
      </c>
      <c r="J487" t="s">
        <v>1368</v>
      </c>
      <c r="K487" t="s">
        <v>21</v>
      </c>
      <c r="L487">
        <v>9</v>
      </c>
      <c r="M487">
        <v>4</v>
      </c>
      <c r="N487" t="s">
        <v>23</v>
      </c>
      <c r="O487" t="s">
        <v>23</v>
      </c>
      <c r="P487" t="s">
        <v>667</v>
      </c>
      <c r="Q487" s="9" t="str">
        <f t="shared" si="15"/>
        <v>Valid</v>
      </c>
      <c r="R487">
        <v>9627492795</v>
      </c>
      <c r="S487" s="7" t="str">
        <f t="shared" si="14"/>
        <v>Valid</v>
      </c>
      <c r="T487" t="str">
        <f>IF(Table1[[#This Row],[Age]]&lt;25,"18-24",IF(Table1[[#This Row],[Age]]&lt;30,"25-29",IF(Table1[[#This Row],[Age]]&lt;35,"30-34",IF(Table1[[#This Row],[Age]]&lt;40,"35-39",IF(Table1[[#This Row],[Age]]&lt;50,"40-49","50+")))))</f>
        <v>25-29</v>
      </c>
    </row>
    <row r="488" spans="1:20" x14ac:dyDescent="0.35">
      <c r="A488">
        <v>1487</v>
      </c>
      <c r="B488" t="s">
        <v>58</v>
      </c>
      <c r="C488" t="s">
        <v>43</v>
      </c>
      <c r="D488" t="s">
        <v>27</v>
      </c>
      <c r="E488">
        <v>28</v>
      </c>
      <c r="F488" t="s">
        <v>38</v>
      </c>
      <c r="G488" t="s">
        <v>19</v>
      </c>
      <c r="H488" t="s">
        <v>56</v>
      </c>
      <c r="I488" s="1">
        <v>30409</v>
      </c>
      <c r="J488" t="s">
        <v>668</v>
      </c>
      <c r="K488" t="s">
        <v>46</v>
      </c>
      <c r="L488">
        <v>18</v>
      </c>
      <c r="M488">
        <v>2</v>
      </c>
      <c r="N488" t="s">
        <v>22</v>
      </c>
      <c r="O488" t="s">
        <v>23</v>
      </c>
      <c r="P488" t="s">
        <v>669</v>
      </c>
      <c r="Q488" s="9" t="str">
        <f t="shared" si="15"/>
        <v>Valid</v>
      </c>
      <c r="R488">
        <v>9995811930</v>
      </c>
      <c r="S488" s="7" t="str">
        <f t="shared" si="14"/>
        <v>Valid</v>
      </c>
      <c r="T488" t="str">
        <f>IF(Table1[[#This Row],[Age]]&lt;25,"18-24",IF(Table1[[#This Row],[Age]]&lt;30,"25-29",IF(Table1[[#This Row],[Age]]&lt;35,"30-34",IF(Table1[[#This Row],[Age]]&lt;40,"35-39",IF(Table1[[#This Row],[Age]]&lt;50,"40-49","50+")))))</f>
        <v>25-29</v>
      </c>
    </row>
    <row r="489" spans="1:20" x14ac:dyDescent="0.35">
      <c r="A489">
        <v>1488</v>
      </c>
      <c r="B489" t="s">
        <v>60</v>
      </c>
      <c r="C489" t="s">
        <v>32</v>
      </c>
      <c r="D489" t="s">
        <v>27</v>
      </c>
      <c r="E489">
        <v>55</v>
      </c>
      <c r="F489" t="s">
        <v>38</v>
      </c>
      <c r="G489" t="s">
        <v>77</v>
      </c>
      <c r="H489" t="s">
        <v>35</v>
      </c>
      <c r="I489" s="1">
        <v>91519</v>
      </c>
      <c r="J489" t="s">
        <v>1608</v>
      </c>
      <c r="K489" t="s">
        <v>46</v>
      </c>
      <c r="L489">
        <v>25</v>
      </c>
      <c r="M489">
        <v>5</v>
      </c>
      <c r="N489" t="s">
        <v>23</v>
      </c>
      <c r="O489" t="s">
        <v>22</v>
      </c>
      <c r="P489" t="s">
        <v>670</v>
      </c>
      <c r="Q489" s="9" t="str">
        <f t="shared" si="15"/>
        <v>Valid</v>
      </c>
      <c r="R489">
        <v>9461340339</v>
      </c>
      <c r="S489" s="7" t="str">
        <f t="shared" si="14"/>
        <v>Valid</v>
      </c>
      <c r="T489" t="str">
        <f>IF(Table1[[#This Row],[Age]]&lt;25,"18-24",IF(Table1[[#This Row],[Age]]&lt;30,"25-29",IF(Table1[[#This Row],[Age]]&lt;35,"30-34",IF(Table1[[#This Row],[Age]]&lt;40,"35-39",IF(Table1[[#This Row],[Age]]&lt;50,"40-49","50+")))))</f>
        <v>50+</v>
      </c>
    </row>
    <row r="490" spans="1:20" x14ac:dyDescent="0.35">
      <c r="A490">
        <v>1489</v>
      </c>
      <c r="B490" t="s">
        <v>82</v>
      </c>
      <c r="C490" t="s">
        <v>32</v>
      </c>
      <c r="D490" t="s">
        <v>17</v>
      </c>
      <c r="E490">
        <v>56</v>
      </c>
      <c r="F490" t="s">
        <v>33</v>
      </c>
      <c r="G490" t="s">
        <v>19</v>
      </c>
      <c r="H490" t="s">
        <v>20</v>
      </c>
      <c r="I490" s="1">
        <v>99613</v>
      </c>
      <c r="J490" t="s">
        <v>671</v>
      </c>
      <c r="K490" t="s">
        <v>49</v>
      </c>
      <c r="L490">
        <v>15</v>
      </c>
      <c r="M490">
        <v>3</v>
      </c>
      <c r="N490" t="s">
        <v>23</v>
      </c>
      <c r="O490" t="s">
        <v>22</v>
      </c>
      <c r="P490" t="s">
        <v>672</v>
      </c>
      <c r="Q490" s="9" t="str">
        <f t="shared" si="15"/>
        <v>Valid</v>
      </c>
      <c r="R490">
        <v>9866417012</v>
      </c>
      <c r="S490" s="7" t="str">
        <f t="shared" si="14"/>
        <v>Valid</v>
      </c>
      <c r="T490" t="str">
        <f>IF(Table1[[#This Row],[Age]]&lt;25,"18-24",IF(Table1[[#This Row],[Age]]&lt;30,"25-29",IF(Table1[[#This Row],[Age]]&lt;35,"30-34",IF(Table1[[#This Row],[Age]]&lt;40,"35-39",IF(Table1[[#This Row],[Age]]&lt;50,"40-49","50+")))))</f>
        <v>50+</v>
      </c>
    </row>
    <row r="491" spans="1:20" x14ac:dyDescent="0.35">
      <c r="A491">
        <v>1490</v>
      </c>
      <c r="B491" t="s">
        <v>67</v>
      </c>
      <c r="C491" t="s">
        <v>61</v>
      </c>
      <c r="D491" t="s">
        <v>27</v>
      </c>
      <c r="E491">
        <v>39</v>
      </c>
      <c r="F491" t="s">
        <v>62</v>
      </c>
      <c r="G491" t="s">
        <v>34</v>
      </c>
      <c r="H491" t="s">
        <v>28</v>
      </c>
      <c r="I491" s="1">
        <v>95228</v>
      </c>
      <c r="J491" t="s">
        <v>673</v>
      </c>
      <c r="K491" t="s">
        <v>40</v>
      </c>
      <c r="L491">
        <v>13</v>
      </c>
      <c r="M491">
        <v>1</v>
      </c>
      <c r="N491" t="s">
        <v>23</v>
      </c>
      <c r="O491" t="s">
        <v>23</v>
      </c>
      <c r="P491" t="s">
        <v>674</v>
      </c>
      <c r="Q491" s="9" t="str">
        <f t="shared" si="15"/>
        <v>Valid</v>
      </c>
      <c r="R491">
        <v>9677667340</v>
      </c>
      <c r="S491" s="7" t="str">
        <f t="shared" si="14"/>
        <v>Valid</v>
      </c>
      <c r="T491" t="str">
        <f>IF(Table1[[#This Row],[Age]]&lt;25,"18-24",IF(Table1[[#This Row],[Age]]&lt;30,"25-29",IF(Table1[[#This Row],[Age]]&lt;35,"30-34",IF(Table1[[#This Row],[Age]]&lt;40,"35-39",IF(Table1[[#This Row],[Age]]&lt;50,"40-49","50+")))))</f>
        <v>35-39</v>
      </c>
    </row>
    <row r="492" spans="1:20" x14ac:dyDescent="0.35">
      <c r="A492">
        <v>1491</v>
      </c>
      <c r="B492" t="s">
        <v>37</v>
      </c>
      <c r="C492" t="s">
        <v>61</v>
      </c>
      <c r="D492" t="s">
        <v>27</v>
      </c>
      <c r="E492">
        <v>50</v>
      </c>
      <c r="F492" t="s">
        <v>62</v>
      </c>
      <c r="G492" t="s">
        <v>77</v>
      </c>
      <c r="H492" t="s">
        <v>35</v>
      </c>
      <c r="I492" s="1">
        <v>26728</v>
      </c>
      <c r="J492" t="s">
        <v>1609</v>
      </c>
      <c r="K492" t="s">
        <v>40</v>
      </c>
      <c r="L492">
        <v>0</v>
      </c>
      <c r="M492">
        <v>5</v>
      </c>
      <c r="N492" t="s">
        <v>22</v>
      </c>
      <c r="O492" t="s">
        <v>23</v>
      </c>
      <c r="P492" t="s">
        <v>675</v>
      </c>
      <c r="Q492" s="9" t="str">
        <f t="shared" si="15"/>
        <v>Invalid</v>
      </c>
      <c r="R492">
        <v>9247190240</v>
      </c>
      <c r="S492" s="7" t="str">
        <f t="shared" si="14"/>
        <v>Valid</v>
      </c>
      <c r="T492" t="str">
        <f>IF(Table1[[#This Row],[Age]]&lt;25,"18-24",IF(Table1[[#This Row],[Age]]&lt;30,"25-29",IF(Table1[[#This Row],[Age]]&lt;35,"30-34",IF(Table1[[#This Row],[Age]]&lt;40,"35-39",IF(Table1[[#This Row],[Age]]&lt;50,"40-49","50+")))))</f>
        <v>50+</v>
      </c>
    </row>
    <row r="493" spans="1:20" x14ac:dyDescent="0.35">
      <c r="A493">
        <v>1492</v>
      </c>
      <c r="B493" t="s">
        <v>25</v>
      </c>
      <c r="C493" t="s">
        <v>61</v>
      </c>
      <c r="D493" t="s">
        <v>27</v>
      </c>
      <c r="E493">
        <v>40</v>
      </c>
      <c r="F493" t="s">
        <v>38</v>
      </c>
      <c r="G493" t="s">
        <v>34</v>
      </c>
      <c r="H493" t="s">
        <v>20</v>
      </c>
      <c r="I493" s="1">
        <v>87846</v>
      </c>
      <c r="J493" t="s">
        <v>1610</v>
      </c>
      <c r="K493" t="s">
        <v>30</v>
      </c>
      <c r="L493">
        <v>23</v>
      </c>
      <c r="M493">
        <v>1</v>
      </c>
      <c r="N493" t="s">
        <v>23</v>
      </c>
      <c r="O493" t="s">
        <v>23</v>
      </c>
      <c r="P493" t="s">
        <v>676</v>
      </c>
      <c r="Q493" s="9" t="str">
        <f t="shared" si="15"/>
        <v>Valid</v>
      </c>
      <c r="R493">
        <v>9179922386</v>
      </c>
      <c r="S493" s="7" t="str">
        <f t="shared" si="14"/>
        <v>Valid</v>
      </c>
      <c r="T493" t="str">
        <f>IF(Table1[[#This Row],[Age]]&lt;25,"18-24",IF(Table1[[#This Row],[Age]]&lt;30,"25-29",IF(Table1[[#This Row],[Age]]&lt;35,"30-34",IF(Table1[[#This Row],[Age]]&lt;40,"35-39",IF(Table1[[#This Row],[Age]]&lt;50,"40-49","50+")))))</f>
        <v>40-49</v>
      </c>
    </row>
    <row r="494" spans="1:20" x14ac:dyDescent="0.35">
      <c r="A494">
        <v>1493</v>
      </c>
      <c r="B494" t="s">
        <v>60</v>
      </c>
      <c r="C494" t="s">
        <v>61</v>
      </c>
      <c r="D494" t="s">
        <v>27</v>
      </c>
      <c r="E494">
        <v>33</v>
      </c>
      <c r="F494" t="s">
        <v>33</v>
      </c>
      <c r="G494" t="s">
        <v>55</v>
      </c>
      <c r="H494" t="s">
        <v>56</v>
      </c>
      <c r="I494" s="1">
        <v>37201</v>
      </c>
      <c r="J494" t="s">
        <v>677</v>
      </c>
      <c r="K494" t="s">
        <v>30</v>
      </c>
      <c r="L494">
        <v>11</v>
      </c>
      <c r="M494">
        <v>4</v>
      </c>
      <c r="N494" t="s">
        <v>22</v>
      </c>
      <c r="O494" t="s">
        <v>22</v>
      </c>
      <c r="P494" t="s">
        <v>678</v>
      </c>
      <c r="Q494" s="9" t="str">
        <f t="shared" si="15"/>
        <v>Valid</v>
      </c>
      <c r="R494">
        <v>9234427339</v>
      </c>
      <c r="S494" s="7" t="str">
        <f t="shared" si="14"/>
        <v>Valid</v>
      </c>
      <c r="T494" t="str">
        <f>IF(Table1[[#This Row],[Age]]&lt;25,"18-24",IF(Table1[[#This Row],[Age]]&lt;30,"25-29",IF(Table1[[#This Row],[Age]]&lt;35,"30-34",IF(Table1[[#This Row],[Age]]&lt;40,"35-39",IF(Table1[[#This Row],[Age]]&lt;50,"40-49","50+")))))</f>
        <v>30-34</v>
      </c>
    </row>
    <row r="495" spans="1:20" x14ac:dyDescent="0.35">
      <c r="A495">
        <v>1494</v>
      </c>
      <c r="B495" t="s">
        <v>54</v>
      </c>
      <c r="C495" t="s">
        <v>61</v>
      </c>
      <c r="D495" t="s">
        <v>17</v>
      </c>
      <c r="E495">
        <v>33</v>
      </c>
      <c r="F495" t="s">
        <v>33</v>
      </c>
      <c r="G495" t="s">
        <v>77</v>
      </c>
      <c r="H495" t="s">
        <v>28</v>
      </c>
      <c r="I495" s="1">
        <v>57313</v>
      </c>
      <c r="J495" t="s">
        <v>1611</v>
      </c>
      <c r="K495" t="s">
        <v>49</v>
      </c>
      <c r="L495">
        <v>4</v>
      </c>
      <c r="M495">
        <v>5</v>
      </c>
      <c r="N495" t="s">
        <v>22</v>
      </c>
      <c r="O495" t="s">
        <v>22</v>
      </c>
      <c r="P495" t="s">
        <v>679</v>
      </c>
      <c r="Q495" s="9" t="str">
        <f t="shared" si="15"/>
        <v>Valid</v>
      </c>
      <c r="R495">
        <v>9428671415</v>
      </c>
      <c r="S495" s="7" t="str">
        <f t="shared" si="14"/>
        <v>Valid</v>
      </c>
      <c r="T495" t="str">
        <f>IF(Table1[[#This Row],[Age]]&lt;25,"18-24",IF(Table1[[#This Row],[Age]]&lt;30,"25-29",IF(Table1[[#This Row],[Age]]&lt;35,"30-34",IF(Table1[[#This Row],[Age]]&lt;40,"35-39",IF(Table1[[#This Row],[Age]]&lt;50,"40-49","50+")))))</f>
        <v>30-34</v>
      </c>
    </row>
    <row r="496" spans="1:20" x14ac:dyDescent="0.35">
      <c r="A496">
        <v>1495</v>
      </c>
      <c r="B496" t="s">
        <v>25</v>
      </c>
      <c r="C496" t="s">
        <v>61</v>
      </c>
      <c r="D496" t="s">
        <v>27</v>
      </c>
      <c r="E496">
        <v>31</v>
      </c>
      <c r="F496" t="s">
        <v>33</v>
      </c>
      <c r="G496" t="s">
        <v>19</v>
      </c>
      <c r="H496" t="s">
        <v>28</v>
      </c>
      <c r="I496" s="1">
        <v>118568</v>
      </c>
      <c r="J496" t="s">
        <v>680</v>
      </c>
      <c r="K496" t="s">
        <v>30</v>
      </c>
      <c r="L496">
        <v>17</v>
      </c>
      <c r="M496">
        <v>4</v>
      </c>
      <c r="N496" t="s">
        <v>23</v>
      </c>
      <c r="O496" t="s">
        <v>22</v>
      </c>
      <c r="P496" t="s">
        <v>681</v>
      </c>
      <c r="Q496" s="9" t="str">
        <f t="shared" si="15"/>
        <v>Valid</v>
      </c>
      <c r="R496">
        <v>9085609722</v>
      </c>
      <c r="S496" s="7" t="str">
        <f t="shared" si="14"/>
        <v>Valid</v>
      </c>
      <c r="T496" t="str">
        <f>IF(Table1[[#This Row],[Age]]&lt;25,"18-24",IF(Table1[[#This Row],[Age]]&lt;30,"25-29",IF(Table1[[#This Row],[Age]]&lt;35,"30-34",IF(Table1[[#This Row],[Age]]&lt;40,"35-39",IF(Table1[[#This Row],[Age]]&lt;50,"40-49","50+")))))</f>
        <v>30-34</v>
      </c>
    </row>
    <row r="497" spans="1:20" x14ac:dyDescent="0.35">
      <c r="A497">
        <v>1496</v>
      </c>
      <c r="B497" t="s">
        <v>42</v>
      </c>
      <c r="C497" t="s">
        <v>26</v>
      </c>
      <c r="D497" t="s">
        <v>27</v>
      </c>
      <c r="E497">
        <v>37</v>
      </c>
      <c r="F497" t="s">
        <v>33</v>
      </c>
      <c r="G497" t="s">
        <v>34</v>
      </c>
      <c r="H497" t="s">
        <v>35</v>
      </c>
      <c r="I497" s="1">
        <v>25377</v>
      </c>
      <c r="J497" t="s">
        <v>682</v>
      </c>
      <c r="K497" t="s">
        <v>40</v>
      </c>
      <c r="L497">
        <v>18</v>
      </c>
      <c r="M497">
        <v>1</v>
      </c>
      <c r="N497" t="s">
        <v>22</v>
      </c>
      <c r="O497" t="s">
        <v>23</v>
      </c>
      <c r="P497" t="s">
        <v>683</v>
      </c>
      <c r="Q497" s="9" t="str">
        <f t="shared" si="15"/>
        <v>Valid</v>
      </c>
      <c r="R497">
        <v>9017726167</v>
      </c>
      <c r="S497" s="7" t="str">
        <f t="shared" si="14"/>
        <v>Valid</v>
      </c>
      <c r="T497" t="str">
        <f>IF(Table1[[#This Row],[Age]]&lt;25,"18-24",IF(Table1[[#This Row],[Age]]&lt;30,"25-29",IF(Table1[[#This Row],[Age]]&lt;35,"30-34",IF(Table1[[#This Row],[Age]]&lt;40,"35-39",IF(Table1[[#This Row],[Age]]&lt;50,"40-49","50+")))))</f>
        <v>35-39</v>
      </c>
    </row>
    <row r="498" spans="1:20" x14ac:dyDescent="0.35">
      <c r="A498">
        <v>1497</v>
      </c>
      <c r="B498" t="s">
        <v>37</v>
      </c>
      <c r="C498" t="s">
        <v>26</v>
      </c>
      <c r="D498" t="s">
        <v>17</v>
      </c>
      <c r="E498">
        <v>28</v>
      </c>
      <c r="F498" t="s">
        <v>69</v>
      </c>
      <c r="G498" t="s">
        <v>19</v>
      </c>
      <c r="H498" t="s">
        <v>56</v>
      </c>
      <c r="I498" s="1">
        <v>66804</v>
      </c>
      <c r="J498" t="s">
        <v>684</v>
      </c>
      <c r="K498" t="s">
        <v>40</v>
      </c>
      <c r="L498">
        <v>20</v>
      </c>
      <c r="M498">
        <v>5</v>
      </c>
      <c r="N498" t="s">
        <v>22</v>
      </c>
      <c r="O498" t="s">
        <v>22</v>
      </c>
      <c r="P498" t="s">
        <v>685</v>
      </c>
      <c r="Q498" s="9" t="str">
        <f t="shared" si="15"/>
        <v>Valid</v>
      </c>
      <c r="R498">
        <v>9404089383</v>
      </c>
      <c r="S498" s="7" t="str">
        <f t="shared" si="14"/>
        <v>Valid</v>
      </c>
      <c r="T498" t="str">
        <f>IF(Table1[[#This Row],[Age]]&lt;25,"18-24",IF(Table1[[#This Row],[Age]]&lt;30,"25-29",IF(Table1[[#This Row],[Age]]&lt;35,"30-34",IF(Table1[[#This Row],[Age]]&lt;40,"35-39",IF(Table1[[#This Row],[Age]]&lt;50,"40-49","50+")))))</f>
        <v>25-29</v>
      </c>
    </row>
    <row r="499" spans="1:20" x14ac:dyDescent="0.35">
      <c r="A499">
        <v>1498</v>
      </c>
      <c r="B499" t="s">
        <v>60</v>
      </c>
      <c r="C499" t="s">
        <v>32</v>
      </c>
      <c r="D499" t="s">
        <v>27</v>
      </c>
      <c r="E499">
        <v>40</v>
      </c>
      <c r="F499" t="s">
        <v>69</v>
      </c>
      <c r="G499" t="s">
        <v>55</v>
      </c>
      <c r="H499" t="s">
        <v>44</v>
      </c>
      <c r="I499" s="1">
        <v>49360</v>
      </c>
      <c r="J499" t="s">
        <v>1612</v>
      </c>
      <c r="K499" t="s">
        <v>30</v>
      </c>
      <c r="L499">
        <v>2</v>
      </c>
      <c r="M499">
        <v>4</v>
      </c>
      <c r="N499" t="s">
        <v>22</v>
      </c>
      <c r="O499" t="s">
        <v>22</v>
      </c>
      <c r="P499" t="s">
        <v>686</v>
      </c>
      <c r="Q499" s="9" t="str">
        <f t="shared" si="15"/>
        <v>Valid</v>
      </c>
      <c r="R499">
        <v>9075216357</v>
      </c>
      <c r="S499" s="7" t="str">
        <f t="shared" si="14"/>
        <v>Valid</v>
      </c>
      <c r="T499" t="str">
        <f>IF(Table1[[#This Row],[Age]]&lt;25,"18-24",IF(Table1[[#This Row],[Age]]&lt;30,"25-29",IF(Table1[[#This Row],[Age]]&lt;35,"30-34",IF(Table1[[#This Row],[Age]]&lt;40,"35-39",IF(Table1[[#This Row],[Age]]&lt;50,"40-49","50+")))))</f>
        <v>40-49</v>
      </c>
    </row>
    <row r="500" spans="1:20" x14ac:dyDescent="0.35">
      <c r="A500">
        <v>1499</v>
      </c>
      <c r="B500" t="s">
        <v>58</v>
      </c>
      <c r="C500" t="s">
        <v>43</v>
      </c>
      <c r="D500" t="s">
        <v>17</v>
      </c>
      <c r="E500">
        <v>28</v>
      </c>
      <c r="F500" t="s">
        <v>69</v>
      </c>
      <c r="G500" t="s">
        <v>39</v>
      </c>
      <c r="H500" t="s">
        <v>28</v>
      </c>
      <c r="I500" s="1">
        <v>84250</v>
      </c>
      <c r="J500" t="s">
        <v>310</v>
      </c>
      <c r="K500" t="s">
        <v>46</v>
      </c>
      <c r="L500">
        <v>11</v>
      </c>
      <c r="M500">
        <v>3</v>
      </c>
      <c r="N500" t="s">
        <v>23</v>
      </c>
      <c r="O500" t="s">
        <v>23</v>
      </c>
      <c r="P500" t="s">
        <v>687</v>
      </c>
      <c r="Q500" s="9" t="str">
        <f t="shared" si="15"/>
        <v>Valid</v>
      </c>
      <c r="R500">
        <v>9316501298</v>
      </c>
      <c r="S500" s="7" t="str">
        <f t="shared" si="14"/>
        <v>Valid</v>
      </c>
      <c r="T500" t="str">
        <f>IF(Table1[[#This Row],[Age]]&lt;25,"18-24",IF(Table1[[#This Row],[Age]]&lt;30,"25-29",IF(Table1[[#This Row],[Age]]&lt;35,"30-34",IF(Table1[[#This Row],[Age]]&lt;40,"35-39",IF(Table1[[#This Row],[Age]]&lt;50,"40-49","50+")))))</f>
        <v>25-29</v>
      </c>
    </row>
    <row r="501" spans="1:20" x14ac:dyDescent="0.35">
      <c r="A501">
        <v>1500</v>
      </c>
      <c r="B501" t="s">
        <v>58</v>
      </c>
      <c r="C501" t="s">
        <v>26</v>
      </c>
      <c r="D501" t="s">
        <v>17</v>
      </c>
      <c r="E501">
        <v>35</v>
      </c>
      <c r="F501" t="s">
        <v>62</v>
      </c>
      <c r="G501" t="s">
        <v>34</v>
      </c>
      <c r="H501" t="s">
        <v>20</v>
      </c>
      <c r="I501" s="1">
        <v>81900</v>
      </c>
      <c r="J501" t="s">
        <v>1613</v>
      </c>
      <c r="K501" t="s">
        <v>40</v>
      </c>
      <c r="L501">
        <v>8</v>
      </c>
      <c r="M501">
        <v>2</v>
      </c>
      <c r="N501" t="s">
        <v>23</v>
      </c>
      <c r="O501" t="s">
        <v>22</v>
      </c>
      <c r="P501" t="s">
        <v>688</v>
      </c>
      <c r="Q501" s="9" t="str">
        <f t="shared" si="15"/>
        <v>Valid</v>
      </c>
      <c r="R501">
        <v>9137773747</v>
      </c>
      <c r="S501" s="7" t="str">
        <f t="shared" si="14"/>
        <v>Valid</v>
      </c>
      <c r="T501" t="str">
        <f>IF(Table1[[#This Row],[Age]]&lt;25,"18-24",IF(Table1[[#This Row],[Age]]&lt;30,"25-29",IF(Table1[[#This Row],[Age]]&lt;35,"30-34",IF(Table1[[#This Row],[Age]]&lt;40,"35-39",IF(Table1[[#This Row],[Age]]&lt;50,"40-49","50+")))))</f>
        <v>35-39</v>
      </c>
    </row>
    <row r="502" spans="1:20" x14ac:dyDescent="0.35">
      <c r="A502">
        <v>1501</v>
      </c>
      <c r="B502" t="s">
        <v>58</v>
      </c>
      <c r="C502" t="s">
        <v>43</v>
      </c>
      <c r="D502" t="s">
        <v>27</v>
      </c>
      <c r="E502">
        <v>24</v>
      </c>
      <c r="F502" t="s">
        <v>33</v>
      </c>
      <c r="G502" t="s">
        <v>77</v>
      </c>
      <c r="H502" t="s">
        <v>56</v>
      </c>
      <c r="I502" s="1">
        <v>25346</v>
      </c>
      <c r="J502" t="s">
        <v>689</v>
      </c>
      <c r="K502" t="s">
        <v>49</v>
      </c>
      <c r="L502">
        <v>4</v>
      </c>
      <c r="M502">
        <v>3</v>
      </c>
      <c r="N502" t="s">
        <v>23</v>
      </c>
      <c r="O502" t="s">
        <v>23</v>
      </c>
      <c r="P502" s="3" t="s">
        <v>1318</v>
      </c>
      <c r="Q502" s="9" t="str">
        <f t="shared" si="15"/>
        <v>Invalid</v>
      </c>
      <c r="R502">
        <v>9121057609</v>
      </c>
      <c r="S502" s="7" t="str">
        <f t="shared" si="14"/>
        <v>Valid</v>
      </c>
      <c r="T502" t="str">
        <f>IF(Table1[[#This Row],[Age]]&lt;25,"18-24",IF(Table1[[#This Row],[Age]]&lt;30,"25-29",IF(Table1[[#This Row],[Age]]&lt;35,"30-34",IF(Table1[[#This Row],[Age]]&lt;40,"35-39",IF(Table1[[#This Row],[Age]]&lt;50,"40-49","50+")))))</f>
        <v>18-24</v>
      </c>
    </row>
    <row r="503" spans="1:20" x14ac:dyDescent="0.35">
      <c r="A503">
        <v>1502</v>
      </c>
      <c r="B503" t="s">
        <v>37</v>
      </c>
      <c r="C503" t="s">
        <v>16</v>
      </c>
      <c r="D503" t="s">
        <v>27</v>
      </c>
      <c r="E503">
        <v>53</v>
      </c>
      <c r="F503" t="s">
        <v>62</v>
      </c>
      <c r="G503" t="s">
        <v>77</v>
      </c>
      <c r="H503" t="s">
        <v>44</v>
      </c>
      <c r="I503" s="1">
        <v>66370</v>
      </c>
      <c r="J503" t="s">
        <v>690</v>
      </c>
      <c r="K503" t="s">
        <v>49</v>
      </c>
      <c r="L503">
        <v>18</v>
      </c>
      <c r="M503">
        <v>2</v>
      </c>
      <c r="N503" t="s">
        <v>22</v>
      </c>
      <c r="O503" t="s">
        <v>22</v>
      </c>
      <c r="P503" t="s">
        <v>691</v>
      </c>
      <c r="Q503" s="9" t="str">
        <f t="shared" si="15"/>
        <v>Valid</v>
      </c>
      <c r="R503">
        <v>9516739226</v>
      </c>
      <c r="S503" s="7" t="str">
        <f t="shared" si="14"/>
        <v>Valid</v>
      </c>
      <c r="T503" t="str">
        <f>IF(Table1[[#This Row],[Age]]&lt;25,"18-24",IF(Table1[[#This Row],[Age]]&lt;30,"25-29",IF(Table1[[#This Row],[Age]]&lt;35,"30-34",IF(Table1[[#This Row],[Age]]&lt;40,"35-39",IF(Table1[[#This Row],[Age]]&lt;50,"40-49","50+")))))</f>
        <v>50+</v>
      </c>
    </row>
    <row r="504" spans="1:20" x14ac:dyDescent="0.35">
      <c r="A504">
        <v>1503</v>
      </c>
      <c r="B504" t="s">
        <v>82</v>
      </c>
      <c r="C504" t="s">
        <v>26</v>
      </c>
      <c r="D504" t="s">
        <v>17</v>
      </c>
      <c r="E504">
        <v>41</v>
      </c>
      <c r="F504" t="s">
        <v>33</v>
      </c>
      <c r="G504" t="s">
        <v>19</v>
      </c>
      <c r="H504" t="s">
        <v>44</v>
      </c>
      <c r="I504" s="1">
        <v>96917</v>
      </c>
      <c r="J504" t="s">
        <v>692</v>
      </c>
      <c r="K504" t="s">
        <v>46</v>
      </c>
      <c r="L504">
        <v>2</v>
      </c>
      <c r="M504">
        <v>3</v>
      </c>
      <c r="N504" t="s">
        <v>22</v>
      </c>
      <c r="O504" t="s">
        <v>23</v>
      </c>
      <c r="P504" t="s">
        <v>693</v>
      </c>
      <c r="Q504" s="9" t="str">
        <f t="shared" si="15"/>
        <v>Valid</v>
      </c>
      <c r="R504">
        <v>9328395075</v>
      </c>
      <c r="S504" s="7" t="str">
        <f t="shared" si="14"/>
        <v>Valid</v>
      </c>
      <c r="T504" t="str">
        <f>IF(Table1[[#This Row],[Age]]&lt;25,"18-24",IF(Table1[[#This Row],[Age]]&lt;30,"25-29",IF(Table1[[#This Row],[Age]]&lt;35,"30-34",IF(Table1[[#This Row],[Age]]&lt;40,"35-39",IF(Table1[[#This Row],[Age]]&lt;50,"40-49","50+")))))</f>
        <v>40-49</v>
      </c>
    </row>
    <row r="505" spans="1:20" x14ac:dyDescent="0.35">
      <c r="A505">
        <v>1504</v>
      </c>
      <c r="B505" t="s">
        <v>60</v>
      </c>
      <c r="C505" t="s">
        <v>43</v>
      </c>
      <c r="D505" t="s">
        <v>27</v>
      </c>
      <c r="E505">
        <v>56</v>
      </c>
      <c r="F505" t="s">
        <v>38</v>
      </c>
      <c r="G505" t="s">
        <v>39</v>
      </c>
      <c r="H505" t="s">
        <v>44</v>
      </c>
      <c r="I505" s="1">
        <v>54375</v>
      </c>
      <c r="J505" t="s">
        <v>391</v>
      </c>
      <c r="K505" t="s">
        <v>21</v>
      </c>
      <c r="L505">
        <v>25</v>
      </c>
      <c r="M505">
        <v>1</v>
      </c>
      <c r="N505" t="s">
        <v>22</v>
      </c>
      <c r="O505" t="s">
        <v>22</v>
      </c>
      <c r="P505" t="s">
        <v>694</v>
      </c>
      <c r="Q505" s="9" t="str">
        <f t="shared" si="15"/>
        <v>Valid</v>
      </c>
      <c r="R505">
        <v>9483190059</v>
      </c>
      <c r="S505" s="7" t="str">
        <f t="shared" si="14"/>
        <v>Valid</v>
      </c>
      <c r="T505" t="str">
        <f>IF(Table1[[#This Row],[Age]]&lt;25,"18-24",IF(Table1[[#This Row],[Age]]&lt;30,"25-29",IF(Table1[[#This Row],[Age]]&lt;35,"30-34",IF(Table1[[#This Row],[Age]]&lt;40,"35-39",IF(Table1[[#This Row],[Age]]&lt;50,"40-49","50+")))))</f>
        <v>50+</v>
      </c>
    </row>
    <row r="506" spans="1:20" x14ac:dyDescent="0.35">
      <c r="A506">
        <v>1505</v>
      </c>
      <c r="B506" t="s">
        <v>82</v>
      </c>
      <c r="C506" t="s">
        <v>16</v>
      </c>
      <c r="D506" t="s">
        <v>17</v>
      </c>
      <c r="E506">
        <v>33</v>
      </c>
      <c r="F506" t="s">
        <v>62</v>
      </c>
      <c r="G506" t="s">
        <v>55</v>
      </c>
      <c r="H506" t="s">
        <v>28</v>
      </c>
      <c r="I506" s="1">
        <v>44246</v>
      </c>
      <c r="J506" t="s">
        <v>1614</v>
      </c>
      <c r="K506" t="s">
        <v>46</v>
      </c>
      <c r="L506">
        <v>13</v>
      </c>
      <c r="M506">
        <v>4</v>
      </c>
      <c r="N506" t="s">
        <v>23</v>
      </c>
      <c r="O506" t="s">
        <v>23</v>
      </c>
      <c r="P506" t="s">
        <v>695</v>
      </c>
      <c r="Q506" s="9" t="str">
        <f t="shared" si="15"/>
        <v>Valid</v>
      </c>
      <c r="R506">
        <v>9423441179</v>
      </c>
      <c r="S506" s="7" t="str">
        <f t="shared" si="14"/>
        <v>Valid</v>
      </c>
      <c r="T506" t="str">
        <f>IF(Table1[[#This Row],[Age]]&lt;25,"18-24",IF(Table1[[#This Row],[Age]]&lt;30,"25-29",IF(Table1[[#This Row],[Age]]&lt;35,"30-34",IF(Table1[[#This Row],[Age]]&lt;40,"35-39",IF(Table1[[#This Row],[Age]]&lt;50,"40-49","50+")))))</f>
        <v>30-34</v>
      </c>
    </row>
    <row r="507" spans="1:20" x14ac:dyDescent="0.35">
      <c r="A507">
        <v>1506</v>
      </c>
      <c r="B507" t="s">
        <v>60</v>
      </c>
      <c r="C507" t="s">
        <v>26</v>
      </c>
      <c r="D507" t="s">
        <v>27</v>
      </c>
      <c r="E507">
        <v>52</v>
      </c>
      <c r="F507" t="s">
        <v>38</v>
      </c>
      <c r="G507" t="s">
        <v>34</v>
      </c>
      <c r="H507" t="s">
        <v>44</v>
      </c>
      <c r="I507" s="1">
        <v>85819</v>
      </c>
      <c r="J507" t="s">
        <v>1615</v>
      </c>
      <c r="K507" t="s">
        <v>46</v>
      </c>
      <c r="L507">
        <v>19</v>
      </c>
      <c r="M507">
        <v>4</v>
      </c>
      <c r="N507" t="s">
        <v>23</v>
      </c>
      <c r="O507" t="s">
        <v>23</v>
      </c>
      <c r="P507" t="s">
        <v>696</v>
      </c>
      <c r="Q507" s="9" t="str">
        <f t="shared" si="15"/>
        <v>Valid</v>
      </c>
      <c r="R507">
        <v>9464883354</v>
      </c>
      <c r="S507" s="7" t="str">
        <f t="shared" si="14"/>
        <v>Valid</v>
      </c>
      <c r="T507" t="str">
        <f>IF(Table1[[#This Row],[Age]]&lt;25,"18-24",IF(Table1[[#This Row],[Age]]&lt;30,"25-29",IF(Table1[[#This Row],[Age]]&lt;35,"30-34",IF(Table1[[#This Row],[Age]]&lt;40,"35-39",IF(Table1[[#This Row],[Age]]&lt;50,"40-49","50+")))))</f>
        <v>50+</v>
      </c>
    </row>
    <row r="508" spans="1:20" x14ac:dyDescent="0.35">
      <c r="A508">
        <v>1507</v>
      </c>
      <c r="B508" t="s">
        <v>42</v>
      </c>
      <c r="C508" t="s">
        <v>32</v>
      </c>
      <c r="D508" t="s">
        <v>27</v>
      </c>
      <c r="E508">
        <v>25</v>
      </c>
      <c r="F508" t="s">
        <v>33</v>
      </c>
      <c r="G508" t="s">
        <v>19</v>
      </c>
      <c r="H508" t="s">
        <v>28</v>
      </c>
      <c r="I508" s="1">
        <v>96269</v>
      </c>
      <c r="J508" t="s">
        <v>1616</v>
      </c>
      <c r="K508" t="s">
        <v>30</v>
      </c>
      <c r="L508">
        <v>20</v>
      </c>
      <c r="M508">
        <v>2</v>
      </c>
      <c r="N508" t="s">
        <v>22</v>
      </c>
      <c r="O508" t="s">
        <v>22</v>
      </c>
      <c r="P508" t="s">
        <v>697</v>
      </c>
      <c r="Q508" s="9" t="str">
        <f t="shared" si="15"/>
        <v>Valid</v>
      </c>
      <c r="R508">
        <v>94046869</v>
      </c>
      <c r="S508" s="7" t="str">
        <f t="shared" si="14"/>
        <v>Invalid</v>
      </c>
      <c r="T508" t="str">
        <f>IF(Table1[[#This Row],[Age]]&lt;25,"18-24",IF(Table1[[#This Row],[Age]]&lt;30,"25-29",IF(Table1[[#This Row],[Age]]&lt;35,"30-34",IF(Table1[[#This Row],[Age]]&lt;40,"35-39",IF(Table1[[#This Row],[Age]]&lt;50,"40-49","50+")))))</f>
        <v>25-29</v>
      </c>
    </row>
    <row r="509" spans="1:20" x14ac:dyDescent="0.35">
      <c r="A509">
        <v>1508</v>
      </c>
      <c r="B509" t="s">
        <v>15</v>
      </c>
      <c r="C509" t="s">
        <v>16</v>
      </c>
      <c r="D509" t="s">
        <v>17</v>
      </c>
      <c r="E509">
        <v>32</v>
      </c>
      <c r="F509" t="s">
        <v>33</v>
      </c>
      <c r="G509" t="s">
        <v>39</v>
      </c>
      <c r="H509" t="s">
        <v>20</v>
      </c>
      <c r="I509" s="1">
        <v>81258</v>
      </c>
      <c r="J509" t="s">
        <v>1617</v>
      </c>
      <c r="K509" t="s">
        <v>40</v>
      </c>
      <c r="L509">
        <v>12</v>
      </c>
      <c r="M509">
        <v>5</v>
      </c>
      <c r="N509" t="s">
        <v>22</v>
      </c>
      <c r="O509" t="s">
        <v>23</v>
      </c>
      <c r="P509" t="s">
        <v>698</v>
      </c>
      <c r="Q509" s="9" t="str">
        <f t="shared" si="15"/>
        <v>Valid</v>
      </c>
      <c r="R509">
        <v>9181836332</v>
      </c>
      <c r="S509" s="7" t="str">
        <f t="shared" si="14"/>
        <v>Valid</v>
      </c>
      <c r="T509" t="str">
        <f>IF(Table1[[#This Row],[Age]]&lt;25,"18-24",IF(Table1[[#This Row],[Age]]&lt;30,"25-29",IF(Table1[[#This Row],[Age]]&lt;35,"30-34",IF(Table1[[#This Row],[Age]]&lt;40,"35-39",IF(Table1[[#This Row],[Age]]&lt;50,"40-49","50+")))))</f>
        <v>30-34</v>
      </c>
    </row>
    <row r="510" spans="1:20" x14ac:dyDescent="0.35">
      <c r="A510">
        <v>1509</v>
      </c>
      <c r="B510" t="s">
        <v>60</v>
      </c>
      <c r="C510" t="s">
        <v>26</v>
      </c>
      <c r="D510" t="s">
        <v>17</v>
      </c>
      <c r="E510">
        <v>29</v>
      </c>
      <c r="F510" t="s">
        <v>18</v>
      </c>
      <c r="G510" t="s">
        <v>19</v>
      </c>
      <c r="H510" t="s">
        <v>28</v>
      </c>
      <c r="I510" s="1">
        <v>41338</v>
      </c>
      <c r="J510" t="s">
        <v>1618</v>
      </c>
      <c r="K510" t="s">
        <v>46</v>
      </c>
      <c r="L510">
        <v>24</v>
      </c>
      <c r="M510">
        <v>3</v>
      </c>
      <c r="N510" t="s">
        <v>23</v>
      </c>
      <c r="O510" t="s">
        <v>22</v>
      </c>
      <c r="P510" t="s">
        <v>699</v>
      </c>
      <c r="Q510" s="9" t="str">
        <f t="shared" si="15"/>
        <v>Valid</v>
      </c>
      <c r="R510">
        <v>9396959289</v>
      </c>
      <c r="S510" s="7" t="str">
        <f t="shared" si="14"/>
        <v>Valid</v>
      </c>
      <c r="T510" t="str">
        <f>IF(Table1[[#This Row],[Age]]&lt;25,"18-24",IF(Table1[[#This Row],[Age]]&lt;30,"25-29",IF(Table1[[#This Row],[Age]]&lt;35,"30-34",IF(Table1[[#This Row],[Age]]&lt;40,"35-39",IF(Table1[[#This Row],[Age]]&lt;50,"40-49","50+")))))</f>
        <v>25-29</v>
      </c>
    </row>
    <row r="511" spans="1:20" x14ac:dyDescent="0.35">
      <c r="A511">
        <v>1510</v>
      </c>
      <c r="B511" t="s">
        <v>15</v>
      </c>
      <c r="C511" t="s">
        <v>61</v>
      </c>
      <c r="D511" t="s">
        <v>27</v>
      </c>
      <c r="E511">
        <v>47</v>
      </c>
      <c r="F511" t="s">
        <v>33</v>
      </c>
      <c r="G511" t="s">
        <v>19</v>
      </c>
      <c r="H511" t="s">
        <v>56</v>
      </c>
      <c r="I511" s="1">
        <v>48382</v>
      </c>
      <c r="J511" t="s">
        <v>700</v>
      </c>
      <c r="K511" t="s">
        <v>40</v>
      </c>
      <c r="L511">
        <v>20</v>
      </c>
      <c r="M511">
        <v>3</v>
      </c>
      <c r="N511" t="s">
        <v>22</v>
      </c>
      <c r="O511" t="s">
        <v>22</v>
      </c>
      <c r="P511" t="s">
        <v>701</v>
      </c>
      <c r="Q511" s="9" t="str">
        <f t="shared" si="15"/>
        <v>Valid</v>
      </c>
      <c r="R511">
        <v>9770173886</v>
      </c>
      <c r="S511" s="7" t="str">
        <f t="shared" si="14"/>
        <v>Valid</v>
      </c>
      <c r="T511" t="str">
        <f>IF(Table1[[#This Row],[Age]]&lt;25,"18-24",IF(Table1[[#This Row],[Age]]&lt;30,"25-29",IF(Table1[[#This Row],[Age]]&lt;35,"30-34",IF(Table1[[#This Row],[Age]]&lt;40,"35-39",IF(Table1[[#This Row],[Age]]&lt;50,"40-49","50+")))))</f>
        <v>40-49</v>
      </c>
    </row>
    <row r="512" spans="1:20" x14ac:dyDescent="0.35">
      <c r="A512">
        <v>1511</v>
      </c>
      <c r="B512" t="s">
        <v>54</v>
      </c>
      <c r="C512" t="s">
        <v>61</v>
      </c>
      <c r="D512" t="s">
        <v>27</v>
      </c>
      <c r="E512">
        <v>50</v>
      </c>
      <c r="F512" t="s">
        <v>38</v>
      </c>
      <c r="G512" t="s">
        <v>34</v>
      </c>
      <c r="H512" t="s">
        <v>28</v>
      </c>
      <c r="I512" s="1">
        <v>115627</v>
      </c>
      <c r="J512" t="s">
        <v>702</v>
      </c>
      <c r="K512" t="s">
        <v>30</v>
      </c>
      <c r="L512">
        <v>3</v>
      </c>
      <c r="M512">
        <v>3</v>
      </c>
      <c r="N512" t="s">
        <v>22</v>
      </c>
      <c r="O512" t="s">
        <v>22</v>
      </c>
      <c r="P512" t="s">
        <v>703</v>
      </c>
      <c r="Q512" s="9" t="str">
        <f t="shared" si="15"/>
        <v>Valid</v>
      </c>
      <c r="R512">
        <v>9966428680</v>
      </c>
      <c r="S512" s="7" t="str">
        <f t="shared" si="14"/>
        <v>Valid</v>
      </c>
      <c r="T512" t="str">
        <f>IF(Table1[[#This Row],[Age]]&lt;25,"18-24",IF(Table1[[#This Row],[Age]]&lt;30,"25-29",IF(Table1[[#This Row],[Age]]&lt;35,"30-34",IF(Table1[[#This Row],[Age]]&lt;40,"35-39",IF(Table1[[#This Row],[Age]]&lt;50,"40-49","50+")))))</f>
        <v>50+</v>
      </c>
    </row>
    <row r="513" spans="1:20" x14ac:dyDescent="0.35">
      <c r="A513">
        <v>1512</v>
      </c>
      <c r="B513" t="s">
        <v>54</v>
      </c>
      <c r="C513" t="s">
        <v>43</v>
      </c>
      <c r="D513" t="s">
        <v>27</v>
      </c>
      <c r="E513">
        <v>50</v>
      </c>
      <c r="F513" t="s">
        <v>33</v>
      </c>
      <c r="G513" t="s">
        <v>34</v>
      </c>
      <c r="H513" t="s">
        <v>44</v>
      </c>
      <c r="I513" s="1">
        <v>26598</v>
      </c>
      <c r="J513" t="s">
        <v>1619</v>
      </c>
      <c r="K513" t="s">
        <v>40</v>
      </c>
      <c r="L513">
        <v>10</v>
      </c>
      <c r="M513">
        <v>1</v>
      </c>
      <c r="N513" t="s">
        <v>22</v>
      </c>
      <c r="O513" t="s">
        <v>23</v>
      </c>
      <c r="P513" t="s">
        <v>704</v>
      </c>
      <c r="Q513" s="9" t="str">
        <f t="shared" si="15"/>
        <v>Valid</v>
      </c>
      <c r="R513">
        <v>9746899470</v>
      </c>
      <c r="S513" s="7" t="str">
        <f t="shared" si="14"/>
        <v>Valid</v>
      </c>
      <c r="T513" t="str">
        <f>IF(Table1[[#This Row],[Age]]&lt;25,"18-24",IF(Table1[[#This Row],[Age]]&lt;30,"25-29",IF(Table1[[#This Row],[Age]]&lt;35,"30-34",IF(Table1[[#This Row],[Age]]&lt;40,"35-39",IF(Table1[[#This Row],[Age]]&lt;50,"40-49","50+")))))</f>
        <v>50+</v>
      </c>
    </row>
    <row r="514" spans="1:20" x14ac:dyDescent="0.35">
      <c r="A514">
        <v>1513</v>
      </c>
      <c r="B514" t="s">
        <v>15</v>
      </c>
      <c r="C514" t="s">
        <v>26</v>
      </c>
      <c r="D514" t="s">
        <v>27</v>
      </c>
      <c r="E514">
        <v>42</v>
      </c>
      <c r="F514" t="s">
        <v>33</v>
      </c>
      <c r="G514" t="s">
        <v>34</v>
      </c>
      <c r="H514" t="s">
        <v>20</v>
      </c>
      <c r="I514" s="1">
        <v>62041</v>
      </c>
      <c r="J514" t="s">
        <v>574</v>
      </c>
      <c r="K514" t="s">
        <v>46</v>
      </c>
      <c r="L514">
        <v>22</v>
      </c>
      <c r="M514">
        <v>2</v>
      </c>
      <c r="N514" t="s">
        <v>22</v>
      </c>
      <c r="O514" t="s">
        <v>22</v>
      </c>
      <c r="P514" t="s">
        <v>705</v>
      </c>
      <c r="Q514" s="9" t="str">
        <f t="shared" si="15"/>
        <v>Valid</v>
      </c>
      <c r="R514">
        <v>9093561751</v>
      </c>
      <c r="S514" s="7" t="str">
        <f t="shared" ref="S514:S577" si="16">IF(AND(ISNUMBER(R514),LEN(R514)=10),"Valid","Invalid")</f>
        <v>Valid</v>
      </c>
      <c r="T514" t="str">
        <f>IF(Table1[[#This Row],[Age]]&lt;25,"18-24",IF(Table1[[#This Row],[Age]]&lt;30,"25-29",IF(Table1[[#This Row],[Age]]&lt;35,"30-34",IF(Table1[[#This Row],[Age]]&lt;40,"35-39",IF(Table1[[#This Row],[Age]]&lt;50,"40-49","50+")))))</f>
        <v>40-49</v>
      </c>
    </row>
    <row r="515" spans="1:20" x14ac:dyDescent="0.35">
      <c r="A515">
        <v>1514</v>
      </c>
      <c r="B515" t="s">
        <v>67</v>
      </c>
      <c r="C515" t="s">
        <v>26</v>
      </c>
      <c r="D515" t="s">
        <v>27</v>
      </c>
      <c r="E515">
        <v>38</v>
      </c>
      <c r="F515" t="s">
        <v>62</v>
      </c>
      <c r="G515" t="s">
        <v>39</v>
      </c>
      <c r="H515" t="s">
        <v>35</v>
      </c>
      <c r="I515" s="1">
        <v>106652</v>
      </c>
      <c r="J515" t="s">
        <v>1620</v>
      </c>
      <c r="K515" t="s">
        <v>40</v>
      </c>
      <c r="L515">
        <v>24</v>
      </c>
      <c r="M515">
        <v>2</v>
      </c>
      <c r="N515" t="s">
        <v>22</v>
      </c>
      <c r="O515" t="s">
        <v>22</v>
      </c>
      <c r="P515" t="s">
        <v>706</v>
      </c>
      <c r="Q515" s="9" t="str">
        <f t="shared" ref="Q515:Q578" si="17">IF(AND(ISNUMBER(SEARCH("@",P515)),ISNUMBER(SEARCH(".",P515))),"Valid","Invalid")</f>
        <v>Valid</v>
      </c>
      <c r="R515">
        <v>9574411769</v>
      </c>
      <c r="S515" s="7" t="str">
        <f t="shared" si="16"/>
        <v>Valid</v>
      </c>
      <c r="T515" t="str">
        <f>IF(Table1[[#This Row],[Age]]&lt;25,"18-24",IF(Table1[[#This Row],[Age]]&lt;30,"25-29",IF(Table1[[#This Row],[Age]]&lt;35,"30-34",IF(Table1[[#This Row],[Age]]&lt;40,"35-39",IF(Table1[[#This Row],[Age]]&lt;50,"40-49","50+")))))</f>
        <v>35-39</v>
      </c>
    </row>
    <row r="516" spans="1:20" x14ac:dyDescent="0.35">
      <c r="A516">
        <v>1515</v>
      </c>
      <c r="B516" t="s">
        <v>82</v>
      </c>
      <c r="C516" t="s">
        <v>16</v>
      </c>
      <c r="D516" t="s">
        <v>17</v>
      </c>
      <c r="E516">
        <v>33</v>
      </c>
      <c r="F516" t="s">
        <v>38</v>
      </c>
      <c r="G516" t="s">
        <v>77</v>
      </c>
      <c r="H516" t="s">
        <v>28</v>
      </c>
      <c r="I516" s="1">
        <v>40258</v>
      </c>
      <c r="J516" t="s">
        <v>707</v>
      </c>
      <c r="K516" t="s">
        <v>40</v>
      </c>
      <c r="L516">
        <v>1</v>
      </c>
      <c r="M516">
        <v>3</v>
      </c>
      <c r="N516" t="s">
        <v>22</v>
      </c>
      <c r="O516" t="s">
        <v>23</v>
      </c>
      <c r="P516" t="s">
        <v>708</v>
      </c>
      <c r="Q516" s="9" t="str">
        <f t="shared" si="17"/>
        <v>Valid</v>
      </c>
      <c r="R516">
        <v>9492119109</v>
      </c>
      <c r="S516" s="7" t="str">
        <f t="shared" si="16"/>
        <v>Valid</v>
      </c>
      <c r="T516" t="str">
        <f>IF(Table1[[#This Row],[Age]]&lt;25,"18-24",IF(Table1[[#This Row],[Age]]&lt;30,"25-29",IF(Table1[[#This Row],[Age]]&lt;35,"30-34",IF(Table1[[#This Row],[Age]]&lt;40,"35-39",IF(Table1[[#This Row],[Age]]&lt;50,"40-49","50+")))))</f>
        <v>30-34</v>
      </c>
    </row>
    <row r="517" spans="1:20" x14ac:dyDescent="0.35">
      <c r="A517">
        <v>1516</v>
      </c>
      <c r="B517" t="s">
        <v>58</v>
      </c>
      <c r="C517" t="s">
        <v>43</v>
      </c>
      <c r="D517" t="s">
        <v>27</v>
      </c>
      <c r="E517">
        <v>22</v>
      </c>
      <c r="F517" t="s">
        <v>62</v>
      </c>
      <c r="G517" t="s">
        <v>39</v>
      </c>
      <c r="H517" t="s">
        <v>56</v>
      </c>
      <c r="I517" s="1">
        <v>115500</v>
      </c>
      <c r="J517" t="s">
        <v>709</v>
      </c>
      <c r="K517" t="s">
        <v>46</v>
      </c>
      <c r="L517">
        <v>9</v>
      </c>
      <c r="M517">
        <v>4</v>
      </c>
      <c r="N517" t="s">
        <v>23</v>
      </c>
      <c r="O517" t="s">
        <v>22</v>
      </c>
      <c r="P517" t="s">
        <v>710</v>
      </c>
      <c r="Q517" s="9" t="str">
        <f t="shared" si="17"/>
        <v>Valid</v>
      </c>
      <c r="R517">
        <v>9017103742</v>
      </c>
      <c r="S517" s="7" t="str">
        <f t="shared" si="16"/>
        <v>Valid</v>
      </c>
      <c r="T517" t="str">
        <f>IF(Table1[[#This Row],[Age]]&lt;25,"18-24",IF(Table1[[#This Row],[Age]]&lt;30,"25-29",IF(Table1[[#This Row],[Age]]&lt;35,"30-34",IF(Table1[[#This Row],[Age]]&lt;40,"35-39",IF(Table1[[#This Row],[Age]]&lt;50,"40-49","50+")))))</f>
        <v>18-24</v>
      </c>
    </row>
    <row r="518" spans="1:20" x14ac:dyDescent="0.35">
      <c r="A518">
        <v>1517</v>
      </c>
      <c r="B518" t="s">
        <v>37</v>
      </c>
      <c r="C518" t="s">
        <v>43</v>
      </c>
      <c r="D518" t="s">
        <v>27</v>
      </c>
      <c r="E518">
        <v>27</v>
      </c>
      <c r="F518" t="s">
        <v>18</v>
      </c>
      <c r="G518" t="s">
        <v>77</v>
      </c>
      <c r="H518" t="s">
        <v>20</v>
      </c>
      <c r="I518" s="1">
        <v>40640</v>
      </c>
      <c r="J518" t="s">
        <v>1621</v>
      </c>
      <c r="K518" t="s">
        <v>40</v>
      </c>
      <c r="L518">
        <v>16</v>
      </c>
      <c r="M518">
        <v>4</v>
      </c>
      <c r="N518" t="s">
        <v>22</v>
      </c>
      <c r="O518" t="s">
        <v>22</v>
      </c>
      <c r="P518" t="s">
        <v>711</v>
      </c>
      <c r="Q518" s="9" t="str">
        <f t="shared" si="17"/>
        <v>Invalid</v>
      </c>
      <c r="R518">
        <v>9927369614</v>
      </c>
      <c r="S518" s="7" t="str">
        <f t="shared" si="16"/>
        <v>Valid</v>
      </c>
      <c r="T518" t="str">
        <f>IF(Table1[[#This Row],[Age]]&lt;25,"18-24",IF(Table1[[#This Row],[Age]]&lt;30,"25-29",IF(Table1[[#This Row],[Age]]&lt;35,"30-34",IF(Table1[[#This Row],[Age]]&lt;40,"35-39",IF(Table1[[#This Row],[Age]]&lt;50,"40-49","50+")))))</f>
        <v>25-29</v>
      </c>
    </row>
    <row r="519" spans="1:20" x14ac:dyDescent="0.35">
      <c r="A519">
        <v>1518</v>
      </c>
      <c r="B519" t="s">
        <v>15</v>
      </c>
      <c r="C519" t="s">
        <v>61</v>
      </c>
      <c r="D519" t="s">
        <v>27</v>
      </c>
      <c r="E519">
        <v>66</v>
      </c>
      <c r="F519" t="s">
        <v>18</v>
      </c>
      <c r="G519" t="s">
        <v>34</v>
      </c>
      <c r="H519" t="s">
        <v>20</v>
      </c>
      <c r="I519" s="1">
        <v>50131</v>
      </c>
      <c r="J519" t="s">
        <v>1237</v>
      </c>
      <c r="K519" t="s">
        <v>21</v>
      </c>
      <c r="L519">
        <v>14</v>
      </c>
      <c r="M519">
        <v>1</v>
      </c>
      <c r="N519" t="s">
        <v>22</v>
      </c>
      <c r="O519" t="s">
        <v>22</v>
      </c>
      <c r="P519" t="s">
        <v>712</v>
      </c>
      <c r="Q519" s="9" t="str">
        <f t="shared" si="17"/>
        <v>Valid</v>
      </c>
      <c r="R519">
        <v>9818353928</v>
      </c>
      <c r="S519" s="7" t="str">
        <f t="shared" si="16"/>
        <v>Valid</v>
      </c>
      <c r="T519" t="str">
        <f>IF(Table1[[#This Row],[Age]]&lt;25,"18-24",IF(Table1[[#This Row],[Age]]&lt;30,"25-29",IF(Table1[[#This Row],[Age]]&lt;35,"30-34",IF(Table1[[#This Row],[Age]]&lt;40,"35-39",IF(Table1[[#This Row],[Age]]&lt;50,"40-49","50+")))))</f>
        <v>50+</v>
      </c>
    </row>
    <row r="520" spans="1:20" x14ac:dyDescent="0.35">
      <c r="A520">
        <v>1519</v>
      </c>
      <c r="B520" t="s">
        <v>25</v>
      </c>
      <c r="C520" t="s">
        <v>26</v>
      </c>
      <c r="D520" t="s">
        <v>17</v>
      </c>
      <c r="E520">
        <v>38</v>
      </c>
      <c r="F520" t="s">
        <v>69</v>
      </c>
      <c r="G520" t="s">
        <v>39</v>
      </c>
      <c r="H520" t="s">
        <v>20</v>
      </c>
      <c r="I520" s="2" t="s">
        <v>1316</v>
      </c>
      <c r="J520" t="s">
        <v>1622</v>
      </c>
      <c r="K520" t="s">
        <v>40</v>
      </c>
      <c r="L520">
        <v>3</v>
      </c>
      <c r="M520">
        <v>5</v>
      </c>
      <c r="N520" t="s">
        <v>22</v>
      </c>
      <c r="O520" t="s">
        <v>22</v>
      </c>
      <c r="P520" t="s">
        <v>713</v>
      </c>
      <c r="Q520" s="9" t="str">
        <f t="shared" si="17"/>
        <v>Valid</v>
      </c>
      <c r="R520">
        <v>9389346810</v>
      </c>
      <c r="S520" s="7" t="str">
        <f t="shared" si="16"/>
        <v>Valid</v>
      </c>
      <c r="T520" t="str">
        <f>IF(Table1[[#This Row],[Age]]&lt;25,"18-24",IF(Table1[[#This Row],[Age]]&lt;30,"25-29",IF(Table1[[#This Row],[Age]]&lt;35,"30-34",IF(Table1[[#This Row],[Age]]&lt;40,"35-39",IF(Table1[[#This Row],[Age]]&lt;50,"40-49","50+")))))</f>
        <v>35-39</v>
      </c>
    </row>
    <row r="521" spans="1:20" x14ac:dyDescent="0.35">
      <c r="A521">
        <v>1520</v>
      </c>
      <c r="B521" t="s">
        <v>25</v>
      </c>
      <c r="C521" t="s">
        <v>16</v>
      </c>
      <c r="D521" t="s">
        <v>17</v>
      </c>
      <c r="E521">
        <v>56</v>
      </c>
      <c r="F521" t="s">
        <v>18</v>
      </c>
      <c r="G521" t="s">
        <v>77</v>
      </c>
      <c r="H521" t="s">
        <v>56</v>
      </c>
      <c r="I521" s="1">
        <v>87504</v>
      </c>
      <c r="J521" t="s">
        <v>1623</v>
      </c>
      <c r="K521" t="s">
        <v>46</v>
      </c>
      <c r="L521">
        <v>15</v>
      </c>
      <c r="M521">
        <v>4</v>
      </c>
      <c r="N521" t="s">
        <v>22</v>
      </c>
      <c r="O521" t="s">
        <v>23</v>
      </c>
      <c r="P521" t="s">
        <v>714</v>
      </c>
      <c r="Q521" s="9" t="str">
        <f t="shared" si="17"/>
        <v>Valid</v>
      </c>
      <c r="R521">
        <v>9746305754</v>
      </c>
      <c r="S521" s="7" t="str">
        <f t="shared" si="16"/>
        <v>Valid</v>
      </c>
      <c r="T521" t="str">
        <f>IF(Table1[[#This Row],[Age]]&lt;25,"18-24",IF(Table1[[#This Row],[Age]]&lt;30,"25-29",IF(Table1[[#This Row],[Age]]&lt;35,"30-34",IF(Table1[[#This Row],[Age]]&lt;40,"35-39",IF(Table1[[#This Row],[Age]]&lt;50,"40-49","50+")))))</f>
        <v>50+</v>
      </c>
    </row>
    <row r="522" spans="1:20" x14ac:dyDescent="0.35">
      <c r="A522">
        <v>1521</v>
      </c>
      <c r="B522" t="s">
        <v>42</v>
      </c>
      <c r="C522" t="s">
        <v>16</v>
      </c>
      <c r="D522" t="s">
        <v>17</v>
      </c>
      <c r="E522">
        <v>47</v>
      </c>
      <c r="F522" t="s">
        <v>18</v>
      </c>
      <c r="G522" t="s">
        <v>19</v>
      </c>
      <c r="H522" t="s">
        <v>20</v>
      </c>
      <c r="I522" s="1">
        <v>115175</v>
      </c>
      <c r="J522" t="s">
        <v>1624</v>
      </c>
      <c r="K522" t="s">
        <v>40</v>
      </c>
      <c r="L522">
        <v>16</v>
      </c>
      <c r="M522">
        <v>4</v>
      </c>
      <c r="N522" t="s">
        <v>23</v>
      </c>
      <c r="O522" t="s">
        <v>23</v>
      </c>
      <c r="P522" t="s">
        <v>715</v>
      </c>
      <c r="Q522" s="9" t="str">
        <f t="shared" si="17"/>
        <v>Valid</v>
      </c>
      <c r="R522">
        <v>9692705913</v>
      </c>
      <c r="S522" s="7" t="str">
        <f t="shared" si="16"/>
        <v>Valid</v>
      </c>
      <c r="T522" t="str">
        <f>IF(Table1[[#This Row],[Age]]&lt;25,"18-24",IF(Table1[[#This Row],[Age]]&lt;30,"25-29",IF(Table1[[#This Row],[Age]]&lt;35,"30-34",IF(Table1[[#This Row],[Age]]&lt;40,"35-39",IF(Table1[[#This Row],[Age]]&lt;50,"40-49","50+")))))</f>
        <v>40-49</v>
      </c>
    </row>
    <row r="523" spans="1:20" x14ac:dyDescent="0.35">
      <c r="A523">
        <v>1522</v>
      </c>
      <c r="B523" t="s">
        <v>58</v>
      </c>
      <c r="C523" t="s">
        <v>32</v>
      </c>
      <c r="D523" t="s">
        <v>17</v>
      </c>
      <c r="E523">
        <v>38</v>
      </c>
      <c r="F523" t="s">
        <v>18</v>
      </c>
      <c r="G523" t="s">
        <v>77</v>
      </c>
      <c r="H523" t="s">
        <v>28</v>
      </c>
      <c r="I523" s="1">
        <v>80929</v>
      </c>
      <c r="J523" t="s">
        <v>881</v>
      </c>
      <c r="K523" t="s">
        <v>40</v>
      </c>
      <c r="L523">
        <v>4</v>
      </c>
      <c r="M523">
        <v>1</v>
      </c>
      <c r="N523" t="s">
        <v>23</v>
      </c>
      <c r="O523" t="s">
        <v>23</v>
      </c>
      <c r="P523" t="s">
        <v>716</v>
      </c>
      <c r="Q523" s="9" t="str">
        <f t="shared" si="17"/>
        <v>Valid</v>
      </c>
      <c r="R523">
        <v>9551694350</v>
      </c>
      <c r="S523" s="7" t="str">
        <f t="shared" si="16"/>
        <v>Valid</v>
      </c>
      <c r="T523" t="str">
        <f>IF(Table1[[#This Row],[Age]]&lt;25,"18-24",IF(Table1[[#This Row],[Age]]&lt;30,"25-29",IF(Table1[[#This Row],[Age]]&lt;35,"30-34",IF(Table1[[#This Row],[Age]]&lt;40,"35-39",IF(Table1[[#This Row],[Age]]&lt;50,"40-49","50+")))))</f>
        <v>35-39</v>
      </c>
    </row>
    <row r="524" spans="1:20" x14ac:dyDescent="0.35">
      <c r="A524">
        <v>1523</v>
      </c>
      <c r="B524" t="s">
        <v>37</v>
      </c>
      <c r="C524" t="s">
        <v>32</v>
      </c>
      <c r="D524" t="s">
        <v>27</v>
      </c>
      <c r="E524">
        <v>54</v>
      </c>
      <c r="F524" t="s">
        <v>38</v>
      </c>
      <c r="G524" t="s">
        <v>34</v>
      </c>
      <c r="H524" t="s">
        <v>35</v>
      </c>
      <c r="I524" s="1">
        <v>-37654</v>
      </c>
      <c r="J524" t="s">
        <v>717</v>
      </c>
      <c r="K524" t="s">
        <v>30</v>
      </c>
      <c r="L524">
        <v>20</v>
      </c>
      <c r="M524">
        <v>5</v>
      </c>
      <c r="N524" t="s">
        <v>23</v>
      </c>
      <c r="O524" t="s">
        <v>23</v>
      </c>
      <c r="P524" t="s">
        <v>718</v>
      </c>
      <c r="Q524" s="9" t="str">
        <f t="shared" si="17"/>
        <v>Valid</v>
      </c>
      <c r="R524">
        <v>9732669582</v>
      </c>
      <c r="S524" s="7" t="str">
        <f t="shared" si="16"/>
        <v>Valid</v>
      </c>
      <c r="T524" t="str">
        <f>IF(Table1[[#This Row],[Age]]&lt;25,"18-24",IF(Table1[[#This Row],[Age]]&lt;30,"25-29",IF(Table1[[#This Row],[Age]]&lt;35,"30-34",IF(Table1[[#This Row],[Age]]&lt;40,"35-39",IF(Table1[[#This Row],[Age]]&lt;50,"40-49","50+")))))</f>
        <v>50+</v>
      </c>
    </row>
    <row r="525" spans="1:20" x14ac:dyDescent="0.35">
      <c r="A525">
        <v>1524</v>
      </c>
      <c r="B525" t="s">
        <v>58</v>
      </c>
      <c r="C525" t="s">
        <v>43</v>
      </c>
      <c r="D525" t="s">
        <v>17</v>
      </c>
      <c r="E525">
        <v>32</v>
      </c>
      <c r="F525" t="s">
        <v>33</v>
      </c>
      <c r="G525" t="s">
        <v>55</v>
      </c>
      <c r="H525" t="s">
        <v>44</v>
      </c>
      <c r="I525" s="1">
        <v>88347</v>
      </c>
      <c r="J525" t="s">
        <v>1625</v>
      </c>
      <c r="K525" t="s">
        <v>49</v>
      </c>
      <c r="L525">
        <v>9</v>
      </c>
      <c r="M525">
        <v>3</v>
      </c>
      <c r="N525" t="s">
        <v>22</v>
      </c>
      <c r="O525" t="s">
        <v>23</v>
      </c>
      <c r="P525" t="s">
        <v>719</v>
      </c>
      <c r="Q525" s="9" t="str">
        <f t="shared" si="17"/>
        <v>Invalid</v>
      </c>
      <c r="R525">
        <v>9532210518</v>
      </c>
      <c r="S525" s="7" t="str">
        <f t="shared" si="16"/>
        <v>Valid</v>
      </c>
      <c r="T525" t="str">
        <f>IF(Table1[[#This Row],[Age]]&lt;25,"18-24",IF(Table1[[#This Row],[Age]]&lt;30,"25-29",IF(Table1[[#This Row],[Age]]&lt;35,"30-34",IF(Table1[[#This Row],[Age]]&lt;40,"35-39",IF(Table1[[#This Row],[Age]]&lt;50,"40-49","50+")))))</f>
        <v>30-34</v>
      </c>
    </row>
    <row r="526" spans="1:20" x14ac:dyDescent="0.35">
      <c r="A526">
        <v>1525</v>
      </c>
      <c r="B526" t="s">
        <v>60</v>
      </c>
      <c r="C526" t="s">
        <v>61</v>
      </c>
      <c r="D526" t="s">
        <v>17</v>
      </c>
      <c r="E526">
        <v>27</v>
      </c>
      <c r="F526" t="s">
        <v>69</v>
      </c>
      <c r="G526" t="s">
        <v>34</v>
      </c>
      <c r="H526" t="s">
        <v>44</v>
      </c>
      <c r="I526" s="1">
        <v>64830</v>
      </c>
      <c r="J526" t="s">
        <v>1626</v>
      </c>
      <c r="K526" t="s">
        <v>21</v>
      </c>
      <c r="L526">
        <v>5</v>
      </c>
      <c r="M526">
        <v>1</v>
      </c>
      <c r="N526" t="s">
        <v>23</v>
      </c>
      <c r="O526" t="s">
        <v>23</v>
      </c>
      <c r="P526" s="3" t="s">
        <v>1318</v>
      </c>
      <c r="Q526" s="9" t="str">
        <f t="shared" si="17"/>
        <v>Invalid</v>
      </c>
      <c r="R526">
        <v>9507373170</v>
      </c>
      <c r="S526" s="7" t="str">
        <f t="shared" si="16"/>
        <v>Valid</v>
      </c>
      <c r="T526" t="str">
        <f>IF(Table1[[#This Row],[Age]]&lt;25,"18-24",IF(Table1[[#This Row],[Age]]&lt;30,"25-29",IF(Table1[[#This Row],[Age]]&lt;35,"30-34",IF(Table1[[#This Row],[Age]]&lt;40,"35-39",IF(Table1[[#This Row],[Age]]&lt;50,"40-49","50+")))))</f>
        <v>25-29</v>
      </c>
    </row>
    <row r="527" spans="1:20" x14ac:dyDescent="0.35">
      <c r="A527">
        <v>1526</v>
      </c>
      <c r="B527" t="s">
        <v>82</v>
      </c>
      <c r="C527" t="s">
        <v>16</v>
      </c>
      <c r="D527" t="s">
        <v>17</v>
      </c>
      <c r="E527">
        <v>27</v>
      </c>
      <c r="F527" t="s">
        <v>38</v>
      </c>
      <c r="G527" t="s">
        <v>39</v>
      </c>
      <c r="H527" t="s">
        <v>28</v>
      </c>
      <c r="I527" s="1">
        <v>76596</v>
      </c>
      <c r="J527" t="s">
        <v>1627</v>
      </c>
      <c r="K527" t="s">
        <v>40</v>
      </c>
      <c r="L527">
        <v>14</v>
      </c>
      <c r="M527">
        <v>5</v>
      </c>
      <c r="N527" t="s">
        <v>23</v>
      </c>
      <c r="O527" t="s">
        <v>23</v>
      </c>
      <c r="P527" t="s">
        <v>720</v>
      </c>
      <c r="Q527" s="9" t="str">
        <f t="shared" si="17"/>
        <v>Invalid</v>
      </c>
      <c r="R527">
        <v>9486261558</v>
      </c>
      <c r="S527" s="7" t="str">
        <f t="shared" si="16"/>
        <v>Valid</v>
      </c>
      <c r="T527" t="str">
        <f>IF(Table1[[#This Row],[Age]]&lt;25,"18-24",IF(Table1[[#This Row],[Age]]&lt;30,"25-29",IF(Table1[[#This Row],[Age]]&lt;35,"30-34",IF(Table1[[#This Row],[Age]]&lt;40,"35-39",IF(Table1[[#This Row],[Age]]&lt;50,"40-49","50+")))))</f>
        <v>25-29</v>
      </c>
    </row>
    <row r="528" spans="1:20" x14ac:dyDescent="0.35">
      <c r="A528">
        <v>1527</v>
      </c>
      <c r="B528" t="s">
        <v>64</v>
      </c>
      <c r="C528" t="s">
        <v>26</v>
      </c>
      <c r="D528" t="s">
        <v>27</v>
      </c>
      <c r="E528">
        <v>44</v>
      </c>
      <c r="F528" t="s">
        <v>33</v>
      </c>
      <c r="G528" t="s">
        <v>19</v>
      </c>
      <c r="H528" t="s">
        <v>44</v>
      </c>
      <c r="I528" s="1">
        <v>74954</v>
      </c>
      <c r="J528" t="s">
        <v>721</v>
      </c>
      <c r="K528" t="s">
        <v>49</v>
      </c>
      <c r="L528">
        <v>12</v>
      </c>
      <c r="M528">
        <v>2</v>
      </c>
      <c r="N528" t="s">
        <v>22</v>
      </c>
      <c r="O528" t="s">
        <v>22</v>
      </c>
      <c r="P528" t="s">
        <v>722</v>
      </c>
      <c r="Q528" s="9" t="str">
        <f t="shared" si="17"/>
        <v>Valid</v>
      </c>
      <c r="R528">
        <v>9205084187</v>
      </c>
      <c r="S528" s="7" t="str">
        <f t="shared" si="16"/>
        <v>Valid</v>
      </c>
      <c r="T528" t="str">
        <f>IF(Table1[[#This Row],[Age]]&lt;25,"18-24",IF(Table1[[#This Row],[Age]]&lt;30,"25-29",IF(Table1[[#This Row],[Age]]&lt;35,"30-34",IF(Table1[[#This Row],[Age]]&lt;40,"35-39",IF(Table1[[#This Row],[Age]]&lt;50,"40-49","50+")))))</f>
        <v>40-49</v>
      </c>
    </row>
    <row r="529" spans="1:20" x14ac:dyDescent="0.35">
      <c r="A529">
        <v>1528</v>
      </c>
      <c r="B529" t="s">
        <v>58</v>
      </c>
      <c r="C529" t="s">
        <v>61</v>
      </c>
      <c r="D529" t="s">
        <v>17</v>
      </c>
      <c r="E529">
        <v>27</v>
      </c>
      <c r="F529" t="s">
        <v>69</v>
      </c>
      <c r="G529" t="s">
        <v>34</v>
      </c>
      <c r="H529" t="s">
        <v>56</v>
      </c>
      <c r="I529" s="1">
        <v>75689</v>
      </c>
      <c r="J529" t="s">
        <v>1628</v>
      </c>
      <c r="K529" t="s">
        <v>30</v>
      </c>
      <c r="L529">
        <v>8</v>
      </c>
      <c r="M529">
        <v>4</v>
      </c>
      <c r="N529" t="s">
        <v>23</v>
      </c>
      <c r="O529" t="s">
        <v>22</v>
      </c>
      <c r="P529" t="s">
        <v>723</v>
      </c>
      <c r="Q529" s="9" t="str">
        <f t="shared" si="17"/>
        <v>Valid</v>
      </c>
      <c r="R529">
        <v>9977690261</v>
      </c>
      <c r="S529" s="7" t="str">
        <f t="shared" si="16"/>
        <v>Valid</v>
      </c>
      <c r="T529" t="str">
        <f>IF(Table1[[#This Row],[Age]]&lt;25,"18-24",IF(Table1[[#This Row],[Age]]&lt;30,"25-29",IF(Table1[[#This Row],[Age]]&lt;35,"30-34",IF(Table1[[#This Row],[Age]]&lt;40,"35-39",IF(Table1[[#This Row],[Age]]&lt;50,"40-49","50+")))))</f>
        <v>25-29</v>
      </c>
    </row>
    <row r="530" spans="1:20" x14ac:dyDescent="0.35">
      <c r="A530">
        <v>1529</v>
      </c>
      <c r="B530" t="s">
        <v>58</v>
      </c>
      <c r="C530" t="s">
        <v>32</v>
      </c>
      <c r="D530" t="s">
        <v>27</v>
      </c>
      <c r="E530">
        <v>51</v>
      </c>
      <c r="F530" t="s">
        <v>33</v>
      </c>
      <c r="G530" t="s">
        <v>55</v>
      </c>
      <c r="H530" t="s">
        <v>28</v>
      </c>
      <c r="I530" s="1">
        <v>65230</v>
      </c>
      <c r="J530" t="s">
        <v>724</v>
      </c>
      <c r="K530" t="s">
        <v>30</v>
      </c>
      <c r="L530">
        <v>13</v>
      </c>
      <c r="M530">
        <v>4</v>
      </c>
      <c r="N530" t="s">
        <v>22</v>
      </c>
      <c r="O530" t="s">
        <v>23</v>
      </c>
      <c r="P530" t="s">
        <v>725</v>
      </c>
      <c r="Q530" s="9" t="str">
        <f t="shared" si="17"/>
        <v>Valid</v>
      </c>
      <c r="R530">
        <v>9569892215</v>
      </c>
      <c r="S530" s="7" t="str">
        <f t="shared" si="16"/>
        <v>Valid</v>
      </c>
      <c r="T530" t="str">
        <f>IF(Table1[[#This Row],[Age]]&lt;25,"18-24",IF(Table1[[#This Row],[Age]]&lt;30,"25-29",IF(Table1[[#This Row],[Age]]&lt;35,"30-34",IF(Table1[[#This Row],[Age]]&lt;40,"35-39",IF(Table1[[#This Row],[Age]]&lt;50,"40-49","50+")))))</f>
        <v>50+</v>
      </c>
    </row>
    <row r="531" spans="1:20" x14ac:dyDescent="0.35">
      <c r="A531">
        <v>1530</v>
      </c>
      <c r="B531" t="s">
        <v>60</v>
      </c>
      <c r="C531" t="s">
        <v>26</v>
      </c>
      <c r="D531" t="s">
        <v>17</v>
      </c>
      <c r="E531">
        <v>49</v>
      </c>
      <c r="F531" t="s">
        <v>69</v>
      </c>
      <c r="G531" t="s">
        <v>77</v>
      </c>
      <c r="H531" t="s">
        <v>28</v>
      </c>
      <c r="I531" s="1">
        <v>36219</v>
      </c>
      <c r="J531" t="s">
        <v>1629</v>
      </c>
      <c r="K531" t="s">
        <v>30</v>
      </c>
      <c r="L531">
        <v>22</v>
      </c>
      <c r="M531">
        <v>4</v>
      </c>
      <c r="N531" t="s">
        <v>22</v>
      </c>
      <c r="O531" t="s">
        <v>23</v>
      </c>
      <c r="P531" t="s">
        <v>726</v>
      </c>
      <c r="Q531" s="9" t="str">
        <f t="shared" si="17"/>
        <v>Valid</v>
      </c>
      <c r="R531">
        <v>9393374023</v>
      </c>
      <c r="S531" s="7" t="str">
        <f t="shared" si="16"/>
        <v>Valid</v>
      </c>
      <c r="T531" t="str">
        <f>IF(Table1[[#This Row],[Age]]&lt;25,"18-24",IF(Table1[[#This Row],[Age]]&lt;30,"25-29",IF(Table1[[#This Row],[Age]]&lt;35,"30-34",IF(Table1[[#This Row],[Age]]&lt;40,"35-39",IF(Table1[[#This Row],[Age]]&lt;50,"40-49","50+")))))</f>
        <v>40-49</v>
      </c>
    </row>
    <row r="532" spans="1:20" x14ac:dyDescent="0.35">
      <c r="A532">
        <v>1531</v>
      </c>
      <c r="B532" t="s">
        <v>15</v>
      </c>
      <c r="C532" t="s">
        <v>32</v>
      </c>
      <c r="D532" t="s">
        <v>17</v>
      </c>
      <c r="E532">
        <v>58</v>
      </c>
      <c r="F532" t="s">
        <v>69</v>
      </c>
      <c r="G532" t="s">
        <v>55</v>
      </c>
      <c r="H532" t="s">
        <v>20</v>
      </c>
      <c r="I532" s="1">
        <v>50228</v>
      </c>
      <c r="J532" t="s">
        <v>1630</v>
      </c>
      <c r="K532" t="s">
        <v>21</v>
      </c>
      <c r="L532">
        <v>10</v>
      </c>
      <c r="M532">
        <v>1</v>
      </c>
      <c r="N532" t="s">
        <v>23</v>
      </c>
      <c r="O532" t="s">
        <v>23</v>
      </c>
      <c r="P532" t="s">
        <v>727</v>
      </c>
      <c r="Q532" s="9" t="str">
        <f t="shared" si="17"/>
        <v>Invalid</v>
      </c>
      <c r="R532">
        <v>9257721478</v>
      </c>
      <c r="S532" s="7" t="str">
        <f t="shared" si="16"/>
        <v>Valid</v>
      </c>
      <c r="T532" t="str">
        <f>IF(Table1[[#This Row],[Age]]&lt;25,"18-24",IF(Table1[[#This Row],[Age]]&lt;30,"25-29",IF(Table1[[#This Row],[Age]]&lt;35,"30-34",IF(Table1[[#This Row],[Age]]&lt;40,"35-39",IF(Table1[[#This Row],[Age]]&lt;50,"40-49","50+")))))</f>
        <v>50+</v>
      </c>
    </row>
    <row r="533" spans="1:20" x14ac:dyDescent="0.35">
      <c r="A533">
        <v>1532</v>
      </c>
      <c r="B533" t="s">
        <v>82</v>
      </c>
      <c r="C533" t="s">
        <v>43</v>
      </c>
      <c r="D533" t="s">
        <v>17</v>
      </c>
      <c r="E533">
        <v>38</v>
      </c>
      <c r="F533" t="s">
        <v>69</v>
      </c>
      <c r="G533" t="s">
        <v>39</v>
      </c>
      <c r="H533" t="s">
        <v>28</v>
      </c>
      <c r="I533" s="1">
        <v>80863</v>
      </c>
      <c r="J533" t="s">
        <v>1631</v>
      </c>
      <c r="K533" t="s">
        <v>40</v>
      </c>
      <c r="L533">
        <v>8</v>
      </c>
      <c r="M533">
        <v>4</v>
      </c>
      <c r="N533" t="s">
        <v>23</v>
      </c>
      <c r="O533" t="s">
        <v>23</v>
      </c>
      <c r="P533" t="s">
        <v>728</v>
      </c>
      <c r="Q533" s="9" t="str">
        <f t="shared" si="17"/>
        <v>Valid</v>
      </c>
      <c r="R533">
        <v>9284413575</v>
      </c>
      <c r="S533" s="7" t="str">
        <f t="shared" si="16"/>
        <v>Valid</v>
      </c>
      <c r="T533" t="str">
        <f>IF(Table1[[#This Row],[Age]]&lt;25,"18-24",IF(Table1[[#This Row],[Age]]&lt;30,"25-29",IF(Table1[[#This Row],[Age]]&lt;35,"30-34",IF(Table1[[#This Row],[Age]]&lt;40,"35-39",IF(Table1[[#This Row],[Age]]&lt;50,"40-49","50+")))))</f>
        <v>35-39</v>
      </c>
    </row>
    <row r="534" spans="1:20" x14ac:dyDescent="0.35">
      <c r="A534">
        <v>1533</v>
      </c>
      <c r="B534" t="s">
        <v>54</v>
      </c>
      <c r="C534" t="s">
        <v>16</v>
      </c>
      <c r="D534" t="s">
        <v>27</v>
      </c>
      <c r="E534">
        <v>40</v>
      </c>
      <c r="F534" t="s">
        <v>33</v>
      </c>
      <c r="G534" t="s">
        <v>39</v>
      </c>
      <c r="H534" t="s">
        <v>28</v>
      </c>
      <c r="I534" s="1">
        <v>43680</v>
      </c>
      <c r="J534" t="s">
        <v>1632</v>
      </c>
      <c r="K534" t="s">
        <v>46</v>
      </c>
      <c r="L534">
        <v>16</v>
      </c>
      <c r="M534">
        <v>4</v>
      </c>
      <c r="N534" t="s">
        <v>22</v>
      </c>
      <c r="O534" t="s">
        <v>23</v>
      </c>
      <c r="P534" t="s">
        <v>729</v>
      </c>
      <c r="Q534" s="9" t="str">
        <f t="shared" si="17"/>
        <v>Valid</v>
      </c>
      <c r="R534">
        <v>9570921045</v>
      </c>
      <c r="S534" s="7" t="str">
        <f t="shared" si="16"/>
        <v>Valid</v>
      </c>
      <c r="T534" t="str">
        <f>IF(Table1[[#This Row],[Age]]&lt;25,"18-24",IF(Table1[[#This Row],[Age]]&lt;30,"25-29",IF(Table1[[#This Row],[Age]]&lt;35,"30-34",IF(Table1[[#This Row],[Age]]&lt;40,"35-39",IF(Table1[[#This Row],[Age]]&lt;50,"40-49","50+")))))</f>
        <v>40-49</v>
      </c>
    </row>
    <row r="535" spans="1:20" x14ac:dyDescent="0.35">
      <c r="A535">
        <v>1534</v>
      </c>
      <c r="B535" t="s">
        <v>58</v>
      </c>
      <c r="C535" t="s">
        <v>43</v>
      </c>
      <c r="D535" t="s">
        <v>27</v>
      </c>
      <c r="E535">
        <v>34</v>
      </c>
      <c r="F535" t="s">
        <v>18</v>
      </c>
      <c r="G535" t="s">
        <v>34</v>
      </c>
      <c r="H535" t="s">
        <v>44</v>
      </c>
      <c r="I535" s="1">
        <v>87265</v>
      </c>
      <c r="J535" t="s">
        <v>1633</v>
      </c>
      <c r="K535" t="s">
        <v>49</v>
      </c>
      <c r="L535">
        <v>12</v>
      </c>
      <c r="M535">
        <v>1</v>
      </c>
      <c r="N535" t="s">
        <v>22</v>
      </c>
      <c r="O535" t="s">
        <v>22</v>
      </c>
      <c r="P535" t="s">
        <v>730</v>
      </c>
      <c r="Q535" s="9" t="str">
        <f t="shared" si="17"/>
        <v>Valid</v>
      </c>
      <c r="R535">
        <v>9006677390</v>
      </c>
      <c r="S535" s="7" t="str">
        <f t="shared" si="16"/>
        <v>Valid</v>
      </c>
      <c r="T535" t="str">
        <f>IF(Table1[[#This Row],[Age]]&lt;25,"18-24",IF(Table1[[#This Row],[Age]]&lt;30,"25-29",IF(Table1[[#This Row],[Age]]&lt;35,"30-34",IF(Table1[[#This Row],[Age]]&lt;40,"35-39",IF(Table1[[#This Row],[Age]]&lt;50,"40-49","50+")))))</f>
        <v>30-34</v>
      </c>
    </row>
    <row r="536" spans="1:20" x14ac:dyDescent="0.35">
      <c r="A536">
        <v>1535</v>
      </c>
      <c r="B536" t="s">
        <v>42</v>
      </c>
      <c r="C536" t="s">
        <v>16</v>
      </c>
      <c r="D536" t="s">
        <v>27</v>
      </c>
      <c r="E536">
        <v>46</v>
      </c>
      <c r="F536" t="s">
        <v>62</v>
      </c>
      <c r="G536" t="s">
        <v>19</v>
      </c>
      <c r="H536" t="s">
        <v>44</v>
      </c>
      <c r="I536" s="1">
        <v>72637</v>
      </c>
      <c r="J536" t="s">
        <v>1634</v>
      </c>
      <c r="K536" t="s">
        <v>21</v>
      </c>
      <c r="L536">
        <v>17</v>
      </c>
      <c r="M536">
        <v>2</v>
      </c>
      <c r="N536" t="s">
        <v>23</v>
      </c>
      <c r="O536" t="s">
        <v>23</v>
      </c>
      <c r="P536" t="s">
        <v>731</v>
      </c>
      <c r="Q536" s="9" t="str">
        <f t="shared" si="17"/>
        <v>Valid</v>
      </c>
      <c r="R536">
        <v>9644662848</v>
      </c>
      <c r="S536" s="7" t="str">
        <f t="shared" si="16"/>
        <v>Valid</v>
      </c>
      <c r="T536" t="str">
        <f>IF(Table1[[#This Row],[Age]]&lt;25,"18-24",IF(Table1[[#This Row],[Age]]&lt;30,"25-29",IF(Table1[[#This Row],[Age]]&lt;35,"30-34",IF(Table1[[#This Row],[Age]]&lt;40,"35-39",IF(Table1[[#This Row],[Age]]&lt;50,"40-49","50+")))))</f>
        <v>40-49</v>
      </c>
    </row>
    <row r="537" spans="1:20" x14ac:dyDescent="0.35">
      <c r="A537">
        <v>1536</v>
      </c>
      <c r="B537" t="s">
        <v>25</v>
      </c>
      <c r="C537" t="s">
        <v>43</v>
      </c>
      <c r="D537" t="s">
        <v>27</v>
      </c>
      <c r="E537">
        <v>23</v>
      </c>
      <c r="F537" t="s">
        <v>18</v>
      </c>
      <c r="G537" t="s">
        <v>39</v>
      </c>
      <c r="H537" t="s">
        <v>20</v>
      </c>
      <c r="I537" s="1">
        <v>43212</v>
      </c>
      <c r="J537" t="s">
        <v>1571</v>
      </c>
      <c r="K537" t="s">
        <v>40</v>
      </c>
      <c r="L537">
        <v>13</v>
      </c>
      <c r="M537">
        <v>3</v>
      </c>
      <c r="N537" t="s">
        <v>23</v>
      </c>
      <c r="O537" t="s">
        <v>23</v>
      </c>
      <c r="P537" t="s">
        <v>732</v>
      </c>
      <c r="Q537" s="9" t="str">
        <f t="shared" si="17"/>
        <v>Valid</v>
      </c>
      <c r="R537">
        <v>9840690731</v>
      </c>
      <c r="S537" s="7" t="str">
        <f t="shared" si="16"/>
        <v>Valid</v>
      </c>
      <c r="T537" t="str">
        <f>IF(Table1[[#This Row],[Age]]&lt;25,"18-24",IF(Table1[[#This Row],[Age]]&lt;30,"25-29",IF(Table1[[#This Row],[Age]]&lt;35,"30-34",IF(Table1[[#This Row],[Age]]&lt;40,"35-39",IF(Table1[[#This Row],[Age]]&lt;50,"40-49","50+")))))</f>
        <v>18-24</v>
      </c>
    </row>
    <row r="538" spans="1:20" x14ac:dyDescent="0.35">
      <c r="A538">
        <v>1537</v>
      </c>
      <c r="B538" t="s">
        <v>60</v>
      </c>
      <c r="C538" t="s">
        <v>16</v>
      </c>
      <c r="D538" t="s">
        <v>17</v>
      </c>
      <c r="E538">
        <v>51</v>
      </c>
      <c r="F538" t="s">
        <v>38</v>
      </c>
      <c r="G538" t="s">
        <v>34</v>
      </c>
      <c r="H538" t="s">
        <v>28</v>
      </c>
      <c r="I538" s="1">
        <v>92330</v>
      </c>
      <c r="J538" t="s">
        <v>733</v>
      </c>
      <c r="K538" t="s">
        <v>46</v>
      </c>
      <c r="L538">
        <v>22</v>
      </c>
      <c r="M538">
        <v>3</v>
      </c>
      <c r="N538" t="s">
        <v>22</v>
      </c>
      <c r="O538" t="s">
        <v>22</v>
      </c>
      <c r="P538" t="s">
        <v>734</v>
      </c>
      <c r="Q538" s="9" t="str">
        <f t="shared" si="17"/>
        <v>Valid</v>
      </c>
      <c r="R538">
        <v>9567221156</v>
      </c>
      <c r="S538" s="7" t="str">
        <f t="shared" si="16"/>
        <v>Valid</v>
      </c>
      <c r="T538" t="str">
        <f>IF(Table1[[#This Row],[Age]]&lt;25,"18-24",IF(Table1[[#This Row],[Age]]&lt;30,"25-29",IF(Table1[[#This Row],[Age]]&lt;35,"30-34",IF(Table1[[#This Row],[Age]]&lt;40,"35-39",IF(Table1[[#This Row],[Age]]&lt;50,"40-49","50+")))))</f>
        <v>50+</v>
      </c>
    </row>
    <row r="539" spans="1:20" x14ac:dyDescent="0.35">
      <c r="A539">
        <v>1538</v>
      </c>
      <c r="B539" t="s">
        <v>37</v>
      </c>
      <c r="C539" t="s">
        <v>61</v>
      </c>
      <c r="D539" t="s">
        <v>17</v>
      </c>
      <c r="E539">
        <v>51</v>
      </c>
      <c r="F539" t="s">
        <v>18</v>
      </c>
      <c r="G539" t="s">
        <v>19</v>
      </c>
      <c r="H539" t="s">
        <v>28</v>
      </c>
      <c r="I539" s="1">
        <v>85664</v>
      </c>
      <c r="J539" t="s">
        <v>1635</v>
      </c>
      <c r="K539" t="s">
        <v>49</v>
      </c>
      <c r="L539">
        <v>13</v>
      </c>
      <c r="M539">
        <v>3</v>
      </c>
      <c r="N539" t="s">
        <v>23</v>
      </c>
      <c r="O539" t="s">
        <v>22</v>
      </c>
      <c r="P539" t="s">
        <v>735</v>
      </c>
      <c r="Q539" s="9" t="str">
        <f t="shared" si="17"/>
        <v>Valid</v>
      </c>
      <c r="R539">
        <v>9665592954</v>
      </c>
      <c r="S539" s="7" t="str">
        <f t="shared" si="16"/>
        <v>Valid</v>
      </c>
      <c r="T539" t="str">
        <f>IF(Table1[[#This Row],[Age]]&lt;25,"18-24",IF(Table1[[#This Row],[Age]]&lt;30,"25-29",IF(Table1[[#This Row],[Age]]&lt;35,"30-34",IF(Table1[[#This Row],[Age]]&lt;40,"35-39",IF(Table1[[#This Row],[Age]]&lt;50,"40-49","50+")))))</f>
        <v>50+</v>
      </c>
    </row>
    <row r="540" spans="1:20" x14ac:dyDescent="0.35">
      <c r="A540">
        <v>1539</v>
      </c>
      <c r="B540" t="s">
        <v>58</v>
      </c>
      <c r="C540" t="s">
        <v>16</v>
      </c>
      <c r="D540" t="s">
        <v>17</v>
      </c>
      <c r="E540">
        <v>45</v>
      </c>
      <c r="F540" t="s">
        <v>62</v>
      </c>
      <c r="G540" t="s">
        <v>77</v>
      </c>
      <c r="H540" t="s">
        <v>28</v>
      </c>
      <c r="I540" s="1">
        <v>114842</v>
      </c>
      <c r="J540" t="s">
        <v>736</v>
      </c>
      <c r="K540" t="s">
        <v>40</v>
      </c>
      <c r="L540">
        <v>22</v>
      </c>
      <c r="M540">
        <v>3</v>
      </c>
      <c r="N540" t="s">
        <v>23</v>
      </c>
      <c r="O540" t="s">
        <v>22</v>
      </c>
      <c r="P540" t="s">
        <v>737</v>
      </c>
      <c r="Q540" s="9" t="str">
        <f t="shared" si="17"/>
        <v>Valid</v>
      </c>
      <c r="R540">
        <v>9135399760</v>
      </c>
      <c r="S540" s="7" t="str">
        <f t="shared" si="16"/>
        <v>Valid</v>
      </c>
      <c r="T540" t="str">
        <f>IF(Table1[[#This Row],[Age]]&lt;25,"18-24",IF(Table1[[#This Row],[Age]]&lt;30,"25-29",IF(Table1[[#This Row],[Age]]&lt;35,"30-34",IF(Table1[[#This Row],[Age]]&lt;40,"35-39",IF(Table1[[#This Row],[Age]]&lt;50,"40-49","50+")))))</f>
        <v>40-49</v>
      </c>
    </row>
    <row r="541" spans="1:20" x14ac:dyDescent="0.35">
      <c r="A541">
        <v>1540</v>
      </c>
      <c r="B541" t="s">
        <v>58</v>
      </c>
      <c r="C541" t="s">
        <v>43</v>
      </c>
      <c r="D541" t="s">
        <v>17</v>
      </c>
      <c r="E541">
        <v>53</v>
      </c>
      <c r="F541" t="s">
        <v>18</v>
      </c>
      <c r="G541" t="s">
        <v>34</v>
      </c>
      <c r="H541" t="s">
        <v>56</v>
      </c>
      <c r="I541" s="1">
        <v>110128</v>
      </c>
      <c r="J541" t="s">
        <v>738</v>
      </c>
      <c r="K541" t="s">
        <v>46</v>
      </c>
      <c r="L541">
        <v>16</v>
      </c>
      <c r="M541">
        <v>5</v>
      </c>
      <c r="N541" t="s">
        <v>23</v>
      </c>
      <c r="O541" t="s">
        <v>23</v>
      </c>
      <c r="P541" t="s">
        <v>739</v>
      </c>
      <c r="Q541" s="9" t="str">
        <f t="shared" si="17"/>
        <v>Valid</v>
      </c>
      <c r="R541">
        <v>9788106495</v>
      </c>
      <c r="S541" s="7" t="str">
        <f t="shared" si="16"/>
        <v>Valid</v>
      </c>
      <c r="T541" t="str">
        <f>IF(Table1[[#This Row],[Age]]&lt;25,"18-24",IF(Table1[[#This Row],[Age]]&lt;30,"25-29",IF(Table1[[#This Row],[Age]]&lt;35,"30-34",IF(Table1[[#This Row],[Age]]&lt;40,"35-39",IF(Table1[[#This Row],[Age]]&lt;50,"40-49","50+")))))</f>
        <v>50+</v>
      </c>
    </row>
    <row r="542" spans="1:20" x14ac:dyDescent="0.35">
      <c r="A542">
        <v>1541</v>
      </c>
      <c r="B542" t="s">
        <v>64</v>
      </c>
      <c r="C542" t="s">
        <v>61</v>
      </c>
      <c r="D542" t="s">
        <v>17</v>
      </c>
      <c r="E542">
        <v>66</v>
      </c>
      <c r="F542" t="s">
        <v>18</v>
      </c>
      <c r="G542" t="s">
        <v>34</v>
      </c>
      <c r="H542" t="s">
        <v>56</v>
      </c>
      <c r="I542" s="1">
        <v>26769</v>
      </c>
      <c r="J542" t="s">
        <v>740</v>
      </c>
      <c r="K542" t="s">
        <v>49</v>
      </c>
      <c r="L542">
        <v>15</v>
      </c>
      <c r="M542">
        <v>5</v>
      </c>
      <c r="N542" t="s">
        <v>22</v>
      </c>
      <c r="O542" t="s">
        <v>23</v>
      </c>
      <c r="P542" t="s">
        <v>741</v>
      </c>
      <c r="Q542" s="9" t="str">
        <f t="shared" si="17"/>
        <v>Valid</v>
      </c>
      <c r="R542">
        <v>9108245575</v>
      </c>
      <c r="S542" s="7" t="str">
        <f t="shared" si="16"/>
        <v>Valid</v>
      </c>
      <c r="T542" t="str">
        <f>IF(Table1[[#This Row],[Age]]&lt;25,"18-24",IF(Table1[[#This Row],[Age]]&lt;30,"25-29",IF(Table1[[#This Row],[Age]]&lt;35,"30-34",IF(Table1[[#This Row],[Age]]&lt;40,"35-39",IF(Table1[[#This Row],[Age]]&lt;50,"40-49","50+")))))</f>
        <v>50+</v>
      </c>
    </row>
    <row r="543" spans="1:20" x14ac:dyDescent="0.35">
      <c r="A543">
        <v>1542</v>
      </c>
      <c r="B543" t="s">
        <v>58</v>
      </c>
      <c r="C543" t="s">
        <v>16</v>
      </c>
      <c r="D543" t="s">
        <v>27</v>
      </c>
      <c r="E543">
        <v>31</v>
      </c>
      <c r="F543" t="s">
        <v>18</v>
      </c>
      <c r="G543" t="s">
        <v>55</v>
      </c>
      <c r="H543" t="s">
        <v>56</v>
      </c>
      <c r="I543" s="1">
        <v>95258</v>
      </c>
      <c r="J543" t="s">
        <v>1636</v>
      </c>
      <c r="K543" t="s">
        <v>40</v>
      </c>
      <c r="L543">
        <v>17</v>
      </c>
      <c r="M543">
        <v>5</v>
      </c>
      <c r="N543" t="s">
        <v>22</v>
      </c>
      <c r="O543" t="s">
        <v>23</v>
      </c>
      <c r="P543" t="s">
        <v>742</v>
      </c>
      <c r="Q543" s="9" t="str">
        <f t="shared" si="17"/>
        <v>Valid</v>
      </c>
      <c r="R543">
        <v>9936062544</v>
      </c>
      <c r="S543" s="7" t="str">
        <f t="shared" si="16"/>
        <v>Valid</v>
      </c>
      <c r="T543" t="str">
        <f>IF(Table1[[#This Row],[Age]]&lt;25,"18-24",IF(Table1[[#This Row],[Age]]&lt;30,"25-29",IF(Table1[[#This Row],[Age]]&lt;35,"30-34",IF(Table1[[#This Row],[Age]]&lt;40,"35-39",IF(Table1[[#This Row],[Age]]&lt;50,"40-49","50+")))))</f>
        <v>30-34</v>
      </c>
    </row>
    <row r="544" spans="1:20" x14ac:dyDescent="0.35">
      <c r="A544">
        <v>1543</v>
      </c>
      <c r="B544" t="s">
        <v>60</v>
      </c>
      <c r="C544" t="s">
        <v>16</v>
      </c>
      <c r="D544" t="s">
        <v>17</v>
      </c>
      <c r="E544">
        <v>24</v>
      </c>
      <c r="F544" t="s">
        <v>38</v>
      </c>
      <c r="G544" t="s">
        <v>39</v>
      </c>
      <c r="H544" t="s">
        <v>44</v>
      </c>
      <c r="I544" s="1">
        <v>57547</v>
      </c>
      <c r="J544" t="s">
        <v>743</v>
      </c>
      <c r="K544" t="s">
        <v>46</v>
      </c>
      <c r="L544">
        <v>19</v>
      </c>
      <c r="M544">
        <v>1</v>
      </c>
      <c r="N544" t="s">
        <v>23</v>
      </c>
      <c r="O544" t="s">
        <v>23</v>
      </c>
      <c r="P544" t="s">
        <v>744</v>
      </c>
      <c r="Q544" s="9" t="str">
        <f t="shared" si="17"/>
        <v>Valid</v>
      </c>
      <c r="R544">
        <v>9278480538</v>
      </c>
      <c r="S544" s="7" t="str">
        <f t="shared" si="16"/>
        <v>Valid</v>
      </c>
      <c r="T544" t="str">
        <f>IF(Table1[[#This Row],[Age]]&lt;25,"18-24",IF(Table1[[#This Row],[Age]]&lt;30,"25-29",IF(Table1[[#This Row],[Age]]&lt;35,"30-34",IF(Table1[[#This Row],[Age]]&lt;40,"35-39",IF(Table1[[#This Row],[Age]]&lt;50,"40-49","50+")))))</f>
        <v>18-24</v>
      </c>
    </row>
    <row r="545" spans="1:20" x14ac:dyDescent="0.35">
      <c r="A545">
        <v>1544</v>
      </c>
      <c r="B545" t="s">
        <v>42</v>
      </c>
      <c r="C545" t="s">
        <v>61</v>
      </c>
      <c r="D545" t="s">
        <v>27</v>
      </c>
      <c r="E545">
        <v>38</v>
      </c>
      <c r="F545" t="s">
        <v>69</v>
      </c>
      <c r="G545" t="s">
        <v>34</v>
      </c>
      <c r="H545" t="s">
        <v>28</v>
      </c>
      <c r="I545" s="1">
        <v>98476</v>
      </c>
      <c r="J545" t="s">
        <v>1637</v>
      </c>
      <c r="K545" t="s">
        <v>21</v>
      </c>
      <c r="L545">
        <v>19</v>
      </c>
      <c r="M545">
        <v>1</v>
      </c>
      <c r="N545" t="s">
        <v>23</v>
      </c>
      <c r="O545" t="s">
        <v>23</v>
      </c>
      <c r="P545" t="s">
        <v>745</v>
      </c>
      <c r="Q545" s="9" t="str">
        <f t="shared" si="17"/>
        <v>Valid</v>
      </c>
      <c r="R545">
        <v>9652590953</v>
      </c>
      <c r="S545" s="7" t="str">
        <f t="shared" si="16"/>
        <v>Valid</v>
      </c>
      <c r="T545" t="str">
        <f>IF(Table1[[#This Row],[Age]]&lt;25,"18-24",IF(Table1[[#This Row],[Age]]&lt;30,"25-29",IF(Table1[[#This Row],[Age]]&lt;35,"30-34",IF(Table1[[#This Row],[Age]]&lt;40,"35-39",IF(Table1[[#This Row],[Age]]&lt;50,"40-49","50+")))))</f>
        <v>35-39</v>
      </c>
    </row>
    <row r="546" spans="1:20" x14ac:dyDescent="0.35">
      <c r="A546">
        <v>1545</v>
      </c>
      <c r="B546" t="s">
        <v>67</v>
      </c>
      <c r="C546" t="s">
        <v>32</v>
      </c>
      <c r="D546" t="s">
        <v>17</v>
      </c>
      <c r="E546">
        <v>48</v>
      </c>
      <c r="F546" t="s">
        <v>18</v>
      </c>
      <c r="G546" t="s">
        <v>39</v>
      </c>
      <c r="H546" t="s">
        <v>44</v>
      </c>
      <c r="I546" s="1">
        <v>79735</v>
      </c>
      <c r="J546" t="s">
        <v>1638</v>
      </c>
      <c r="K546" t="s">
        <v>21</v>
      </c>
      <c r="L546">
        <v>15</v>
      </c>
      <c r="M546">
        <v>4</v>
      </c>
      <c r="N546" t="s">
        <v>23</v>
      </c>
      <c r="O546" t="s">
        <v>23</v>
      </c>
      <c r="P546" t="s">
        <v>746</v>
      </c>
      <c r="Q546" s="9" t="str">
        <f t="shared" si="17"/>
        <v>Valid</v>
      </c>
      <c r="R546">
        <v>9273217167</v>
      </c>
      <c r="S546" s="7" t="str">
        <f t="shared" si="16"/>
        <v>Valid</v>
      </c>
      <c r="T546" t="str">
        <f>IF(Table1[[#This Row],[Age]]&lt;25,"18-24",IF(Table1[[#This Row],[Age]]&lt;30,"25-29",IF(Table1[[#This Row],[Age]]&lt;35,"30-34",IF(Table1[[#This Row],[Age]]&lt;40,"35-39",IF(Table1[[#This Row],[Age]]&lt;50,"40-49","50+")))))</f>
        <v>40-49</v>
      </c>
    </row>
    <row r="547" spans="1:20" x14ac:dyDescent="0.35">
      <c r="A547">
        <v>1546</v>
      </c>
      <c r="B547" t="s">
        <v>54</v>
      </c>
      <c r="C547" t="s">
        <v>43</v>
      </c>
      <c r="D547" t="s">
        <v>17</v>
      </c>
      <c r="E547">
        <v>44</v>
      </c>
      <c r="F547" t="s">
        <v>38</v>
      </c>
      <c r="G547" t="s">
        <v>55</v>
      </c>
      <c r="H547" t="s">
        <v>35</v>
      </c>
      <c r="I547" s="1">
        <v>35820</v>
      </c>
      <c r="J547" t="s">
        <v>1639</v>
      </c>
      <c r="K547" t="s">
        <v>21</v>
      </c>
      <c r="L547">
        <v>8</v>
      </c>
      <c r="M547">
        <v>3</v>
      </c>
      <c r="N547" t="s">
        <v>23</v>
      </c>
      <c r="O547" t="s">
        <v>23</v>
      </c>
      <c r="P547" t="s">
        <v>747</v>
      </c>
      <c r="Q547" s="9" t="str">
        <f t="shared" si="17"/>
        <v>Valid</v>
      </c>
      <c r="R547">
        <v>9375429926</v>
      </c>
      <c r="S547" s="7" t="str">
        <f t="shared" si="16"/>
        <v>Valid</v>
      </c>
      <c r="T547" t="str">
        <f>IF(Table1[[#This Row],[Age]]&lt;25,"18-24",IF(Table1[[#This Row],[Age]]&lt;30,"25-29",IF(Table1[[#This Row],[Age]]&lt;35,"30-34",IF(Table1[[#This Row],[Age]]&lt;40,"35-39",IF(Table1[[#This Row],[Age]]&lt;50,"40-49","50+")))))</f>
        <v>40-49</v>
      </c>
    </row>
    <row r="548" spans="1:20" x14ac:dyDescent="0.35">
      <c r="A548">
        <v>1547</v>
      </c>
      <c r="B548" t="s">
        <v>37</v>
      </c>
      <c r="C548" t="s">
        <v>61</v>
      </c>
      <c r="D548" t="s">
        <v>27</v>
      </c>
      <c r="E548">
        <v>48</v>
      </c>
      <c r="F548" t="s">
        <v>69</v>
      </c>
      <c r="G548" t="s">
        <v>39</v>
      </c>
      <c r="H548" t="s">
        <v>28</v>
      </c>
      <c r="I548" s="1">
        <v>55932</v>
      </c>
      <c r="J548" t="s">
        <v>1640</v>
      </c>
      <c r="K548" t="s">
        <v>21</v>
      </c>
      <c r="L548">
        <v>10</v>
      </c>
      <c r="M548">
        <v>3</v>
      </c>
      <c r="N548" t="s">
        <v>22</v>
      </c>
      <c r="O548" t="s">
        <v>23</v>
      </c>
      <c r="P548" t="s">
        <v>748</v>
      </c>
      <c r="Q548" s="9" t="str">
        <f t="shared" si="17"/>
        <v>Valid</v>
      </c>
      <c r="R548">
        <v>9435794530</v>
      </c>
      <c r="S548" s="7" t="str">
        <f t="shared" si="16"/>
        <v>Valid</v>
      </c>
      <c r="T548" t="str">
        <f>IF(Table1[[#This Row],[Age]]&lt;25,"18-24",IF(Table1[[#This Row],[Age]]&lt;30,"25-29",IF(Table1[[#This Row],[Age]]&lt;35,"30-34",IF(Table1[[#This Row],[Age]]&lt;40,"35-39",IF(Table1[[#This Row],[Age]]&lt;50,"40-49","50+")))))</f>
        <v>40-49</v>
      </c>
    </row>
    <row r="549" spans="1:20" x14ac:dyDescent="0.35">
      <c r="A549">
        <v>1548</v>
      </c>
      <c r="B549" t="s">
        <v>58</v>
      </c>
      <c r="C549" t="s">
        <v>43</v>
      </c>
      <c r="D549" t="s">
        <v>27</v>
      </c>
      <c r="E549">
        <v>49</v>
      </c>
      <c r="F549" t="s">
        <v>18</v>
      </c>
      <c r="G549" t="s">
        <v>55</v>
      </c>
      <c r="H549" t="s">
        <v>28</v>
      </c>
      <c r="I549" s="1">
        <v>61603</v>
      </c>
      <c r="J549" t="s">
        <v>183</v>
      </c>
      <c r="K549" t="s">
        <v>49</v>
      </c>
      <c r="L549">
        <v>16</v>
      </c>
      <c r="M549">
        <v>4</v>
      </c>
      <c r="N549" t="s">
        <v>22</v>
      </c>
      <c r="O549" t="s">
        <v>23</v>
      </c>
      <c r="P549" t="s">
        <v>749</v>
      </c>
      <c r="Q549" s="9" t="str">
        <f t="shared" si="17"/>
        <v>Valid</v>
      </c>
      <c r="R549">
        <v>9623905441</v>
      </c>
      <c r="S549" s="7" t="str">
        <f t="shared" si="16"/>
        <v>Valid</v>
      </c>
      <c r="T549" t="str">
        <f>IF(Table1[[#This Row],[Age]]&lt;25,"18-24",IF(Table1[[#This Row],[Age]]&lt;30,"25-29",IF(Table1[[#This Row],[Age]]&lt;35,"30-34",IF(Table1[[#This Row],[Age]]&lt;40,"35-39",IF(Table1[[#This Row],[Age]]&lt;50,"40-49","50+")))))</f>
        <v>40-49</v>
      </c>
    </row>
    <row r="550" spans="1:20" x14ac:dyDescent="0.35">
      <c r="A550">
        <v>1549</v>
      </c>
      <c r="B550" t="s">
        <v>37</v>
      </c>
      <c r="C550" t="s">
        <v>26</v>
      </c>
      <c r="D550" t="s">
        <v>27</v>
      </c>
      <c r="E550">
        <v>32</v>
      </c>
      <c r="F550" t="s">
        <v>38</v>
      </c>
      <c r="G550" t="s">
        <v>55</v>
      </c>
      <c r="H550" t="s">
        <v>44</v>
      </c>
      <c r="I550" s="1">
        <v>50687</v>
      </c>
      <c r="J550" t="s">
        <v>1514</v>
      </c>
      <c r="K550" t="s">
        <v>30</v>
      </c>
      <c r="L550">
        <v>20</v>
      </c>
      <c r="M550">
        <v>5</v>
      </c>
      <c r="N550" t="s">
        <v>22</v>
      </c>
      <c r="O550" t="s">
        <v>23</v>
      </c>
      <c r="P550" t="s">
        <v>750</v>
      </c>
      <c r="Q550" s="9" t="str">
        <f t="shared" si="17"/>
        <v>Valid</v>
      </c>
      <c r="R550">
        <v>9847360382</v>
      </c>
      <c r="S550" s="7" t="str">
        <f t="shared" si="16"/>
        <v>Valid</v>
      </c>
      <c r="T550" t="str">
        <f>IF(Table1[[#This Row],[Age]]&lt;25,"18-24",IF(Table1[[#This Row],[Age]]&lt;30,"25-29",IF(Table1[[#This Row],[Age]]&lt;35,"30-34",IF(Table1[[#This Row],[Age]]&lt;40,"35-39",IF(Table1[[#This Row],[Age]]&lt;50,"40-49","50+")))))</f>
        <v>30-34</v>
      </c>
    </row>
    <row r="551" spans="1:20" x14ac:dyDescent="0.35">
      <c r="A551">
        <v>1550</v>
      </c>
      <c r="B551" t="s">
        <v>15</v>
      </c>
      <c r="C551" t="s">
        <v>32</v>
      </c>
      <c r="D551" t="s">
        <v>27</v>
      </c>
      <c r="E551">
        <v>58</v>
      </c>
      <c r="F551" t="s">
        <v>18</v>
      </c>
      <c r="G551" t="s">
        <v>34</v>
      </c>
      <c r="H551" t="s">
        <v>44</v>
      </c>
      <c r="I551" s="1">
        <v>55393</v>
      </c>
      <c r="J551" t="s">
        <v>1641</v>
      </c>
      <c r="K551" t="s">
        <v>46</v>
      </c>
      <c r="L551">
        <v>5</v>
      </c>
      <c r="M551">
        <v>2</v>
      </c>
      <c r="N551" t="s">
        <v>22</v>
      </c>
      <c r="O551" t="s">
        <v>22</v>
      </c>
      <c r="P551" s="3" t="s">
        <v>1318</v>
      </c>
      <c r="Q551" s="9" t="str">
        <f t="shared" si="17"/>
        <v>Invalid</v>
      </c>
      <c r="R551">
        <v>9400523475</v>
      </c>
      <c r="S551" s="7" t="str">
        <f t="shared" si="16"/>
        <v>Valid</v>
      </c>
      <c r="T551" t="str">
        <f>IF(Table1[[#This Row],[Age]]&lt;25,"18-24",IF(Table1[[#This Row],[Age]]&lt;30,"25-29",IF(Table1[[#This Row],[Age]]&lt;35,"30-34",IF(Table1[[#This Row],[Age]]&lt;40,"35-39",IF(Table1[[#This Row],[Age]]&lt;50,"40-49","50+")))))</f>
        <v>50+</v>
      </c>
    </row>
    <row r="552" spans="1:20" x14ac:dyDescent="0.35">
      <c r="A552">
        <v>1551</v>
      </c>
      <c r="B552" t="s">
        <v>37</v>
      </c>
      <c r="C552" t="s">
        <v>61</v>
      </c>
      <c r="D552" t="s">
        <v>17</v>
      </c>
      <c r="E552">
        <v>44</v>
      </c>
      <c r="F552" t="s">
        <v>62</v>
      </c>
      <c r="G552" t="s">
        <v>19</v>
      </c>
      <c r="H552" t="s">
        <v>56</v>
      </c>
      <c r="I552" s="1">
        <v>50248</v>
      </c>
      <c r="J552" t="s">
        <v>751</v>
      </c>
      <c r="K552" t="s">
        <v>30</v>
      </c>
      <c r="L552">
        <v>18</v>
      </c>
      <c r="M552">
        <v>4</v>
      </c>
      <c r="N552" t="s">
        <v>22</v>
      </c>
      <c r="O552" t="s">
        <v>23</v>
      </c>
      <c r="P552" t="s">
        <v>752</v>
      </c>
      <c r="Q552" s="9" t="str">
        <f t="shared" si="17"/>
        <v>Invalid</v>
      </c>
      <c r="R552">
        <v>9870844635</v>
      </c>
      <c r="S552" s="7" t="str">
        <f t="shared" si="16"/>
        <v>Valid</v>
      </c>
      <c r="T552" t="str">
        <f>IF(Table1[[#This Row],[Age]]&lt;25,"18-24",IF(Table1[[#This Row],[Age]]&lt;30,"25-29",IF(Table1[[#This Row],[Age]]&lt;35,"30-34",IF(Table1[[#This Row],[Age]]&lt;40,"35-39",IF(Table1[[#This Row],[Age]]&lt;50,"40-49","50+")))))</f>
        <v>40-49</v>
      </c>
    </row>
    <row r="553" spans="1:20" x14ac:dyDescent="0.35">
      <c r="A553">
        <v>1552</v>
      </c>
      <c r="B553" t="s">
        <v>60</v>
      </c>
      <c r="C553" t="s">
        <v>26</v>
      </c>
      <c r="D553" t="s">
        <v>17</v>
      </c>
      <c r="E553">
        <v>42</v>
      </c>
      <c r="F553" t="s">
        <v>38</v>
      </c>
      <c r="G553" t="s">
        <v>39</v>
      </c>
      <c r="H553" t="s">
        <v>56</v>
      </c>
      <c r="I553" s="1">
        <v>47236</v>
      </c>
      <c r="J553" t="s">
        <v>1642</v>
      </c>
      <c r="K553" t="s">
        <v>49</v>
      </c>
      <c r="L553">
        <v>3</v>
      </c>
      <c r="M553">
        <v>1</v>
      </c>
      <c r="N553" t="s">
        <v>23</v>
      </c>
      <c r="O553" t="s">
        <v>22</v>
      </c>
      <c r="P553" t="s">
        <v>753</v>
      </c>
      <c r="Q553" s="9" t="str">
        <f t="shared" si="17"/>
        <v>Valid</v>
      </c>
      <c r="R553">
        <v>9820971818</v>
      </c>
      <c r="S553" s="7" t="str">
        <f t="shared" si="16"/>
        <v>Valid</v>
      </c>
      <c r="T553" t="str">
        <f>IF(Table1[[#This Row],[Age]]&lt;25,"18-24",IF(Table1[[#This Row],[Age]]&lt;30,"25-29",IF(Table1[[#This Row],[Age]]&lt;35,"30-34",IF(Table1[[#This Row],[Age]]&lt;40,"35-39",IF(Table1[[#This Row],[Age]]&lt;50,"40-49","50+")))))</f>
        <v>40-49</v>
      </c>
    </row>
    <row r="554" spans="1:20" x14ac:dyDescent="0.35">
      <c r="A554">
        <v>1553</v>
      </c>
      <c r="B554" t="s">
        <v>42</v>
      </c>
      <c r="C554" t="s">
        <v>26</v>
      </c>
      <c r="D554" t="s">
        <v>17</v>
      </c>
      <c r="E554">
        <v>56</v>
      </c>
      <c r="F554" t="s">
        <v>38</v>
      </c>
      <c r="G554" t="s">
        <v>19</v>
      </c>
      <c r="H554" t="s">
        <v>20</v>
      </c>
      <c r="I554" s="1">
        <v>81944</v>
      </c>
      <c r="J554" t="s">
        <v>1643</v>
      </c>
      <c r="K554" t="s">
        <v>49</v>
      </c>
      <c r="L554">
        <v>6</v>
      </c>
      <c r="M554">
        <v>5</v>
      </c>
      <c r="N554" t="s">
        <v>23</v>
      </c>
      <c r="O554" t="s">
        <v>22</v>
      </c>
      <c r="P554" t="s">
        <v>754</v>
      </c>
      <c r="Q554" s="9" t="str">
        <f t="shared" si="17"/>
        <v>Valid</v>
      </c>
      <c r="R554">
        <v>9649593173</v>
      </c>
      <c r="S554" s="7" t="str">
        <f t="shared" si="16"/>
        <v>Valid</v>
      </c>
      <c r="T554" t="str">
        <f>IF(Table1[[#This Row],[Age]]&lt;25,"18-24",IF(Table1[[#This Row],[Age]]&lt;30,"25-29",IF(Table1[[#This Row],[Age]]&lt;35,"30-34",IF(Table1[[#This Row],[Age]]&lt;40,"35-39",IF(Table1[[#This Row],[Age]]&lt;50,"40-49","50+")))))</f>
        <v>50+</v>
      </c>
    </row>
    <row r="555" spans="1:20" x14ac:dyDescent="0.35">
      <c r="A555">
        <v>1554</v>
      </c>
      <c r="B555" t="s">
        <v>58</v>
      </c>
      <c r="C555" t="s">
        <v>43</v>
      </c>
      <c r="D555" t="s">
        <v>17</v>
      </c>
      <c r="E555">
        <v>27</v>
      </c>
      <c r="F555" t="s">
        <v>69</v>
      </c>
      <c r="G555" t="s">
        <v>34</v>
      </c>
      <c r="H555" t="s">
        <v>28</v>
      </c>
      <c r="I555" s="1">
        <v>76685</v>
      </c>
      <c r="J555" t="s">
        <v>755</v>
      </c>
      <c r="K555" t="s">
        <v>40</v>
      </c>
      <c r="L555">
        <v>19</v>
      </c>
      <c r="M555">
        <v>1</v>
      </c>
      <c r="N555" t="s">
        <v>23</v>
      </c>
      <c r="O555" t="s">
        <v>22</v>
      </c>
      <c r="P555" s="3" t="s">
        <v>1318</v>
      </c>
      <c r="Q555" s="9" t="str">
        <f t="shared" si="17"/>
        <v>Invalid</v>
      </c>
      <c r="R555">
        <v>9709719358</v>
      </c>
      <c r="S555" s="7" t="str">
        <f t="shared" si="16"/>
        <v>Valid</v>
      </c>
      <c r="T555" t="str">
        <f>IF(Table1[[#This Row],[Age]]&lt;25,"18-24",IF(Table1[[#This Row],[Age]]&lt;30,"25-29",IF(Table1[[#This Row],[Age]]&lt;35,"30-34",IF(Table1[[#This Row],[Age]]&lt;40,"35-39",IF(Table1[[#This Row],[Age]]&lt;50,"40-49","50+")))))</f>
        <v>25-29</v>
      </c>
    </row>
    <row r="556" spans="1:20" x14ac:dyDescent="0.35">
      <c r="A556">
        <v>1555</v>
      </c>
      <c r="B556" t="s">
        <v>82</v>
      </c>
      <c r="C556" t="s">
        <v>32</v>
      </c>
      <c r="D556" t="s">
        <v>27</v>
      </c>
      <c r="E556">
        <v>50</v>
      </c>
      <c r="F556" t="s">
        <v>38</v>
      </c>
      <c r="G556" t="s">
        <v>55</v>
      </c>
      <c r="H556" t="s">
        <v>20</v>
      </c>
      <c r="I556" s="1">
        <v>26568</v>
      </c>
      <c r="J556" t="s">
        <v>1642</v>
      </c>
      <c r="K556" t="s">
        <v>30</v>
      </c>
      <c r="L556">
        <v>3</v>
      </c>
      <c r="M556">
        <v>3</v>
      </c>
      <c r="N556" t="s">
        <v>23</v>
      </c>
      <c r="O556" t="s">
        <v>22</v>
      </c>
      <c r="P556" t="s">
        <v>756</v>
      </c>
      <c r="Q556" s="9" t="str">
        <f t="shared" si="17"/>
        <v>Valid</v>
      </c>
      <c r="R556">
        <v>9756117033</v>
      </c>
      <c r="S556" s="7" t="str">
        <f t="shared" si="16"/>
        <v>Valid</v>
      </c>
      <c r="T556" t="str">
        <f>IF(Table1[[#This Row],[Age]]&lt;25,"18-24",IF(Table1[[#This Row],[Age]]&lt;30,"25-29",IF(Table1[[#This Row],[Age]]&lt;35,"30-34",IF(Table1[[#This Row],[Age]]&lt;40,"35-39",IF(Table1[[#This Row],[Age]]&lt;50,"40-49","50+")))))</f>
        <v>50+</v>
      </c>
    </row>
    <row r="557" spans="1:20" x14ac:dyDescent="0.35">
      <c r="A557">
        <v>1556</v>
      </c>
      <c r="B557" t="s">
        <v>64</v>
      </c>
      <c r="C557" t="s">
        <v>16</v>
      </c>
      <c r="D557" t="s">
        <v>27</v>
      </c>
      <c r="E557">
        <v>54</v>
      </c>
      <c r="F557" t="s">
        <v>62</v>
      </c>
      <c r="G557" t="s">
        <v>55</v>
      </c>
      <c r="H557" t="s">
        <v>35</v>
      </c>
      <c r="I557" s="1">
        <v>48810</v>
      </c>
      <c r="J557" t="s">
        <v>1644</v>
      </c>
      <c r="K557" t="s">
        <v>46</v>
      </c>
      <c r="L557">
        <v>19</v>
      </c>
      <c r="M557">
        <v>5</v>
      </c>
      <c r="N557" t="s">
        <v>23</v>
      </c>
      <c r="O557" t="s">
        <v>22</v>
      </c>
      <c r="P557" t="s">
        <v>757</v>
      </c>
      <c r="Q557" s="9" t="str">
        <f t="shared" si="17"/>
        <v>Valid</v>
      </c>
      <c r="R557">
        <v>9116024152</v>
      </c>
      <c r="S557" s="7" t="str">
        <f t="shared" si="16"/>
        <v>Valid</v>
      </c>
      <c r="T557" t="str">
        <f>IF(Table1[[#This Row],[Age]]&lt;25,"18-24",IF(Table1[[#This Row],[Age]]&lt;30,"25-29",IF(Table1[[#This Row],[Age]]&lt;35,"30-34",IF(Table1[[#This Row],[Age]]&lt;40,"35-39",IF(Table1[[#This Row],[Age]]&lt;50,"40-49","50+")))))</f>
        <v>50+</v>
      </c>
    </row>
    <row r="558" spans="1:20" x14ac:dyDescent="0.35">
      <c r="A558">
        <v>1557</v>
      </c>
      <c r="B558" t="s">
        <v>54</v>
      </c>
      <c r="C558" t="s">
        <v>43</v>
      </c>
      <c r="D558" t="s">
        <v>17</v>
      </c>
      <c r="E558">
        <v>23</v>
      </c>
      <c r="F558" t="s">
        <v>69</v>
      </c>
      <c r="G558" t="s">
        <v>39</v>
      </c>
      <c r="H558" t="s">
        <v>44</v>
      </c>
      <c r="I558" s="1">
        <v>56247</v>
      </c>
      <c r="J558" t="s">
        <v>623</v>
      </c>
      <c r="K558" t="s">
        <v>21</v>
      </c>
      <c r="L558">
        <v>14</v>
      </c>
      <c r="M558">
        <v>1</v>
      </c>
      <c r="N558" t="s">
        <v>22</v>
      </c>
      <c r="O558" t="s">
        <v>23</v>
      </c>
      <c r="P558" t="s">
        <v>758</v>
      </c>
      <c r="Q558" s="9" t="str">
        <f t="shared" si="17"/>
        <v>Valid</v>
      </c>
      <c r="R558">
        <v>9794366997</v>
      </c>
      <c r="S558" s="7" t="str">
        <f t="shared" si="16"/>
        <v>Valid</v>
      </c>
      <c r="T558" t="str">
        <f>IF(Table1[[#This Row],[Age]]&lt;25,"18-24",IF(Table1[[#This Row],[Age]]&lt;30,"25-29",IF(Table1[[#This Row],[Age]]&lt;35,"30-34",IF(Table1[[#This Row],[Age]]&lt;40,"35-39",IF(Table1[[#This Row],[Age]]&lt;50,"40-49","50+")))))</f>
        <v>18-24</v>
      </c>
    </row>
    <row r="559" spans="1:20" x14ac:dyDescent="0.35">
      <c r="A559">
        <v>1558</v>
      </c>
      <c r="B559" t="s">
        <v>64</v>
      </c>
      <c r="C559" t="s">
        <v>43</v>
      </c>
      <c r="D559" t="s">
        <v>27</v>
      </c>
      <c r="E559">
        <v>46</v>
      </c>
      <c r="F559" t="s">
        <v>18</v>
      </c>
      <c r="G559" t="s">
        <v>39</v>
      </c>
      <c r="H559" t="s">
        <v>56</v>
      </c>
      <c r="I559" s="1">
        <v>46504</v>
      </c>
      <c r="J559" t="s">
        <v>1645</v>
      </c>
      <c r="K559" t="s">
        <v>49</v>
      </c>
      <c r="L559">
        <v>16</v>
      </c>
      <c r="M559">
        <v>3</v>
      </c>
      <c r="N559" t="s">
        <v>22</v>
      </c>
      <c r="O559" t="s">
        <v>22</v>
      </c>
      <c r="P559" t="s">
        <v>759</v>
      </c>
      <c r="Q559" s="9" t="str">
        <f t="shared" si="17"/>
        <v>Valid</v>
      </c>
      <c r="R559">
        <v>9304323993</v>
      </c>
      <c r="S559" s="7" t="str">
        <f t="shared" si="16"/>
        <v>Valid</v>
      </c>
      <c r="T559" t="str">
        <f>IF(Table1[[#This Row],[Age]]&lt;25,"18-24",IF(Table1[[#This Row],[Age]]&lt;30,"25-29",IF(Table1[[#This Row],[Age]]&lt;35,"30-34",IF(Table1[[#This Row],[Age]]&lt;40,"35-39",IF(Table1[[#This Row],[Age]]&lt;50,"40-49","50+")))))</f>
        <v>40-49</v>
      </c>
    </row>
    <row r="560" spans="1:20" x14ac:dyDescent="0.35">
      <c r="A560">
        <v>1559</v>
      </c>
      <c r="B560" t="s">
        <v>25</v>
      </c>
      <c r="C560" t="s">
        <v>61</v>
      </c>
      <c r="D560" t="s">
        <v>27</v>
      </c>
      <c r="E560">
        <v>56</v>
      </c>
      <c r="F560" t="s">
        <v>69</v>
      </c>
      <c r="G560" t="s">
        <v>34</v>
      </c>
      <c r="H560" t="s">
        <v>20</v>
      </c>
      <c r="I560" s="1">
        <v>117874</v>
      </c>
      <c r="J560" t="s">
        <v>1646</v>
      </c>
      <c r="K560" t="s">
        <v>40</v>
      </c>
      <c r="L560">
        <v>3</v>
      </c>
      <c r="M560">
        <v>1</v>
      </c>
      <c r="N560" t="s">
        <v>22</v>
      </c>
      <c r="O560" t="s">
        <v>23</v>
      </c>
      <c r="P560" t="s">
        <v>760</v>
      </c>
      <c r="Q560" s="9" t="str">
        <f t="shared" si="17"/>
        <v>Valid</v>
      </c>
      <c r="R560">
        <v>9956200472</v>
      </c>
      <c r="S560" s="7" t="str">
        <f t="shared" si="16"/>
        <v>Valid</v>
      </c>
      <c r="T560" t="str">
        <f>IF(Table1[[#This Row],[Age]]&lt;25,"18-24",IF(Table1[[#This Row],[Age]]&lt;30,"25-29",IF(Table1[[#This Row],[Age]]&lt;35,"30-34",IF(Table1[[#This Row],[Age]]&lt;40,"35-39",IF(Table1[[#This Row],[Age]]&lt;50,"40-49","50+")))))</f>
        <v>50+</v>
      </c>
    </row>
    <row r="561" spans="1:20" x14ac:dyDescent="0.35">
      <c r="A561">
        <v>1560</v>
      </c>
      <c r="B561" t="s">
        <v>58</v>
      </c>
      <c r="C561" t="s">
        <v>26</v>
      </c>
      <c r="D561" t="s">
        <v>27</v>
      </c>
      <c r="E561">
        <v>36</v>
      </c>
      <c r="F561" t="s">
        <v>38</v>
      </c>
      <c r="G561" t="s">
        <v>55</v>
      </c>
      <c r="H561" t="s">
        <v>35</v>
      </c>
      <c r="I561" s="1">
        <v>80639</v>
      </c>
      <c r="J561" t="s">
        <v>1647</v>
      </c>
      <c r="K561" t="s">
        <v>46</v>
      </c>
      <c r="L561">
        <v>9</v>
      </c>
      <c r="M561">
        <v>5</v>
      </c>
      <c r="N561" t="s">
        <v>23</v>
      </c>
      <c r="O561" t="s">
        <v>22</v>
      </c>
      <c r="P561" t="s">
        <v>761</v>
      </c>
      <c r="Q561" s="9" t="str">
        <f t="shared" si="17"/>
        <v>Valid</v>
      </c>
      <c r="R561">
        <v>9039016403</v>
      </c>
      <c r="S561" s="7" t="str">
        <f t="shared" si="16"/>
        <v>Valid</v>
      </c>
      <c r="T561" t="str">
        <f>IF(Table1[[#This Row],[Age]]&lt;25,"18-24",IF(Table1[[#This Row],[Age]]&lt;30,"25-29",IF(Table1[[#This Row],[Age]]&lt;35,"30-34",IF(Table1[[#This Row],[Age]]&lt;40,"35-39",IF(Table1[[#This Row],[Age]]&lt;50,"40-49","50+")))))</f>
        <v>35-39</v>
      </c>
    </row>
    <row r="562" spans="1:20" x14ac:dyDescent="0.35">
      <c r="A562">
        <v>1561</v>
      </c>
      <c r="B562" t="s">
        <v>64</v>
      </c>
      <c r="C562" t="s">
        <v>43</v>
      </c>
      <c r="D562" t="s">
        <v>17</v>
      </c>
      <c r="E562">
        <v>25</v>
      </c>
      <c r="F562" t="s">
        <v>38</v>
      </c>
      <c r="G562" t="s">
        <v>39</v>
      </c>
      <c r="H562" t="s">
        <v>56</v>
      </c>
      <c r="I562" s="1">
        <v>112377</v>
      </c>
      <c r="J562" t="s">
        <v>762</v>
      </c>
      <c r="K562" t="s">
        <v>46</v>
      </c>
      <c r="L562">
        <v>13</v>
      </c>
      <c r="M562">
        <v>4</v>
      </c>
      <c r="N562" t="s">
        <v>22</v>
      </c>
      <c r="O562" t="s">
        <v>23</v>
      </c>
      <c r="P562" t="s">
        <v>763</v>
      </c>
      <c r="Q562" s="9" t="str">
        <f t="shared" si="17"/>
        <v>Valid</v>
      </c>
      <c r="R562">
        <v>9148581037</v>
      </c>
      <c r="S562" s="7" t="str">
        <f t="shared" si="16"/>
        <v>Valid</v>
      </c>
      <c r="T562" t="str">
        <f>IF(Table1[[#This Row],[Age]]&lt;25,"18-24",IF(Table1[[#This Row],[Age]]&lt;30,"25-29",IF(Table1[[#This Row],[Age]]&lt;35,"30-34",IF(Table1[[#This Row],[Age]]&lt;40,"35-39",IF(Table1[[#This Row],[Age]]&lt;50,"40-49","50+")))))</f>
        <v>25-29</v>
      </c>
    </row>
    <row r="563" spans="1:20" x14ac:dyDescent="0.35">
      <c r="A563">
        <v>1562</v>
      </c>
      <c r="B563" t="s">
        <v>37</v>
      </c>
      <c r="C563" t="s">
        <v>32</v>
      </c>
      <c r="D563" t="s">
        <v>27</v>
      </c>
      <c r="E563">
        <v>28</v>
      </c>
      <c r="F563" t="s">
        <v>38</v>
      </c>
      <c r="G563" t="s">
        <v>77</v>
      </c>
      <c r="H563" t="s">
        <v>28</v>
      </c>
      <c r="I563" s="1">
        <v>105013</v>
      </c>
      <c r="J563" t="s">
        <v>1648</v>
      </c>
      <c r="K563" t="s">
        <v>40</v>
      </c>
      <c r="L563">
        <v>3</v>
      </c>
      <c r="M563">
        <v>5</v>
      </c>
      <c r="N563" t="s">
        <v>22</v>
      </c>
      <c r="O563" t="s">
        <v>22</v>
      </c>
      <c r="P563" t="s">
        <v>764</v>
      </c>
      <c r="Q563" s="9" t="str">
        <f t="shared" si="17"/>
        <v>Valid</v>
      </c>
      <c r="R563">
        <v>9752787023</v>
      </c>
      <c r="S563" s="7" t="str">
        <f t="shared" si="16"/>
        <v>Valid</v>
      </c>
      <c r="T563" t="str">
        <f>IF(Table1[[#This Row],[Age]]&lt;25,"18-24",IF(Table1[[#This Row],[Age]]&lt;30,"25-29",IF(Table1[[#This Row],[Age]]&lt;35,"30-34",IF(Table1[[#This Row],[Age]]&lt;40,"35-39",IF(Table1[[#This Row],[Age]]&lt;50,"40-49","50+")))))</f>
        <v>25-29</v>
      </c>
    </row>
    <row r="564" spans="1:20" x14ac:dyDescent="0.35">
      <c r="A564">
        <v>1563</v>
      </c>
      <c r="B564" t="s">
        <v>67</v>
      </c>
      <c r="C564" t="s">
        <v>26</v>
      </c>
      <c r="D564" t="s">
        <v>27</v>
      </c>
      <c r="E564">
        <v>44</v>
      </c>
      <c r="F564" t="s">
        <v>69</v>
      </c>
      <c r="G564" t="s">
        <v>77</v>
      </c>
      <c r="H564" t="s">
        <v>28</v>
      </c>
      <c r="I564" s="1">
        <v>107873</v>
      </c>
      <c r="J564" t="s">
        <v>1649</v>
      </c>
      <c r="K564" t="s">
        <v>46</v>
      </c>
      <c r="L564">
        <v>21</v>
      </c>
      <c r="M564">
        <v>3</v>
      </c>
      <c r="N564" t="s">
        <v>22</v>
      </c>
      <c r="O564" t="s">
        <v>22</v>
      </c>
      <c r="P564" t="s">
        <v>765</v>
      </c>
      <c r="Q564" s="9" t="str">
        <f t="shared" si="17"/>
        <v>Valid</v>
      </c>
      <c r="R564">
        <v>9152006014</v>
      </c>
      <c r="S564" s="7" t="str">
        <f t="shared" si="16"/>
        <v>Valid</v>
      </c>
      <c r="T564" t="str">
        <f>IF(Table1[[#This Row],[Age]]&lt;25,"18-24",IF(Table1[[#This Row],[Age]]&lt;30,"25-29",IF(Table1[[#This Row],[Age]]&lt;35,"30-34",IF(Table1[[#This Row],[Age]]&lt;40,"35-39",IF(Table1[[#This Row],[Age]]&lt;50,"40-49","50+")))))</f>
        <v>40-49</v>
      </c>
    </row>
    <row r="565" spans="1:20" x14ac:dyDescent="0.35">
      <c r="A565">
        <v>1564</v>
      </c>
      <c r="B565" t="s">
        <v>15</v>
      </c>
      <c r="C565" t="s">
        <v>16</v>
      </c>
      <c r="D565" t="s">
        <v>17</v>
      </c>
      <c r="E565">
        <v>29</v>
      </c>
      <c r="F565" t="s">
        <v>33</v>
      </c>
      <c r="G565" t="s">
        <v>39</v>
      </c>
      <c r="H565" t="s">
        <v>35</v>
      </c>
      <c r="I565" s="1">
        <v>53495</v>
      </c>
      <c r="J565" t="s">
        <v>766</v>
      </c>
      <c r="K565" t="s">
        <v>49</v>
      </c>
      <c r="L565">
        <v>11</v>
      </c>
      <c r="M565">
        <v>4</v>
      </c>
      <c r="N565" t="s">
        <v>23</v>
      </c>
      <c r="O565" t="s">
        <v>23</v>
      </c>
      <c r="P565" t="s">
        <v>767</v>
      </c>
      <c r="Q565" s="9" t="str">
        <f t="shared" si="17"/>
        <v>Valid</v>
      </c>
      <c r="R565">
        <v>9215132188</v>
      </c>
      <c r="S565" s="7" t="str">
        <f t="shared" si="16"/>
        <v>Valid</v>
      </c>
      <c r="T565" t="str">
        <f>IF(Table1[[#This Row],[Age]]&lt;25,"18-24",IF(Table1[[#This Row],[Age]]&lt;30,"25-29",IF(Table1[[#This Row],[Age]]&lt;35,"30-34",IF(Table1[[#This Row],[Age]]&lt;40,"35-39",IF(Table1[[#This Row],[Age]]&lt;50,"40-49","50+")))))</f>
        <v>25-29</v>
      </c>
    </row>
    <row r="566" spans="1:20" x14ac:dyDescent="0.35">
      <c r="A566">
        <v>1565</v>
      </c>
      <c r="B566" t="s">
        <v>58</v>
      </c>
      <c r="C566" t="s">
        <v>43</v>
      </c>
      <c r="D566" t="s">
        <v>27</v>
      </c>
      <c r="E566">
        <v>45</v>
      </c>
      <c r="F566" t="s">
        <v>38</v>
      </c>
      <c r="G566" t="s">
        <v>39</v>
      </c>
      <c r="H566" t="s">
        <v>20</v>
      </c>
      <c r="I566" s="1">
        <v>63242</v>
      </c>
      <c r="J566" t="s">
        <v>1650</v>
      </c>
      <c r="K566" t="s">
        <v>30</v>
      </c>
      <c r="L566">
        <v>15</v>
      </c>
      <c r="M566">
        <v>2</v>
      </c>
      <c r="N566" t="s">
        <v>23</v>
      </c>
      <c r="O566" t="s">
        <v>23</v>
      </c>
      <c r="P566" t="s">
        <v>768</v>
      </c>
      <c r="Q566" s="9" t="str">
        <f t="shared" si="17"/>
        <v>Valid</v>
      </c>
      <c r="R566">
        <v>9310882206</v>
      </c>
      <c r="S566" s="7" t="str">
        <f t="shared" si="16"/>
        <v>Valid</v>
      </c>
      <c r="T566" t="str">
        <f>IF(Table1[[#This Row],[Age]]&lt;25,"18-24",IF(Table1[[#This Row],[Age]]&lt;30,"25-29",IF(Table1[[#This Row],[Age]]&lt;35,"30-34",IF(Table1[[#This Row],[Age]]&lt;40,"35-39",IF(Table1[[#This Row],[Age]]&lt;50,"40-49","50+")))))</f>
        <v>40-49</v>
      </c>
    </row>
    <row r="567" spans="1:20" x14ac:dyDescent="0.35">
      <c r="A567">
        <v>1566</v>
      </c>
      <c r="B567" t="s">
        <v>67</v>
      </c>
      <c r="C567" t="s">
        <v>43</v>
      </c>
      <c r="D567" t="s">
        <v>27</v>
      </c>
      <c r="E567">
        <v>23</v>
      </c>
      <c r="F567" t="s">
        <v>69</v>
      </c>
      <c r="G567" t="s">
        <v>34</v>
      </c>
      <c r="H567" t="s">
        <v>28</v>
      </c>
      <c r="I567" s="1">
        <v>68800</v>
      </c>
      <c r="J567" t="s">
        <v>1651</v>
      </c>
      <c r="K567" t="s">
        <v>49</v>
      </c>
      <c r="L567">
        <v>6</v>
      </c>
      <c r="M567">
        <v>4</v>
      </c>
      <c r="N567" t="s">
        <v>23</v>
      </c>
      <c r="O567" t="s">
        <v>22</v>
      </c>
      <c r="P567" t="s">
        <v>769</v>
      </c>
      <c r="Q567" s="9" t="str">
        <f t="shared" si="17"/>
        <v>Valid</v>
      </c>
      <c r="R567">
        <v>9570436408</v>
      </c>
      <c r="S567" s="7" t="str">
        <f t="shared" si="16"/>
        <v>Valid</v>
      </c>
      <c r="T567" t="str">
        <f>IF(Table1[[#This Row],[Age]]&lt;25,"18-24",IF(Table1[[#This Row],[Age]]&lt;30,"25-29",IF(Table1[[#This Row],[Age]]&lt;35,"30-34",IF(Table1[[#This Row],[Age]]&lt;40,"35-39",IF(Table1[[#This Row],[Age]]&lt;50,"40-49","50+")))))</f>
        <v>18-24</v>
      </c>
    </row>
    <row r="568" spans="1:20" x14ac:dyDescent="0.35">
      <c r="A568">
        <v>1567</v>
      </c>
      <c r="B568" t="s">
        <v>15</v>
      </c>
      <c r="C568" t="s">
        <v>32</v>
      </c>
      <c r="D568" t="s">
        <v>27</v>
      </c>
      <c r="E568">
        <v>37</v>
      </c>
      <c r="F568" t="s">
        <v>62</v>
      </c>
      <c r="G568" t="s">
        <v>39</v>
      </c>
      <c r="H568" t="s">
        <v>44</v>
      </c>
      <c r="I568" s="1">
        <v>81297</v>
      </c>
      <c r="J568" t="s">
        <v>1652</v>
      </c>
      <c r="K568" t="s">
        <v>46</v>
      </c>
      <c r="L568">
        <v>1</v>
      </c>
      <c r="M568">
        <v>1</v>
      </c>
      <c r="N568" t="s">
        <v>22</v>
      </c>
      <c r="O568" t="s">
        <v>23</v>
      </c>
      <c r="P568" t="s">
        <v>770</v>
      </c>
      <c r="Q568" s="9" t="str">
        <f t="shared" si="17"/>
        <v>Valid</v>
      </c>
      <c r="R568">
        <v>9725838577</v>
      </c>
      <c r="S568" s="7" t="str">
        <f t="shared" si="16"/>
        <v>Valid</v>
      </c>
      <c r="T568" t="str">
        <f>IF(Table1[[#This Row],[Age]]&lt;25,"18-24",IF(Table1[[#This Row],[Age]]&lt;30,"25-29",IF(Table1[[#This Row],[Age]]&lt;35,"30-34",IF(Table1[[#This Row],[Age]]&lt;40,"35-39",IF(Table1[[#This Row],[Age]]&lt;50,"40-49","50+")))))</f>
        <v>35-39</v>
      </c>
    </row>
    <row r="569" spans="1:20" x14ac:dyDescent="0.35">
      <c r="A569">
        <v>1568</v>
      </c>
      <c r="B569" t="s">
        <v>42</v>
      </c>
      <c r="C569" t="s">
        <v>26</v>
      </c>
      <c r="D569" t="s">
        <v>27</v>
      </c>
      <c r="E569">
        <v>28</v>
      </c>
      <c r="F569" t="s">
        <v>69</v>
      </c>
      <c r="G569" t="s">
        <v>55</v>
      </c>
      <c r="H569" t="s">
        <v>44</v>
      </c>
      <c r="I569" s="2" t="s">
        <v>1316</v>
      </c>
      <c r="J569" t="s">
        <v>1340</v>
      </c>
      <c r="K569" t="s">
        <v>49</v>
      </c>
      <c r="L569">
        <v>3</v>
      </c>
      <c r="M569">
        <v>3</v>
      </c>
      <c r="N569" t="s">
        <v>22</v>
      </c>
      <c r="O569" t="s">
        <v>22</v>
      </c>
      <c r="P569" t="s">
        <v>771</v>
      </c>
      <c r="Q569" s="9" t="str">
        <f t="shared" si="17"/>
        <v>Valid</v>
      </c>
      <c r="R569">
        <v>9482440876</v>
      </c>
      <c r="S569" s="7" t="str">
        <f t="shared" si="16"/>
        <v>Valid</v>
      </c>
      <c r="T569" t="str">
        <f>IF(Table1[[#This Row],[Age]]&lt;25,"18-24",IF(Table1[[#This Row],[Age]]&lt;30,"25-29",IF(Table1[[#This Row],[Age]]&lt;35,"30-34",IF(Table1[[#This Row],[Age]]&lt;40,"35-39",IF(Table1[[#This Row],[Age]]&lt;50,"40-49","50+")))))</f>
        <v>25-29</v>
      </c>
    </row>
    <row r="570" spans="1:20" x14ac:dyDescent="0.35">
      <c r="A570">
        <v>1569</v>
      </c>
      <c r="B570" t="s">
        <v>42</v>
      </c>
      <c r="C570" t="s">
        <v>26</v>
      </c>
      <c r="D570" t="s">
        <v>17</v>
      </c>
      <c r="E570">
        <v>35</v>
      </c>
      <c r="F570" t="s">
        <v>18</v>
      </c>
      <c r="G570" t="s">
        <v>19</v>
      </c>
      <c r="H570" t="s">
        <v>35</v>
      </c>
      <c r="I570" s="1">
        <v>49442</v>
      </c>
      <c r="J570" t="s">
        <v>1653</v>
      </c>
      <c r="K570" t="s">
        <v>30</v>
      </c>
      <c r="L570">
        <v>9</v>
      </c>
      <c r="M570">
        <v>3</v>
      </c>
      <c r="N570" t="s">
        <v>23</v>
      </c>
      <c r="O570" t="s">
        <v>23</v>
      </c>
      <c r="P570" t="s">
        <v>772</v>
      </c>
      <c r="Q570" s="9" t="str">
        <f t="shared" si="17"/>
        <v>Valid</v>
      </c>
      <c r="R570">
        <v>9056337795</v>
      </c>
      <c r="S570" s="7" t="str">
        <f t="shared" si="16"/>
        <v>Valid</v>
      </c>
      <c r="T570" t="str">
        <f>IF(Table1[[#This Row],[Age]]&lt;25,"18-24",IF(Table1[[#This Row],[Age]]&lt;30,"25-29",IF(Table1[[#This Row],[Age]]&lt;35,"30-34",IF(Table1[[#This Row],[Age]]&lt;40,"35-39",IF(Table1[[#This Row],[Age]]&lt;50,"40-49","50+")))))</f>
        <v>35-39</v>
      </c>
    </row>
    <row r="571" spans="1:20" x14ac:dyDescent="0.35">
      <c r="A571">
        <v>1570</v>
      </c>
      <c r="B571" t="s">
        <v>60</v>
      </c>
      <c r="C571" t="s">
        <v>26</v>
      </c>
      <c r="D571" t="s">
        <v>27</v>
      </c>
      <c r="E571">
        <v>47</v>
      </c>
      <c r="F571" t="s">
        <v>62</v>
      </c>
      <c r="G571" t="s">
        <v>34</v>
      </c>
      <c r="H571" t="s">
        <v>44</v>
      </c>
      <c r="I571" s="1">
        <v>94733</v>
      </c>
      <c r="J571" t="s">
        <v>1654</v>
      </c>
      <c r="K571" t="s">
        <v>21</v>
      </c>
      <c r="L571">
        <v>8</v>
      </c>
      <c r="M571">
        <v>4</v>
      </c>
      <c r="N571" t="s">
        <v>22</v>
      </c>
      <c r="O571" t="s">
        <v>23</v>
      </c>
      <c r="P571" t="s">
        <v>773</v>
      </c>
      <c r="Q571" s="9" t="str">
        <f t="shared" si="17"/>
        <v>Valid</v>
      </c>
      <c r="R571">
        <v>9360234857</v>
      </c>
      <c r="S571" s="7" t="str">
        <f t="shared" si="16"/>
        <v>Valid</v>
      </c>
      <c r="T571" t="str">
        <f>IF(Table1[[#This Row],[Age]]&lt;25,"18-24",IF(Table1[[#This Row],[Age]]&lt;30,"25-29",IF(Table1[[#This Row],[Age]]&lt;35,"30-34",IF(Table1[[#This Row],[Age]]&lt;40,"35-39",IF(Table1[[#This Row],[Age]]&lt;50,"40-49","50+")))))</f>
        <v>40-49</v>
      </c>
    </row>
    <row r="572" spans="1:20" x14ac:dyDescent="0.35">
      <c r="A572">
        <v>1571</v>
      </c>
      <c r="B572" t="s">
        <v>60</v>
      </c>
      <c r="C572" t="s">
        <v>32</v>
      </c>
      <c r="D572" t="s">
        <v>17</v>
      </c>
      <c r="E572">
        <v>24</v>
      </c>
      <c r="F572" t="s">
        <v>18</v>
      </c>
      <c r="G572" t="s">
        <v>19</v>
      </c>
      <c r="H572" t="s">
        <v>28</v>
      </c>
      <c r="I572" s="1">
        <v>104122</v>
      </c>
      <c r="J572" t="s">
        <v>1655</v>
      </c>
      <c r="K572" t="s">
        <v>46</v>
      </c>
      <c r="L572">
        <v>24</v>
      </c>
      <c r="M572">
        <v>1</v>
      </c>
      <c r="N572" t="s">
        <v>23</v>
      </c>
      <c r="O572" t="s">
        <v>23</v>
      </c>
      <c r="P572" t="s">
        <v>774</v>
      </c>
      <c r="Q572" s="9" t="str">
        <f t="shared" si="17"/>
        <v>Valid</v>
      </c>
      <c r="R572">
        <v>9117405892</v>
      </c>
      <c r="S572" s="7" t="str">
        <f t="shared" si="16"/>
        <v>Valid</v>
      </c>
      <c r="T572" t="str">
        <f>IF(Table1[[#This Row],[Age]]&lt;25,"18-24",IF(Table1[[#This Row],[Age]]&lt;30,"25-29",IF(Table1[[#This Row],[Age]]&lt;35,"30-34",IF(Table1[[#This Row],[Age]]&lt;40,"35-39",IF(Table1[[#This Row],[Age]]&lt;50,"40-49","50+")))))</f>
        <v>18-24</v>
      </c>
    </row>
    <row r="573" spans="1:20" x14ac:dyDescent="0.35">
      <c r="A573">
        <v>1572</v>
      </c>
      <c r="B573" t="s">
        <v>42</v>
      </c>
      <c r="C573" t="s">
        <v>16</v>
      </c>
      <c r="D573" t="s">
        <v>27</v>
      </c>
      <c r="E573">
        <v>40</v>
      </c>
      <c r="F573" t="s">
        <v>38</v>
      </c>
      <c r="G573" t="s">
        <v>39</v>
      </c>
      <c r="H573" t="s">
        <v>44</v>
      </c>
      <c r="I573" s="1">
        <v>111554</v>
      </c>
      <c r="J573" t="s">
        <v>1656</v>
      </c>
      <c r="K573" t="s">
        <v>21</v>
      </c>
      <c r="L573">
        <v>17</v>
      </c>
      <c r="M573">
        <v>1</v>
      </c>
      <c r="N573" t="s">
        <v>22</v>
      </c>
      <c r="O573" t="s">
        <v>22</v>
      </c>
      <c r="P573" t="s">
        <v>775</v>
      </c>
      <c r="Q573" s="9" t="str">
        <f t="shared" si="17"/>
        <v>Valid</v>
      </c>
      <c r="R573">
        <v>9484911663</v>
      </c>
      <c r="S573" s="7" t="str">
        <f t="shared" si="16"/>
        <v>Valid</v>
      </c>
      <c r="T573" t="str">
        <f>IF(Table1[[#This Row],[Age]]&lt;25,"18-24",IF(Table1[[#This Row],[Age]]&lt;30,"25-29",IF(Table1[[#This Row],[Age]]&lt;35,"30-34",IF(Table1[[#This Row],[Age]]&lt;40,"35-39",IF(Table1[[#This Row],[Age]]&lt;50,"40-49","50+")))))</f>
        <v>40-49</v>
      </c>
    </row>
    <row r="574" spans="1:20" x14ac:dyDescent="0.35">
      <c r="A574">
        <v>1573</v>
      </c>
      <c r="B574" t="s">
        <v>54</v>
      </c>
      <c r="C574" t="s">
        <v>26</v>
      </c>
      <c r="D574" t="s">
        <v>27</v>
      </c>
      <c r="E574">
        <v>34</v>
      </c>
      <c r="F574" t="s">
        <v>62</v>
      </c>
      <c r="G574" t="s">
        <v>77</v>
      </c>
      <c r="H574" t="s">
        <v>56</v>
      </c>
      <c r="I574" s="1">
        <v>119776</v>
      </c>
      <c r="J574" t="s">
        <v>1461</v>
      </c>
      <c r="K574" t="s">
        <v>49</v>
      </c>
      <c r="L574">
        <v>2</v>
      </c>
      <c r="M574">
        <v>1</v>
      </c>
      <c r="N574" t="s">
        <v>22</v>
      </c>
      <c r="O574" t="s">
        <v>22</v>
      </c>
      <c r="P574" t="s">
        <v>776</v>
      </c>
      <c r="Q574" s="9" t="str">
        <f t="shared" si="17"/>
        <v>Invalid</v>
      </c>
      <c r="R574">
        <v>9847801300</v>
      </c>
      <c r="S574" s="7" t="str">
        <f t="shared" si="16"/>
        <v>Valid</v>
      </c>
      <c r="T574" t="str">
        <f>IF(Table1[[#This Row],[Age]]&lt;25,"18-24",IF(Table1[[#This Row],[Age]]&lt;30,"25-29",IF(Table1[[#This Row],[Age]]&lt;35,"30-34",IF(Table1[[#This Row],[Age]]&lt;40,"35-39",IF(Table1[[#This Row],[Age]]&lt;50,"40-49","50+")))))</f>
        <v>30-34</v>
      </c>
    </row>
    <row r="575" spans="1:20" x14ac:dyDescent="0.35">
      <c r="A575">
        <v>1574</v>
      </c>
      <c r="B575" t="s">
        <v>64</v>
      </c>
      <c r="C575" t="s">
        <v>32</v>
      </c>
      <c r="D575" t="s">
        <v>27</v>
      </c>
      <c r="E575">
        <v>58</v>
      </c>
      <c r="F575" t="s">
        <v>33</v>
      </c>
      <c r="G575" t="s">
        <v>77</v>
      </c>
      <c r="H575" t="s">
        <v>20</v>
      </c>
      <c r="I575" s="1">
        <v>97695</v>
      </c>
      <c r="J575" t="s">
        <v>777</v>
      </c>
      <c r="K575" t="s">
        <v>40</v>
      </c>
      <c r="L575">
        <v>13</v>
      </c>
      <c r="M575">
        <v>3</v>
      </c>
      <c r="N575" t="s">
        <v>23</v>
      </c>
      <c r="O575" t="s">
        <v>22</v>
      </c>
      <c r="P575" t="s">
        <v>778</v>
      </c>
      <c r="Q575" s="9" t="str">
        <f t="shared" si="17"/>
        <v>Valid</v>
      </c>
      <c r="R575">
        <v>9452678133</v>
      </c>
      <c r="S575" s="7" t="str">
        <f t="shared" si="16"/>
        <v>Valid</v>
      </c>
      <c r="T575" t="str">
        <f>IF(Table1[[#This Row],[Age]]&lt;25,"18-24",IF(Table1[[#This Row],[Age]]&lt;30,"25-29",IF(Table1[[#This Row],[Age]]&lt;35,"30-34",IF(Table1[[#This Row],[Age]]&lt;40,"35-39",IF(Table1[[#This Row],[Age]]&lt;50,"40-49","50+")))))</f>
        <v>50+</v>
      </c>
    </row>
    <row r="576" spans="1:20" x14ac:dyDescent="0.35">
      <c r="A576">
        <v>1575</v>
      </c>
      <c r="B576" t="s">
        <v>42</v>
      </c>
      <c r="C576" t="s">
        <v>16</v>
      </c>
      <c r="D576" t="s">
        <v>17</v>
      </c>
      <c r="E576">
        <v>22</v>
      </c>
      <c r="F576" t="s">
        <v>38</v>
      </c>
      <c r="G576" t="s">
        <v>19</v>
      </c>
      <c r="H576" t="s">
        <v>20</v>
      </c>
      <c r="I576" s="1">
        <v>25589</v>
      </c>
      <c r="J576" t="s">
        <v>1001</v>
      </c>
      <c r="K576" t="s">
        <v>46</v>
      </c>
      <c r="L576">
        <v>1</v>
      </c>
      <c r="M576">
        <v>2</v>
      </c>
      <c r="N576" t="s">
        <v>23</v>
      </c>
      <c r="O576" t="s">
        <v>22</v>
      </c>
      <c r="P576" t="s">
        <v>779</v>
      </c>
      <c r="Q576" s="9" t="str">
        <f t="shared" si="17"/>
        <v>Valid</v>
      </c>
      <c r="R576">
        <v>9897665791</v>
      </c>
      <c r="S576" s="7" t="str">
        <f t="shared" si="16"/>
        <v>Valid</v>
      </c>
      <c r="T576" t="str">
        <f>IF(Table1[[#This Row],[Age]]&lt;25,"18-24",IF(Table1[[#This Row],[Age]]&lt;30,"25-29",IF(Table1[[#This Row],[Age]]&lt;35,"30-34",IF(Table1[[#This Row],[Age]]&lt;40,"35-39",IF(Table1[[#This Row],[Age]]&lt;50,"40-49","50+")))))</f>
        <v>18-24</v>
      </c>
    </row>
    <row r="577" spans="1:20" x14ac:dyDescent="0.35">
      <c r="A577">
        <v>1576</v>
      </c>
      <c r="B577" t="s">
        <v>42</v>
      </c>
      <c r="C577" t="s">
        <v>26</v>
      </c>
      <c r="D577" t="s">
        <v>27</v>
      </c>
      <c r="E577">
        <v>39</v>
      </c>
      <c r="F577" t="s">
        <v>62</v>
      </c>
      <c r="G577" t="s">
        <v>34</v>
      </c>
      <c r="H577" t="s">
        <v>28</v>
      </c>
      <c r="I577" s="1">
        <v>109249</v>
      </c>
      <c r="J577" t="s">
        <v>780</v>
      </c>
      <c r="K577" t="s">
        <v>40</v>
      </c>
      <c r="L577">
        <v>9</v>
      </c>
      <c r="M577">
        <v>1</v>
      </c>
      <c r="N577" t="s">
        <v>23</v>
      </c>
      <c r="O577" t="s">
        <v>22</v>
      </c>
      <c r="P577" t="s">
        <v>781</v>
      </c>
      <c r="Q577" s="9" t="str">
        <f t="shared" si="17"/>
        <v>Valid</v>
      </c>
      <c r="R577">
        <v>9960352260</v>
      </c>
      <c r="S577" s="7" t="str">
        <f t="shared" si="16"/>
        <v>Valid</v>
      </c>
      <c r="T577" t="str">
        <f>IF(Table1[[#This Row],[Age]]&lt;25,"18-24",IF(Table1[[#This Row],[Age]]&lt;30,"25-29",IF(Table1[[#This Row],[Age]]&lt;35,"30-34",IF(Table1[[#This Row],[Age]]&lt;40,"35-39",IF(Table1[[#This Row],[Age]]&lt;50,"40-49","50+")))))</f>
        <v>35-39</v>
      </c>
    </row>
    <row r="578" spans="1:20" x14ac:dyDescent="0.35">
      <c r="A578">
        <v>1577</v>
      </c>
      <c r="B578" t="s">
        <v>37</v>
      </c>
      <c r="C578" t="s">
        <v>26</v>
      </c>
      <c r="D578" t="s">
        <v>27</v>
      </c>
      <c r="E578">
        <v>42</v>
      </c>
      <c r="F578" t="s">
        <v>18</v>
      </c>
      <c r="G578" t="s">
        <v>55</v>
      </c>
      <c r="H578" t="s">
        <v>44</v>
      </c>
      <c r="I578" s="1">
        <v>116182</v>
      </c>
      <c r="J578" t="s">
        <v>1657</v>
      </c>
      <c r="K578" t="s">
        <v>21</v>
      </c>
      <c r="L578">
        <v>13</v>
      </c>
      <c r="M578">
        <v>5</v>
      </c>
      <c r="N578" t="s">
        <v>23</v>
      </c>
      <c r="O578" t="s">
        <v>22</v>
      </c>
      <c r="P578" t="s">
        <v>782</v>
      </c>
      <c r="Q578" s="9" t="str">
        <f t="shared" si="17"/>
        <v>Invalid</v>
      </c>
      <c r="R578">
        <v>9587272212</v>
      </c>
      <c r="S578" s="7" t="str">
        <f t="shared" ref="S578:S641" si="18">IF(AND(ISNUMBER(R578),LEN(R578)=10),"Valid","Invalid")</f>
        <v>Valid</v>
      </c>
      <c r="T578" t="str">
        <f>IF(Table1[[#This Row],[Age]]&lt;25,"18-24",IF(Table1[[#This Row],[Age]]&lt;30,"25-29",IF(Table1[[#This Row],[Age]]&lt;35,"30-34",IF(Table1[[#This Row],[Age]]&lt;40,"35-39",IF(Table1[[#This Row],[Age]]&lt;50,"40-49","50+")))))</f>
        <v>40-49</v>
      </c>
    </row>
    <row r="579" spans="1:20" x14ac:dyDescent="0.35">
      <c r="A579">
        <v>1578</v>
      </c>
      <c r="B579" t="s">
        <v>60</v>
      </c>
      <c r="C579" t="s">
        <v>43</v>
      </c>
      <c r="D579" t="s">
        <v>17</v>
      </c>
      <c r="E579">
        <v>32</v>
      </c>
      <c r="F579" t="s">
        <v>38</v>
      </c>
      <c r="G579" t="s">
        <v>19</v>
      </c>
      <c r="H579" t="s">
        <v>20</v>
      </c>
      <c r="I579" s="1">
        <v>38173</v>
      </c>
      <c r="J579" t="s">
        <v>1658</v>
      </c>
      <c r="K579" t="s">
        <v>21</v>
      </c>
      <c r="L579">
        <v>20</v>
      </c>
      <c r="M579">
        <v>4</v>
      </c>
      <c r="N579" t="s">
        <v>22</v>
      </c>
      <c r="O579" t="s">
        <v>23</v>
      </c>
      <c r="P579" t="s">
        <v>783</v>
      </c>
      <c r="Q579" s="9" t="str">
        <f t="shared" ref="Q579:Q642" si="19">IF(AND(ISNUMBER(SEARCH("@",P579)),ISNUMBER(SEARCH(".",P579))),"Valid","Invalid")</f>
        <v>Valid</v>
      </c>
      <c r="R579">
        <v>9954729260</v>
      </c>
      <c r="S579" s="7" t="str">
        <f t="shared" si="18"/>
        <v>Valid</v>
      </c>
      <c r="T579" t="str">
        <f>IF(Table1[[#This Row],[Age]]&lt;25,"18-24",IF(Table1[[#This Row],[Age]]&lt;30,"25-29",IF(Table1[[#This Row],[Age]]&lt;35,"30-34",IF(Table1[[#This Row],[Age]]&lt;40,"35-39",IF(Table1[[#This Row],[Age]]&lt;50,"40-49","50+")))))</f>
        <v>30-34</v>
      </c>
    </row>
    <row r="580" spans="1:20" x14ac:dyDescent="0.35">
      <c r="A580">
        <v>1579</v>
      </c>
      <c r="B580" t="s">
        <v>54</v>
      </c>
      <c r="C580" t="s">
        <v>43</v>
      </c>
      <c r="D580" t="s">
        <v>27</v>
      </c>
      <c r="E580">
        <v>40</v>
      </c>
      <c r="F580" t="s">
        <v>69</v>
      </c>
      <c r="G580" t="s">
        <v>77</v>
      </c>
      <c r="H580" t="s">
        <v>56</v>
      </c>
      <c r="I580" s="1">
        <v>59960</v>
      </c>
      <c r="J580" t="s">
        <v>784</v>
      </c>
      <c r="K580" t="s">
        <v>46</v>
      </c>
      <c r="L580">
        <v>6</v>
      </c>
      <c r="M580">
        <v>1</v>
      </c>
      <c r="N580" t="s">
        <v>22</v>
      </c>
      <c r="O580" t="s">
        <v>23</v>
      </c>
      <c r="P580" t="s">
        <v>785</v>
      </c>
      <c r="Q580" s="9" t="str">
        <f t="shared" si="19"/>
        <v>Valid</v>
      </c>
      <c r="R580">
        <v>9690640906</v>
      </c>
      <c r="S580" s="7" t="str">
        <f t="shared" si="18"/>
        <v>Valid</v>
      </c>
      <c r="T580" t="str">
        <f>IF(Table1[[#This Row],[Age]]&lt;25,"18-24",IF(Table1[[#This Row],[Age]]&lt;30,"25-29",IF(Table1[[#This Row],[Age]]&lt;35,"30-34",IF(Table1[[#This Row],[Age]]&lt;40,"35-39",IF(Table1[[#This Row],[Age]]&lt;50,"40-49","50+")))))</f>
        <v>40-49</v>
      </c>
    </row>
    <row r="581" spans="1:20" x14ac:dyDescent="0.35">
      <c r="A581">
        <v>1580</v>
      </c>
      <c r="B581" t="s">
        <v>67</v>
      </c>
      <c r="C581" t="s">
        <v>32</v>
      </c>
      <c r="D581" t="s">
        <v>27</v>
      </c>
      <c r="E581">
        <v>32</v>
      </c>
      <c r="F581" t="s">
        <v>62</v>
      </c>
      <c r="G581" t="s">
        <v>19</v>
      </c>
      <c r="H581" t="s">
        <v>20</v>
      </c>
      <c r="I581" s="1">
        <v>103195</v>
      </c>
      <c r="J581" t="s">
        <v>1659</v>
      </c>
      <c r="K581" t="s">
        <v>49</v>
      </c>
      <c r="L581">
        <v>19</v>
      </c>
      <c r="M581">
        <v>2</v>
      </c>
      <c r="N581" t="s">
        <v>23</v>
      </c>
      <c r="O581" t="s">
        <v>22</v>
      </c>
      <c r="P581" t="s">
        <v>786</v>
      </c>
      <c r="Q581" s="9" t="str">
        <f t="shared" si="19"/>
        <v>Valid</v>
      </c>
      <c r="R581">
        <v>9623435644</v>
      </c>
      <c r="S581" s="7" t="str">
        <f t="shared" si="18"/>
        <v>Valid</v>
      </c>
      <c r="T581" t="str">
        <f>IF(Table1[[#This Row],[Age]]&lt;25,"18-24",IF(Table1[[#This Row],[Age]]&lt;30,"25-29",IF(Table1[[#This Row],[Age]]&lt;35,"30-34",IF(Table1[[#This Row],[Age]]&lt;40,"35-39",IF(Table1[[#This Row],[Age]]&lt;50,"40-49","50+")))))</f>
        <v>30-34</v>
      </c>
    </row>
    <row r="582" spans="1:20" x14ac:dyDescent="0.35">
      <c r="A582">
        <v>1581</v>
      </c>
      <c r="B582" t="s">
        <v>82</v>
      </c>
      <c r="C582" t="s">
        <v>26</v>
      </c>
      <c r="D582" t="s">
        <v>27</v>
      </c>
      <c r="E582">
        <v>38</v>
      </c>
      <c r="F582" t="s">
        <v>62</v>
      </c>
      <c r="G582" t="s">
        <v>77</v>
      </c>
      <c r="H582" t="s">
        <v>44</v>
      </c>
      <c r="I582" s="1">
        <v>45044</v>
      </c>
      <c r="J582" t="s">
        <v>1660</v>
      </c>
      <c r="K582" t="s">
        <v>40</v>
      </c>
      <c r="L582">
        <v>20</v>
      </c>
      <c r="M582">
        <v>3</v>
      </c>
      <c r="N582" t="s">
        <v>23</v>
      </c>
      <c r="O582" t="s">
        <v>22</v>
      </c>
      <c r="P582" t="s">
        <v>787</v>
      </c>
      <c r="Q582" s="9" t="str">
        <f t="shared" si="19"/>
        <v>Valid</v>
      </c>
      <c r="R582">
        <v>9240362053</v>
      </c>
      <c r="S582" s="7" t="str">
        <f t="shared" si="18"/>
        <v>Valid</v>
      </c>
      <c r="T582" t="str">
        <f>IF(Table1[[#This Row],[Age]]&lt;25,"18-24",IF(Table1[[#This Row],[Age]]&lt;30,"25-29",IF(Table1[[#This Row],[Age]]&lt;35,"30-34",IF(Table1[[#This Row],[Age]]&lt;40,"35-39",IF(Table1[[#This Row],[Age]]&lt;50,"40-49","50+")))))</f>
        <v>35-39</v>
      </c>
    </row>
    <row r="583" spans="1:20" x14ac:dyDescent="0.35">
      <c r="A583">
        <v>1582</v>
      </c>
      <c r="B583" t="s">
        <v>67</v>
      </c>
      <c r="C583" t="s">
        <v>61</v>
      </c>
      <c r="D583" t="s">
        <v>17</v>
      </c>
      <c r="E583">
        <v>39</v>
      </c>
      <c r="F583" t="s">
        <v>18</v>
      </c>
      <c r="G583" t="s">
        <v>55</v>
      </c>
      <c r="H583" t="s">
        <v>56</v>
      </c>
      <c r="I583" s="1">
        <v>119715</v>
      </c>
      <c r="J583" t="s">
        <v>1661</v>
      </c>
      <c r="K583" t="s">
        <v>49</v>
      </c>
      <c r="L583">
        <v>2</v>
      </c>
      <c r="M583">
        <v>3</v>
      </c>
      <c r="N583" t="s">
        <v>23</v>
      </c>
      <c r="O583" t="s">
        <v>23</v>
      </c>
      <c r="P583" t="s">
        <v>788</v>
      </c>
      <c r="Q583" s="9" t="str">
        <f t="shared" si="19"/>
        <v>Valid</v>
      </c>
      <c r="R583">
        <v>9835611667</v>
      </c>
      <c r="S583" s="7" t="str">
        <f t="shared" si="18"/>
        <v>Valid</v>
      </c>
      <c r="T583" t="str">
        <f>IF(Table1[[#This Row],[Age]]&lt;25,"18-24",IF(Table1[[#This Row],[Age]]&lt;30,"25-29",IF(Table1[[#This Row],[Age]]&lt;35,"30-34",IF(Table1[[#This Row],[Age]]&lt;40,"35-39",IF(Table1[[#This Row],[Age]]&lt;50,"40-49","50+")))))</f>
        <v>35-39</v>
      </c>
    </row>
    <row r="584" spans="1:20" x14ac:dyDescent="0.35">
      <c r="A584">
        <v>1583</v>
      </c>
      <c r="B584" t="s">
        <v>67</v>
      </c>
      <c r="C584" t="s">
        <v>32</v>
      </c>
      <c r="D584" t="s">
        <v>27</v>
      </c>
      <c r="E584">
        <v>40</v>
      </c>
      <c r="F584" t="s">
        <v>38</v>
      </c>
      <c r="G584" t="s">
        <v>55</v>
      </c>
      <c r="H584" t="s">
        <v>28</v>
      </c>
      <c r="I584" s="1">
        <v>45862</v>
      </c>
      <c r="J584" t="s">
        <v>443</v>
      </c>
      <c r="K584" t="s">
        <v>46</v>
      </c>
      <c r="L584">
        <v>1</v>
      </c>
      <c r="M584">
        <v>2</v>
      </c>
      <c r="N584" t="s">
        <v>22</v>
      </c>
      <c r="O584" t="s">
        <v>23</v>
      </c>
      <c r="P584" t="s">
        <v>789</v>
      </c>
      <c r="Q584" s="9" t="str">
        <f t="shared" si="19"/>
        <v>Valid</v>
      </c>
      <c r="R584">
        <v>9252034141</v>
      </c>
      <c r="S584" s="7" t="str">
        <f t="shared" si="18"/>
        <v>Valid</v>
      </c>
      <c r="T584" t="str">
        <f>IF(Table1[[#This Row],[Age]]&lt;25,"18-24",IF(Table1[[#This Row],[Age]]&lt;30,"25-29",IF(Table1[[#This Row],[Age]]&lt;35,"30-34",IF(Table1[[#This Row],[Age]]&lt;40,"35-39",IF(Table1[[#This Row],[Age]]&lt;50,"40-49","50+")))))</f>
        <v>40-49</v>
      </c>
    </row>
    <row r="585" spans="1:20" x14ac:dyDescent="0.35">
      <c r="A585">
        <v>1584</v>
      </c>
      <c r="B585" t="s">
        <v>64</v>
      </c>
      <c r="C585" t="s">
        <v>26</v>
      </c>
      <c r="D585" t="s">
        <v>17</v>
      </c>
      <c r="E585">
        <v>33</v>
      </c>
      <c r="F585" t="s">
        <v>62</v>
      </c>
      <c r="G585" t="s">
        <v>34</v>
      </c>
      <c r="H585" t="s">
        <v>35</v>
      </c>
      <c r="I585" s="1">
        <v>-119699</v>
      </c>
      <c r="J585" t="s">
        <v>1662</v>
      </c>
      <c r="K585" t="s">
        <v>49</v>
      </c>
      <c r="L585">
        <v>8</v>
      </c>
      <c r="M585">
        <v>5</v>
      </c>
      <c r="N585" t="s">
        <v>22</v>
      </c>
      <c r="O585" t="s">
        <v>22</v>
      </c>
      <c r="P585" t="s">
        <v>790</v>
      </c>
      <c r="Q585" s="9" t="str">
        <f t="shared" si="19"/>
        <v>Valid</v>
      </c>
      <c r="R585">
        <v>9771615926</v>
      </c>
      <c r="S585" s="7" t="str">
        <f t="shared" si="18"/>
        <v>Valid</v>
      </c>
      <c r="T585" t="str">
        <f>IF(Table1[[#This Row],[Age]]&lt;25,"18-24",IF(Table1[[#This Row],[Age]]&lt;30,"25-29",IF(Table1[[#This Row],[Age]]&lt;35,"30-34",IF(Table1[[#This Row],[Age]]&lt;40,"35-39",IF(Table1[[#This Row],[Age]]&lt;50,"40-49","50+")))))</f>
        <v>30-34</v>
      </c>
    </row>
    <row r="586" spans="1:20" x14ac:dyDescent="0.35">
      <c r="A586">
        <v>1585</v>
      </c>
      <c r="B586" t="s">
        <v>64</v>
      </c>
      <c r="C586" t="s">
        <v>32</v>
      </c>
      <c r="D586" t="s">
        <v>17</v>
      </c>
      <c r="E586">
        <v>26</v>
      </c>
      <c r="F586" t="s">
        <v>62</v>
      </c>
      <c r="G586" t="s">
        <v>34</v>
      </c>
      <c r="H586" t="s">
        <v>44</v>
      </c>
      <c r="I586" s="1">
        <v>115676</v>
      </c>
      <c r="J586" t="s">
        <v>1663</v>
      </c>
      <c r="K586" t="s">
        <v>40</v>
      </c>
      <c r="L586">
        <v>7</v>
      </c>
      <c r="M586">
        <v>5</v>
      </c>
      <c r="N586" t="s">
        <v>23</v>
      </c>
      <c r="O586" t="s">
        <v>23</v>
      </c>
      <c r="P586" t="s">
        <v>791</v>
      </c>
      <c r="Q586" s="9" t="str">
        <f t="shared" si="19"/>
        <v>Valid</v>
      </c>
      <c r="R586">
        <v>9075938117</v>
      </c>
      <c r="S586" s="7" t="str">
        <f t="shared" si="18"/>
        <v>Valid</v>
      </c>
      <c r="T586" t="str">
        <f>IF(Table1[[#This Row],[Age]]&lt;25,"18-24",IF(Table1[[#This Row],[Age]]&lt;30,"25-29",IF(Table1[[#This Row],[Age]]&lt;35,"30-34",IF(Table1[[#This Row],[Age]]&lt;40,"35-39",IF(Table1[[#This Row],[Age]]&lt;50,"40-49","50+")))))</f>
        <v>25-29</v>
      </c>
    </row>
    <row r="587" spans="1:20" x14ac:dyDescent="0.35">
      <c r="A587">
        <v>1586</v>
      </c>
      <c r="B587" t="s">
        <v>58</v>
      </c>
      <c r="C587" t="s">
        <v>61</v>
      </c>
      <c r="D587" t="s">
        <v>27</v>
      </c>
      <c r="E587">
        <v>25</v>
      </c>
      <c r="F587" t="s">
        <v>33</v>
      </c>
      <c r="G587" t="s">
        <v>19</v>
      </c>
      <c r="H587" t="s">
        <v>28</v>
      </c>
      <c r="I587" s="1">
        <v>44013</v>
      </c>
      <c r="J587" t="s">
        <v>1664</v>
      </c>
      <c r="K587" t="s">
        <v>46</v>
      </c>
      <c r="L587">
        <v>4</v>
      </c>
      <c r="M587">
        <v>5</v>
      </c>
      <c r="N587" t="s">
        <v>23</v>
      </c>
      <c r="O587" t="s">
        <v>23</v>
      </c>
      <c r="P587" t="s">
        <v>792</v>
      </c>
      <c r="Q587" s="9" t="str">
        <f t="shared" si="19"/>
        <v>Valid</v>
      </c>
      <c r="R587">
        <v>9367158011</v>
      </c>
      <c r="S587" s="7" t="str">
        <f t="shared" si="18"/>
        <v>Valid</v>
      </c>
      <c r="T587" t="str">
        <f>IF(Table1[[#This Row],[Age]]&lt;25,"18-24",IF(Table1[[#This Row],[Age]]&lt;30,"25-29",IF(Table1[[#This Row],[Age]]&lt;35,"30-34",IF(Table1[[#This Row],[Age]]&lt;40,"35-39",IF(Table1[[#This Row],[Age]]&lt;50,"40-49","50+")))))</f>
        <v>25-29</v>
      </c>
    </row>
    <row r="588" spans="1:20" x14ac:dyDescent="0.35">
      <c r="A588">
        <v>1587</v>
      </c>
      <c r="B588" t="s">
        <v>67</v>
      </c>
      <c r="C588" t="s">
        <v>61</v>
      </c>
      <c r="D588" t="s">
        <v>27</v>
      </c>
      <c r="E588">
        <v>33</v>
      </c>
      <c r="F588" t="s">
        <v>38</v>
      </c>
      <c r="G588" t="s">
        <v>19</v>
      </c>
      <c r="H588" t="s">
        <v>20</v>
      </c>
      <c r="I588" s="1">
        <v>47886</v>
      </c>
      <c r="J588" t="s">
        <v>1506</v>
      </c>
      <c r="K588" t="s">
        <v>49</v>
      </c>
      <c r="L588">
        <v>6</v>
      </c>
      <c r="M588">
        <v>4</v>
      </c>
      <c r="N588" t="s">
        <v>22</v>
      </c>
      <c r="O588" t="s">
        <v>23</v>
      </c>
      <c r="P588" t="s">
        <v>793</v>
      </c>
      <c r="Q588" s="9" t="str">
        <f t="shared" si="19"/>
        <v>Valid</v>
      </c>
      <c r="R588">
        <v>9397729186</v>
      </c>
      <c r="S588" s="7" t="str">
        <f t="shared" si="18"/>
        <v>Valid</v>
      </c>
      <c r="T588" t="str">
        <f>IF(Table1[[#This Row],[Age]]&lt;25,"18-24",IF(Table1[[#This Row],[Age]]&lt;30,"25-29",IF(Table1[[#This Row],[Age]]&lt;35,"30-34",IF(Table1[[#This Row],[Age]]&lt;40,"35-39",IF(Table1[[#This Row],[Age]]&lt;50,"40-49","50+")))))</f>
        <v>30-34</v>
      </c>
    </row>
    <row r="589" spans="1:20" x14ac:dyDescent="0.35">
      <c r="A589">
        <v>1588</v>
      </c>
      <c r="B589" t="s">
        <v>67</v>
      </c>
      <c r="C589" t="s">
        <v>16</v>
      </c>
      <c r="D589" t="s">
        <v>17</v>
      </c>
      <c r="E589">
        <v>34</v>
      </c>
      <c r="F589" t="s">
        <v>38</v>
      </c>
      <c r="G589" t="s">
        <v>34</v>
      </c>
      <c r="H589" t="s">
        <v>28</v>
      </c>
      <c r="I589" s="1">
        <v>91854</v>
      </c>
      <c r="J589" t="s">
        <v>1665</v>
      </c>
      <c r="K589" t="s">
        <v>46</v>
      </c>
      <c r="L589">
        <v>7</v>
      </c>
      <c r="M589">
        <v>1</v>
      </c>
      <c r="N589" t="s">
        <v>23</v>
      </c>
      <c r="O589" t="s">
        <v>22</v>
      </c>
      <c r="P589" t="s">
        <v>794</v>
      </c>
      <c r="Q589" s="9" t="str">
        <f t="shared" si="19"/>
        <v>Valid</v>
      </c>
      <c r="R589">
        <v>9127561748</v>
      </c>
      <c r="S589" s="7" t="str">
        <f t="shared" si="18"/>
        <v>Valid</v>
      </c>
      <c r="T589" t="str">
        <f>IF(Table1[[#This Row],[Age]]&lt;25,"18-24",IF(Table1[[#This Row],[Age]]&lt;30,"25-29",IF(Table1[[#This Row],[Age]]&lt;35,"30-34",IF(Table1[[#This Row],[Age]]&lt;40,"35-39",IF(Table1[[#This Row],[Age]]&lt;50,"40-49","50+")))))</f>
        <v>30-34</v>
      </c>
    </row>
    <row r="590" spans="1:20" x14ac:dyDescent="0.35">
      <c r="A590">
        <v>1589</v>
      </c>
      <c r="B590" t="s">
        <v>37</v>
      </c>
      <c r="C590" t="s">
        <v>16</v>
      </c>
      <c r="D590" t="s">
        <v>17</v>
      </c>
      <c r="E590">
        <v>66</v>
      </c>
      <c r="F590" t="s">
        <v>18</v>
      </c>
      <c r="G590" t="s">
        <v>77</v>
      </c>
      <c r="H590" t="s">
        <v>56</v>
      </c>
      <c r="I590" s="1">
        <v>116519</v>
      </c>
      <c r="J590" t="s">
        <v>1666</v>
      </c>
      <c r="K590" t="s">
        <v>40</v>
      </c>
      <c r="L590">
        <v>17</v>
      </c>
      <c r="M590">
        <v>2</v>
      </c>
      <c r="N590" t="s">
        <v>22</v>
      </c>
      <c r="O590" t="s">
        <v>22</v>
      </c>
      <c r="P590" t="s">
        <v>795</v>
      </c>
      <c r="Q590" s="9" t="str">
        <f t="shared" si="19"/>
        <v>Valid</v>
      </c>
      <c r="R590">
        <v>9288343888</v>
      </c>
      <c r="S590" s="7" t="str">
        <f t="shared" si="18"/>
        <v>Valid</v>
      </c>
      <c r="T590" t="str">
        <f>IF(Table1[[#This Row],[Age]]&lt;25,"18-24",IF(Table1[[#This Row],[Age]]&lt;30,"25-29",IF(Table1[[#This Row],[Age]]&lt;35,"30-34",IF(Table1[[#This Row],[Age]]&lt;40,"35-39",IF(Table1[[#This Row],[Age]]&lt;50,"40-49","50+")))))</f>
        <v>50+</v>
      </c>
    </row>
    <row r="591" spans="1:20" x14ac:dyDescent="0.35">
      <c r="A591">
        <v>1590</v>
      </c>
      <c r="B591" t="s">
        <v>54</v>
      </c>
      <c r="C591" t="s">
        <v>43</v>
      </c>
      <c r="D591" t="s">
        <v>27</v>
      </c>
      <c r="E591">
        <v>26</v>
      </c>
      <c r="F591" t="s">
        <v>69</v>
      </c>
      <c r="G591" t="s">
        <v>19</v>
      </c>
      <c r="H591" t="s">
        <v>20</v>
      </c>
      <c r="I591" s="1">
        <v>84052</v>
      </c>
      <c r="J591" t="s">
        <v>443</v>
      </c>
      <c r="K591" t="s">
        <v>21</v>
      </c>
      <c r="L591">
        <v>0</v>
      </c>
      <c r="M591">
        <v>4</v>
      </c>
      <c r="N591" t="s">
        <v>23</v>
      </c>
      <c r="O591" t="s">
        <v>23</v>
      </c>
      <c r="P591" t="s">
        <v>796</v>
      </c>
      <c r="Q591" s="9" t="str">
        <f t="shared" si="19"/>
        <v>Valid</v>
      </c>
      <c r="R591">
        <v>9426735653</v>
      </c>
      <c r="S591" s="7" t="str">
        <f t="shared" si="18"/>
        <v>Valid</v>
      </c>
      <c r="T591" t="str">
        <f>IF(Table1[[#This Row],[Age]]&lt;25,"18-24",IF(Table1[[#This Row],[Age]]&lt;30,"25-29",IF(Table1[[#This Row],[Age]]&lt;35,"30-34",IF(Table1[[#This Row],[Age]]&lt;40,"35-39",IF(Table1[[#This Row],[Age]]&lt;50,"40-49","50+")))))</f>
        <v>25-29</v>
      </c>
    </row>
    <row r="592" spans="1:20" x14ac:dyDescent="0.35">
      <c r="A592">
        <v>1591</v>
      </c>
      <c r="B592" t="s">
        <v>60</v>
      </c>
      <c r="C592" t="s">
        <v>32</v>
      </c>
      <c r="D592" t="s">
        <v>27</v>
      </c>
      <c r="E592">
        <v>46</v>
      </c>
      <c r="F592" t="s">
        <v>33</v>
      </c>
      <c r="G592" t="s">
        <v>55</v>
      </c>
      <c r="H592" t="s">
        <v>28</v>
      </c>
      <c r="I592" s="1">
        <v>48717</v>
      </c>
      <c r="J592" t="s">
        <v>1667</v>
      </c>
      <c r="K592" t="s">
        <v>21</v>
      </c>
      <c r="L592">
        <v>8</v>
      </c>
      <c r="M592">
        <v>2</v>
      </c>
      <c r="N592" t="s">
        <v>23</v>
      </c>
      <c r="O592" t="s">
        <v>22</v>
      </c>
      <c r="P592" t="s">
        <v>797</v>
      </c>
      <c r="Q592" s="9" t="str">
        <f t="shared" si="19"/>
        <v>Valid</v>
      </c>
      <c r="R592">
        <v>9244275751</v>
      </c>
      <c r="S592" s="7" t="str">
        <f t="shared" si="18"/>
        <v>Valid</v>
      </c>
      <c r="T592" t="str">
        <f>IF(Table1[[#This Row],[Age]]&lt;25,"18-24",IF(Table1[[#This Row],[Age]]&lt;30,"25-29",IF(Table1[[#This Row],[Age]]&lt;35,"30-34",IF(Table1[[#This Row],[Age]]&lt;40,"35-39",IF(Table1[[#This Row],[Age]]&lt;50,"40-49","50+")))))</f>
        <v>40-49</v>
      </c>
    </row>
    <row r="593" spans="1:20" x14ac:dyDescent="0.35">
      <c r="A593">
        <v>1592</v>
      </c>
      <c r="B593" t="s">
        <v>15</v>
      </c>
      <c r="C593" t="s">
        <v>43</v>
      </c>
      <c r="D593" t="s">
        <v>27</v>
      </c>
      <c r="E593">
        <v>30</v>
      </c>
      <c r="F593" t="s">
        <v>33</v>
      </c>
      <c r="G593" t="s">
        <v>34</v>
      </c>
      <c r="H593" t="s">
        <v>35</v>
      </c>
      <c r="I593" s="1">
        <v>27335</v>
      </c>
      <c r="J593" t="s">
        <v>1668</v>
      </c>
      <c r="K593" t="s">
        <v>30</v>
      </c>
      <c r="L593">
        <v>16</v>
      </c>
      <c r="M593">
        <v>1</v>
      </c>
      <c r="N593" t="s">
        <v>22</v>
      </c>
      <c r="O593" t="s">
        <v>22</v>
      </c>
      <c r="P593" t="s">
        <v>798</v>
      </c>
      <c r="Q593" s="9" t="str">
        <f t="shared" si="19"/>
        <v>Valid</v>
      </c>
      <c r="R593">
        <v>9791100688</v>
      </c>
      <c r="S593" s="7" t="str">
        <f t="shared" si="18"/>
        <v>Valid</v>
      </c>
      <c r="T593" t="str">
        <f>IF(Table1[[#This Row],[Age]]&lt;25,"18-24",IF(Table1[[#This Row],[Age]]&lt;30,"25-29",IF(Table1[[#This Row],[Age]]&lt;35,"30-34",IF(Table1[[#This Row],[Age]]&lt;40,"35-39",IF(Table1[[#This Row],[Age]]&lt;50,"40-49","50+")))))</f>
        <v>30-34</v>
      </c>
    </row>
    <row r="594" spans="1:20" x14ac:dyDescent="0.35">
      <c r="A594">
        <v>1593</v>
      </c>
      <c r="B594" t="s">
        <v>37</v>
      </c>
      <c r="C594" t="s">
        <v>43</v>
      </c>
      <c r="D594" t="s">
        <v>27</v>
      </c>
      <c r="E594">
        <v>54</v>
      </c>
      <c r="F594" t="s">
        <v>69</v>
      </c>
      <c r="G594" t="s">
        <v>34</v>
      </c>
      <c r="H594" t="s">
        <v>28</v>
      </c>
      <c r="I594" s="1">
        <v>83816</v>
      </c>
      <c r="J594" t="s">
        <v>799</v>
      </c>
      <c r="K594" t="s">
        <v>21</v>
      </c>
      <c r="L594">
        <v>10</v>
      </c>
      <c r="M594">
        <v>1</v>
      </c>
      <c r="N594" t="s">
        <v>23</v>
      </c>
      <c r="O594" t="s">
        <v>23</v>
      </c>
      <c r="P594" t="s">
        <v>800</v>
      </c>
      <c r="Q594" s="9" t="str">
        <f t="shared" si="19"/>
        <v>Valid</v>
      </c>
      <c r="R594">
        <v>9953220246</v>
      </c>
      <c r="S594" s="7" t="str">
        <f t="shared" si="18"/>
        <v>Valid</v>
      </c>
      <c r="T594" t="str">
        <f>IF(Table1[[#This Row],[Age]]&lt;25,"18-24",IF(Table1[[#This Row],[Age]]&lt;30,"25-29",IF(Table1[[#This Row],[Age]]&lt;35,"30-34",IF(Table1[[#This Row],[Age]]&lt;40,"35-39",IF(Table1[[#This Row],[Age]]&lt;50,"40-49","50+")))))</f>
        <v>50+</v>
      </c>
    </row>
    <row r="595" spans="1:20" x14ac:dyDescent="0.35">
      <c r="A595">
        <v>1594</v>
      </c>
      <c r="B595" t="s">
        <v>82</v>
      </c>
      <c r="C595" t="s">
        <v>32</v>
      </c>
      <c r="D595" t="s">
        <v>27</v>
      </c>
      <c r="E595">
        <v>55</v>
      </c>
      <c r="F595" t="s">
        <v>38</v>
      </c>
      <c r="G595" t="s">
        <v>19</v>
      </c>
      <c r="H595" t="s">
        <v>28</v>
      </c>
      <c r="I595" s="1">
        <v>94170</v>
      </c>
      <c r="J595" t="s">
        <v>1669</v>
      </c>
      <c r="K595" t="s">
        <v>46</v>
      </c>
      <c r="L595">
        <v>21</v>
      </c>
      <c r="M595">
        <v>4</v>
      </c>
      <c r="N595" t="s">
        <v>23</v>
      </c>
      <c r="O595" t="s">
        <v>23</v>
      </c>
      <c r="P595" t="s">
        <v>801</v>
      </c>
      <c r="Q595" s="9" t="str">
        <f t="shared" si="19"/>
        <v>Valid</v>
      </c>
      <c r="R595">
        <v>9248061254</v>
      </c>
      <c r="S595" s="7" t="str">
        <f t="shared" si="18"/>
        <v>Valid</v>
      </c>
      <c r="T595" t="str">
        <f>IF(Table1[[#This Row],[Age]]&lt;25,"18-24",IF(Table1[[#This Row],[Age]]&lt;30,"25-29",IF(Table1[[#This Row],[Age]]&lt;35,"30-34",IF(Table1[[#This Row],[Age]]&lt;40,"35-39",IF(Table1[[#This Row],[Age]]&lt;50,"40-49","50+")))))</f>
        <v>50+</v>
      </c>
    </row>
    <row r="596" spans="1:20" x14ac:dyDescent="0.35">
      <c r="A596">
        <v>1595</v>
      </c>
      <c r="B596" t="s">
        <v>58</v>
      </c>
      <c r="C596" t="s">
        <v>26</v>
      </c>
      <c r="D596" t="s">
        <v>27</v>
      </c>
      <c r="E596">
        <v>23</v>
      </c>
      <c r="F596" t="s">
        <v>33</v>
      </c>
      <c r="G596" t="s">
        <v>39</v>
      </c>
      <c r="H596" t="s">
        <v>28</v>
      </c>
      <c r="I596" s="1">
        <v>41826</v>
      </c>
      <c r="J596" t="s">
        <v>952</v>
      </c>
      <c r="K596" t="s">
        <v>49</v>
      </c>
      <c r="L596">
        <v>16</v>
      </c>
      <c r="M596">
        <v>2</v>
      </c>
      <c r="N596" t="s">
        <v>22</v>
      </c>
      <c r="O596" t="s">
        <v>23</v>
      </c>
      <c r="P596" t="s">
        <v>802</v>
      </c>
      <c r="Q596" s="9" t="str">
        <f t="shared" si="19"/>
        <v>Valid</v>
      </c>
      <c r="R596">
        <v>9609947513</v>
      </c>
      <c r="S596" s="7" t="str">
        <f t="shared" si="18"/>
        <v>Valid</v>
      </c>
      <c r="T596" t="str">
        <f>IF(Table1[[#This Row],[Age]]&lt;25,"18-24",IF(Table1[[#This Row],[Age]]&lt;30,"25-29",IF(Table1[[#This Row],[Age]]&lt;35,"30-34",IF(Table1[[#This Row],[Age]]&lt;40,"35-39",IF(Table1[[#This Row],[Age]]&lt;50,"40-49","50+")))))</f>
        <v>18-24</v>
      </c>
    </row>
    <row r="597" spans="1:20" x14ac:dyDescent="0.35">
      <c r="A597">
        <v>1596</v>
      </c>
      <c r="B597" t="s">
        <v>42</v>
      </c>
      <c r="C597" t="s">
        <v>32</v>
      </c>
      <c r="D597" t="s">
        <v>17</v>
      </c>
      <c r="E597">
        <v>29</v>
      </c>
      <c r="F597" t="s">
        <v>69</v>
      </c>
      <c r="G597" t="s">
        <v>19</v>
      </c>
      <c r="H597" t="s">
        <v>44</v>
      </c>
      <c r="I597" s="1">
        <v>60449</v>
      </c>
      <c r="J597" t="s">
        <v>1670</v>
      </c>
      <c r="K597" t="s">
        <v>21</v>
      </c>
      <c r="L597">
        <v>22</v>
      </c>
      <c r="M597">
        <v>4</v>
      </c>
      <c r="N597" t="s">
        <v>22</v>
      </c>
      <c r="O597" t="s">
        <v>22</v>
      </c>
      <c r="P597" t="s">
        <v>803</v>
      </c>
      <c r="Q597" s="9" t="str">
        <f t="shared" si="19"/>
        <v>Valid</v>
      </c>
      <c r="R597">
        <v>9367382966</v>
      </c>
      <c r="S597" s="7" t="str">
        <f t="shared" si="18"/>
        <v>Valid</v>
      </c>
      <c r="T597" t="str">
        <f>IF(Table1[[#This Row],[Age]]&lt;25,"18-24",IF(Table1[[#This Row],[Age]]&lt;30,"25-29",IF(Table1[[#This Row],[Age]]&lt;35,"30-34",IF(Table1[[#This Row],[Age]]&lt;40,"35-39",IF(Table1[[#This Row],[Age]]&lt;50,"40-49","50+")))))</f>
        <v>25-29</v>
      </c>
    </row>
    <row r="598" spans="1:20" x14ac:dyDescent="0.35">
      <c r="A598">
        <v>1597</v>
      </c>
      <c r="B598" t="s">
        <v>60</v>
      </c>
      <c r="C598" t="s">
        <v>61</v>
      </c>
      <c r="D598" t="s">
        <v>27</v>
      </c>
      <c r="E598">
        <v>31</v>
      </c>
      <c r="F598" t="s">
        <v>18</v>
      </c>
      <c r="G598" t="s">
        <v>55</v>
      </c>
      <c r="H598" t="s">
        <v>35</v>
      </c>
      <c r="I598" s="1">
        <v>30791</v>
      </c>
      <c r="J598" t="s">
        <v>121</v>
      </c>
      <c r="K598" t="s">
        <v>46</v>
      </c>
      <c r="L598">
        <v>22</v>
      </c>
      <c r="M598">
        <v>1</v>
      </c>
      <c r="N598" t="s">
        <v>22</v>
      </c>
      <c r="O598" t="s">
        <v>22</v>
      </c>
      <c r="P598" t="s">
        <v>804</v>
      </c>
      <c r="Q598" s="9" t="str">
        <f t="shared" si="19"/>
        <v>Valid</v>
      </c>
      <c r="R598">
        <v>9938724620</v>
      </c>
      <c r="S598" s="7" t="str">
        <f t="shared" si="18"/>
        <v>Valid</v>
      </c>
      <c r="T598" t="str">
        <f>IF(Table1[[#This Row],[Age]]&lt;25,"18-24",IF(Table1[[#This Row],[Age]]&lt;30,"25-29",IF(Table1[[#This Row],[Age]]&lt;35,"30-34",IF(Table1[[#This Row],[Age]]&lt;40,"35-39",IF(Table1[[#This Row],[Age]]&lt;50,"40-49","50+")))))</f>
        <v>30-34</v>
      </c>
    </row>
    <row r="599" spans="1:20" x14ac:dyDescent="0.35">
      <c r="A599">
        <v>1598</v>
      </c>
      <c r="B599" t="s">
        <v>54</v>
      </c>
      <c r="C599" t="s">
        <v>26</v>
      </c>
      <c r="D599" t="s">
        <v>27</v>
      </c>
      <c r="E599">
        <v>55</v>
      </c>
      <c r="F599" t="s">
        <v>38</v>
      </c>
      <c r="G599" t="s">
        <v>77</v>
      </c>
      <c r="H599" t="s">
        <v>20</v>
      </c>
      <c r="I599" s="1">
        <v>48196</v>
      </c>
      <c r="J599" t="s">
        <v>1671</v>
      </c>
      <c r="K599" t="s">
        <v>49</v>
      </c>
      <c r="L599">
        <v>10</v>
      </c>
      <c r="M599">
        <v>1</v>
      </c>
      <c r="N599" t="s">
        <v>22</v>
      </c>
      <c r="O599" t="s">
        <v>22</v>
      </c>
      <c r="P599" t="s">
        <v>805</v>
      </c>
      <c r="Q599" s="9" t="str">
        <f t="shared" si="19"/>
        <v>Invalid</v>
      </c>
      <c r="R599">
        <v>9391775865</v>
      </c>
      <c r="S599" s="7" t="str">
        <f t="shared" si="18"/>
        <v>Valid</v>
      </c>
      <c r="T599" t="str">
        <f>IF(Table1[[#This Row],[Age]]&lt;25,"18-24",IF(Table1[[#This Row],[Age]]&lt;30,"25-29",IF(Table1[[#This Row],[Age]]&lt;35,"30-34",IF(Table1[[#This Row],[Age]]&lt;40,"35-39",IF(Table1[[#This Row],[Age]]&lt;50,"40-49","50+")))))</f>
        <v>50+</v>
      </c>
    </row>
    <row r="600" spans="1:20" x14ac:dyDescent="0.35">
      <c r="A600">
        <v>1599</v>
      </c>
      <c r="B600" t="s">
        <v>60</v>
      </c>
      <c r="C600" t="s">
        <v>43</v>
      </c>
      <c r="D600" t="s">
        <v>17</v>
      </c>
      <c r="E600">
        <v>29</v>
      </c>
      <c r="F600" t="s">
        <v>38</v>
      </c>
      <c r="G600" t="s">
        <v>55</v>
      </c>
      <c r="H600" t="s">
        <v>20</v>
      </c>
      <c r="I600" s="1">
        <v>-27264</v>
      </c>
      <c r="J600" t="s">
        <v>806</v>
      </c>
      <c r="K600" t="s">
        <v>21</v>
      </c>
      <c r="L600">
        <v>13</v>
      </c>
      <c r="M600">
        <v>5</v>
      </c>
      <c r="N600" t="s">
        <v>22</v>
      </c>
      <c r="O600" t="s">
        <v>22</v>
      </c>
      <c r="P600" t="s">
        <v>807</v>
      </c>
      <c r="Q600" s="9" t="str">
        <f t="shared" si="19"/>
        <v>Valid</v>
      </c>
      <c r="R600">
        <v>9774492047</v>
      </c>
      <c r="S600" s="7" t="str">
        <f t="shared" si="18"/>
        <v>Valid</v>
      </c>
      <c r="T600" t="str">
        <f>IF(Table1[[#This Row],[Age]]&lt;25,"18-24",IF(Table1[[#This Row],[Age]]&lt;30,"25-29",IF(Table1[[#This Row],[Age]]&lt;35,"30-34",IF(Table1[[#This Row],[Age]]&lt;40,"35-39",IF(Table1[[#This Row],[Age]]&lt;50,"40-49","50+")))))</f>
        <v>25-29</v>
      </c>
    </row>
    <row r="601" spans="1:20" x14ac:dyDescent="0.35">
      <c r="A601">
        <v>1600</v>
      </c>
      <c r="B601" t="s">
        <v>15</v>
      </c>
      <c r="C601" t="s">
        <v>26</v>
      </c>
      <c r="D601" t="s">
        <v>17</v>
      </c>
      <c r="E601">
        <v>55</v>
      </c>
      <c r="F601" t="s">
        <v>33</v>
      </c>
      <c r="G601" t="s">
        <v>34</v>
      </c>
      <c r="H601" t="s">
        <v>28</v>
      </c>
      <c r="I601" s="1">
        <v>111466</v>
      </c>
      <c r="J601" t="s">
        <v>808</v>
      </c>
      <c r="K601" t="s">
        <v>21</v>
      </c>
      <c r="L601">
        <v>10</v>
      </c>
      <c r="M601">
        <v>2</v>
      </c>
      <c r="N601" t="s">
        <v>22</v>
      </c>
      <c r="O601" t="s">
        <v>22</v>
      </c>
      <c r="P601" t="s">
        <v>809</v>
      </c>
      <c r="Q601" s="9" t="str">
        <f t="shared" si="19"/>
        <v>Invalid</v>
      </c>
      <c r="R601">
        <v>9487551853</v>
      </c>
      <c r="S601" s="7" t="str">
        <f t="shared" si="18"/>
        <v>Valid</v>
      </c>
      <c r="T601" t="str">
        <f>IF(Table1[[#This Row],[Age]]&lt;25,"18-24",IF(Table1[[#This Row],[Age]]&lt;30,"25-29",IF(Table1[[#This Row],[Age]]&lt;35,"30-34",IF(Table1[[#This Row],[Age]]&lt;40,"35-39",IF(Table1[[#This Row],[Age]]&lt;50,"40-49","50+")))))</f>
        <v>50+</v>
      </c>
    </row>
    <row r="602" spans="1:20" x14ac:dyDescent="0.35">
      <c r="A602">
        <v>1601</v>
      </c>
      <c r="B602" t="s">
        <v>42</v>
      </c>
      <c r="C602" t="s">
        <v>43</v>
      </c>
      <c r="D602" t="s">
        <v>27</v>
      </c>
      <c r="E602">
        <v>66</v>
      </c>
      <c r="F602" t="s">
        <v>38</v>
      </c>
      <c r="G602" t="s">
        <v>39</v>
      </c>
      <c r="H602" t="s">
        <v>28</v>
      </c>
      <c r="I602" s="2" t="s">
        <v>1316</v>
      </c>
      <c r="J602" t="s">
        <v>1672</v>
      </c>
      <c r="K602" t="s">
        <v>46</v>
      </c>
      <c r="L602">
        <v>19</v>
      </c>
      <c r="M602">
        <v>5</v>
      </c>
      <c r="N602" t="s">
        <v>23</v>
      </c>
      <c r="O602" t="s">
        <v>23</v>
      </c>
      <c r="P602" t="s">
        <v>810</v>
      </c>
      <c r="Q602" s="9" t="str">
        <f t="shared" si="19"/>
        <v>Valid</v>
      </c>
      <c r="R602">
        <v>9642122065</v>
      </c>
      <c r="S602" s="7" t="str">
        <f t="shared" si="18"/>
        <v>Valid</v>
      </c>
      <c r="T602" t="str">
        <f>IF(Table1[[#This Row],[Age]]&lt;25,"18-24",IF(Table1[[#This Row],[Age]]&lt;30,"25-29",IF(Table1[[#This Row],[Age]]&lt;35,"30-34",IF(Table1[[#This Row],[Age]]&lt;40,"35-39",IF(Table1[[#This Row],[Age]]&lt;50,"40-49","50+")))))</f>
        <v>50+</v>
      </c>
    </row>
    <row r="603" spans="1:20" x14ac:dyDescent="0.35">
      <c r="A603">
        <v>1602</v>
      </c>
      <c r="B603" t="s">
        <v>60</v>
      </c>
      <c r="C603" t="s">
        <v>16</v>
      </c>
      <c r="D603" t="s">
        <v>17</v>
      </c>
      <c r="E603">
        <v>42</v>
      </c>
      <c r="F603" t="s">
        <v>69</v>
      </c>
      <c r="G603" t="s">
        <v>77</v>
      </c>
      <c r="H603" t="s">
        <v>44</v>
      </c>
      <c r="I603" s="1">
        <v>76518</v>
      </c>
      <c r="J603" t="s">
        <v>1673</v>
      </c>
      <c r="K603" t="s">
        <v>49</v>
      </c>
      <c r="L603">
        <v>2</v>
      </c>
      <c r="M603">
        <v>2</v>
      </c>
      <c r="N603" t="s">
        <v>23</v>
      </c>
      <c r="O603" t="s">
        <v>23</v>
      </c>
      <c r="P603" t="s">
        <v>811</v>
      </c>
      <c r="Q603" s="9" t="str">
        <f t="shared" si="19"/>
        <v>Valid</v>
      </c>
      <c r="R603">
        <v>9998781783</v>
      </c>
      <c r="S603" s="7" t="str">
        <f t="shared" si="18"/>
        <v>Valid</v>
      </c>
      <c r="T603" t="str">
        <f>IF(Table1[[#This Row],[Age]]&lt;25,"18-24",IF(Table1[[#This Row],[Age]]&lt;30,"25-29",IF(Table1[[#This Row],[Age]]&lt;35,"30-34",IF(Table1[[#This Row],[Age]]&lt;40,"35-39",IF(Table1[[#This Row],[Age]]&lt;50,"40-49","50+")))))</f>
        <v>40-49</v>
      </c>
    </row>
    <row r="604" spans="1:20" x14ac:dyDescent="0.35">
      <c r="A604">
        <v>1603</v>
      </c>
      <c r="B604" t="s">
        <v>42</v>
      </c>
      <c r="C604" t="s">
        <v>32</v>
      </c>
      <c r="D604" t="s">
        <v>17</v>
      </c>
      <c r="E604">
        <v>35</v>
      </c>
      <c r="F604" t="s">
        <v>38</v>
      </c>
      <c r="G604" t="s">
        <v>77</v>
      </c>
      <c r="H604" t="s">
        <v>28</v>
      </c>
      <c r="I604" s="1">
        <v>110642</v>
      </c>
      <c r="J604" t="s">
        <v>1674</v>
      </c>
      <c r="K604" t="s">
        <v>21</v>
      </c>
      <c r="L604">
        <v>3</v>
      </c>
      <c r="M604">
        <v>5</v>
      </c>
      <c r="N604" t="s">
        <v>22</v>
      </c>
      <c r="O604" t="s">
        <v>22</v>
      </c>
      <c r="P604" t="s">
        <v>812</v>
      </c>
      <c r="Q604" s="9" t="str">
        <f t="shared" si="19"/>
        <v>Valid</v>
      </c>
      <c r="R604">
        <v>9108294243</v>
      </c>
      <c r="S604" s="7" t="str">
        <f t="shared" si="18"/>
        <v>Valid</v>
      </c>
      <c r="T604" t="str">
        <f>IF(Table1[[#This Row],[Age]]&lt;25,"18-24",IF(Table1[[#This Row],[Age]]&lt;30,"25-29",IF(Table1[[#This Row],[Age]]&lt;35,"30-34",IF(Table1[[#This Row],[Age]]&lt;40,"35-39",IF(Table1[[#This Row],[Age]]&lt;50,"40-49","50+")))))</f>
        <v>35-39</v>
      </c>
    </row>
    <row r="605" spans="1:20" x14ac:dyDescent="0.35">
      <c r="A605">
        <v>1604</v>
      </c>
      <c r="B605" t="s">
        <v>58</v>
      </c>
      <c r="C605" t="s">
        <v>32</v>
      </c>
      <c r="D605" t="s">
        <v>17</v>
      </c>
      <c r="E605">
        <v>47</v>
      </c>
      <c r="F605" t="s">
        <v>62</v>
      </c>
      <c r="G605" t="s">
        <v>34</v>
      </c>
      <c r="H605" t="s">
        <v>44</v>
      </c>
      <c r="I605" s="1">
        <v>75765</v>
      </c>
      <c r="J605" t="s">
        <v>1675</v>
      </c>
      <c r="K605" t="s">
        <v>30</v>
      </c>
      <c r="L605">
        <v>4</v>
      </c>
      <c r="M605">
        <v>3</v>
      </c>
      <c r="N605" t="s">
        <v>22</v>
      </c>
      <c r="O605" t="s">
        <v>23</v>
      </c>
      <c r="P605" t="s">
        <v>813</v>
      </c>
      <c r="Q605" s="9" t="str">
        <f t="shared" si="19"/>
        <v>Valid</v>
      </c>
      <c r="R605">
        <v>9130492153</v>
      </c>
      <c r="S605" s="7" t="str">
        <f t="shared" si="18"/>
        <v>Valid</v>
      </c>
      <c r="T605" t="str">
        <f>IF(Table1[[#This Row],[Age]]&lt;25,"18-24",IF(Table1[[#This Row],[Age]]&lt;30,"25-29",IF(Table1[[#This Row],[Age]]&lt;35,"30-34",IF(Table1[[#This Row],[Age]]&lt;40,"35-39",IF(Table1[[#This Row],[Age]]&lt;50,"40-49","50+")))))</f>
        <v>40-49</v>
      </c>
    </row>
    <row r="606" spans="1:20" x14ac:dyDescent="0.35">
      <c r="A606">
        <v>1605</v>
      </c>
      <c r="B606" t="s">
        <v>67</v>
      </c>
      <c r="C606" t="s">
        <v>16</v>
      </c>
      <c r="D606" t="s">
        <v>27</v>
      </c>
      <c r="E606">
        <v>28</v>
      </c>
      <c r="F606" t="s">
        <v>33</v>
      </c>
      <c r="G606" t="s">
        <v>19</v>
      </c>
      <c r="H606" t="s">
        <v>35</v>
      </c>
      <c r="I606" s="1">
        <v>68876</v>
      </c>
      <c r="J606" t="s">
        <v>1676</v>
      </c>
      <c r="K606" t="s">
        <v>49</v>
      </c>
      <c r="L606">
        <v>7</v>
      </c>
      <c r="M606">
        <v>5</v>
      </c>
      <c r="N606" t="s">
        <v>22</v>
      </c>
      <c r="O606" t="s">
        <v>22</v>
      </c>
      <c r="P606" t="s">
        <v>814</v>
      </c>
      <c r="Q606" s="9" t="str">
        <f t="shared" si="19"/>
        <v>Valid</v>
      </c>
      <c r="R606">
        <v>9367034904</v>
      </c>
      <c r="S606" s="7" t="str">
        <f t="shared" si="18"/>
        <v>Valid</v>
      </c>
      <c r="T606" t="str">
        <f>IF(Table1[[#This Row],[Age]]&lt;25,"18-24",IF(Table1[[#This Row],[Age]]&lt;30,"25-29",IF(Table1[[#This Row],[Age]]&lt;35,"30-34",IF(Table1[[#This Row],[Age]]&lt;40,"35-39",IF(Table1[[#This Row],[Age]]&lt;50,"40-49","50+")))))</f>
        <v>25-29</v>
      </c>
    </row>
    <row r="607" spans="1:20" x14ac:dyDescent="0.35">
      <c r="A607">
        <v>1606</v>
      </c>
      <c r="B607" t="s">
        <v>42</v>
      </c>
      <c r="C607" t="s">
        <v>43</v>
      </c>
      <c r="D607" t="s">
        <v>27</v>
      </c>
      <c r="E607">
        <v>30</v>
      </c>
      <c r="F607" t="s">
        <v>33</v>
      </c>
      <c r="G607" t="s">
        <v>55</v>
      </c>
      <c r="H607" t="s">
        <v>56</v>
      </c>
      <c r="I607" s="1">
        <v>117744</v>
      </c>
      <c r="J607" t="s">
        <v>1677</v>
      </c>
      <c r="K607" t="s">
        <v>21</v>
      </c>
      <c r="L607">
        <v>24</v>
      </c>
      <c r="M607">
        <v>4</v>
      </c>
      <c r="N607" t="s">
        <v>22</v>
      </c>
      <c r="O607" t="s">
        <v>22</v>
      </c>
      <c r="P607" t="s">
        <v>815</v>
      </c>
      <c r="Q607" s="9" t="str">
        <f t="shared" si="19"/>
        <v>Valid</v>
      </c>
      <c r="R607">
        <v>9818400345</v>
      </c>
      <c r="S607" s="7" t="str">
        <f t="shared" si="18"/>
        <v>Valid</v>
      </c>
      <c r="T607" t="str">
        <f>IF(Table1[[#This Row],[Age]]&lt;25,"18-24",IF(Table1[[#This Row],[Age]]&lt;30,"25-29",IF(Table1[[#This Row],[Age]]&lt;35,"30-34",IF(Table1[[#This Row],[Age]]&lt;40,"35-39",IF(Table1[[#This Row],[Age]]&lt;50,"40-49","50+")))))</f>
        <v>30-34</v>
      </c>
    </row>
    <row r="608" spans="1:20" x14ac:dyDescent="0.35">
      <c r="A608">
        <v>1607</v>
      </c>
      <c r="B608" t="s">
        <v>54</v>
      </c>
      <c r="C608" t="s">
        <v>16</v>
      </c>
      <c r="D608" t="s">
        <v>17</v>
      </c>
      <c r="E608">
        <v>49</v>
      </c>
      <c r="F608" t="s">
        <v>18</v>
      </c>
      <c r="G608" t="s">
        <v>55</v>
      </c>
      <c r="H608" t="s">
        <v>20</v>
      </c>
      <c r="I608" s="1">
        <v>66009</v>
      </c>
      <c r="J608" t="s">
        <v>816</v>
      </c>
      <c r="K608" t="s">
        <v>46</v>
      </c>
      <c r="L608">
        <v>14</v>
      </c>
      <c r="M608">
        <v>3</v>
      </c>
      <c r="N608" t="s">
        <v>22</v>
      </c>
      <c r="O608" t="s">
        <v>23</v>
      </c>
      <c r="P608" t="s">
        <v>817</v>
      </c>
      <c r="Q608" s="9" t="str">
        <f t="shared" si="19"/>
        <v>Valid</v>
      </c>
      <c r="R608">
        <v>9270603645</v>
      </c>
      <c r="S608" s="7" t="str">
        <f t="shared" si="18"/>
        <v>Valid</v>
      </c>
      <c r="T608" t="str">
        <f>IF(Table1[[#This Row],[Age]]&lt;25,"18-24",IF(Table1[[#This Row],[Age]]&lt;30,"25-29",IF(Table1[[#This Row],[Age]]&lt;35,"30-34",IF(Table1[[#This Row],[Age]]&lt;40,"35-39",IF(Table1[[#This Row],[Age]]&lt;50,"40-49","50+")))))</f>
        <v>40-49</v>
      </c>
    </row>
    <row r="609" spans="1:20" x14ac:dyDescent="0.35">
      <c r="A609">
        <v>1608</v>
      </c>
      <c r="B609" t="s">
        <v>82</v>
      </c>
      <c r="C609" t="s">
        <v>43</v>
      </c>
      <c r="D609" t="s">
        <v>17</v>
      </c>
      <c r="E609">
        <v>45</v>
      </c>
      <c r="F609" t="s">
        <v>69</v>
      </c>
      <c r="G609" t="s">
        <v>77</v>
      </c>
      <c r="H609" t="s">
        <v>44</v>
      </c>
      <c r="I609" s="1">
        <v>87507</v>
      </c>
      <c r="J609" t="s">
        <v>1678</v>
      </c>
      <c r="K609" t="s">
        <v>49</v>
      </c>
      <c r="L609">
        <v>18</v>
      </c>
      <c r="M609">
        <v>3</v>
      </c>
      <c r="N609" t="s">
        <v>22</v>
      </c>
      <c r="O609" t="s">
        <v>22</v>
      </c>
      <c r="P609" t="s">
        <v>818</v>
      </c>
      <c r="Q609" s="9" t="str">
        <f t="shared" si="19"/>
        <v>Valid</v>
      </c>
      <c r="R609">
        <v>9057706728</v>
      </c>
      <c r="S609" s="7" t="str">
        <f t="shared" si="18"/>
        <v>Valid</v>
      </c>
      <c r="T609" t="str">
        <f>IF(Table1[[#This Row],[Age]]&lt;25,"18-24",IF(Table1[[#This Row],[Age]]&lt;30,"25-29",IF(Table1[[#This Row],[Age]]&lt;35,"30-34",IF(Table1[[#This Row],[Age]]&lt;40,"35-39",IF(Table1[[#This Row],[Age]]&lt;50,"40-49","50+")))))</f>
        <v>40-49</v>
      </c>
    </row>
    <row r="610" spans="1:20" x14ac:dyDescent="0.35">
      <c r="A610">
        <v>1609</v>
      </c>
      <c r="B610" t="s">
        <v>25</v>
      </c>
      <c r="C610" t="s">
        <v>16</v>
      </c>
      <c r="D610" t="s">
        <v>17</v>
      </c>
      <c r="E610">
        <v>34</v>
      </c>
      <c r="F610" t="s">
        <v>62</v>
      </c>
      <c r="G610" t="s">
        <v>19</v>
      </c>
      <c r="H610" t="s">
        <v>56</v>
      </c>
      <c r="I610" s="1">
        <v>38183</v>
      </c>
      <c r="J610" t="s">
        <v>1679</v>
      </c>
      <c r="K610" t="s">
        <v>49</v>
      </c>
      <c r="L610">
        <v>22</v>
      </c>
      <c r="M610">
        <v>4</v>
      </c>
      <c r="N610" t="s">
        <v>22</v>
      </c>
      <c r="O610" t="s">
        <v>22</v>
      </c>
      <c r="P610" t="s">
        <v>819</v>
      </c>
      <c r="Q610" s="9" t="str">
        <f t="shared" si="19"/>
        <v>Valid</v>
      </c>
      <c r="R610">
        <v>9894247859</v>
      </c>
      <c r="S610" s="7" t="str">
        <f t="shared" si="18"/>
        <v>Valid</v>
      </c>
      <c r="T610" t="str">
        <f>IF(Table1[[#This Row],[Age]]&lt;25,"18-24",IF(Table1[[#This Row],[Age]]&lt;30,"25-29",IF(Table1[[#This Row],[Age]]&lt;35,"30-34",IF(Table1[[#This Row],[Age]]&lt;40,"35-39",IF(Table1[[#This Row],[Age]]&lt;50,"40-49","50+")))))</f>
        <v>30-34</v>
      </c>
    </row>
    <row r="611" spans="1:20" x14ac:dyDescent="0.35">
      <c r="A611">
        <v>1610</v>
      </c>
      <c r="B611" t="s">
        <v>60</v>
      </c>
      <c r="C611" t="s">
        <v>32</v>
      </c>
      <c r="D611" t="s">
        <v>17</v>
      </c>
      <c r="E611">
        <v>56</v>
      </c>
      <c r="F611" t="s">
        <v>38</v>
      </c>
      <c r="G611" t="s">
        <v>39</v>
      </c>
      <c r="H611" t="s">
        <v>56</v>
      </c>
      <c r="I611" s="1">
        <v>112624</v>
      </c>
      <c r="J611" t="s">
        <v>1680</v>
      </c>
      <c r="K611" t="s">
        <v>30</v>
      </c>
      <c r="L611">
        <v>13</v>
      </c>
      <c r="M611">
        <v>3</v>
      </c>
      <c r="N611" t="s">
        <v>22</v>
      </c>
      <c r="O611" t="s">
        <v>23</v>
      </c>
      <c r="P611" t="s">
        <v>820</v>
      </c>
      <c r="Q611" s="9" t="str">
        <f t="shared" si="19"/>
        <v>Valid</v>
      </c>
      <c r="R611">
        <v>9374785275</v>
      </c>
      <c r="S611" s="7" t="str">
        <f t="shared" si="18"/>
        <v>Valid</v>
      </c>
      <c r="T611" t="str">
        <f>IF(Table1[[#This Row],[Age]]&lt;25,"18-24",IF(Table1[[#This Row],[Age]]&lt;30,"25-29",IF(Table1[[#This Row],[Age]]&lt;35,"30-34",IF(Table1[[#This Row],[Age]]&lt;40,"35-39",IF(Table1[[#This Row],[Age]]&lt;50,"40-49","50+")))))</f>
        <v>50+</v>
      </c>
    </row>
    <row r="612" spans="1:20" x14ac:dyDescent="0.35">
      <c r="A612">
        <v>1611</v>
      </c>
      <c r="B612" t="s">
        <v>42</v>
      </c>
      <c r="C612" t="s">
        <v>43</v>
      </c>
      <c r="D612" t="s">
        <v>17</v>
      </c>
      <c r="E612">
        <v>26</v>
      </c>
      <c r="F612" t="s">
        <v>33</v>
      </c>
      <c r="G612" t="s">
        <v>39</v>
      </c>
      <c r="H612" t="s">
        <v>56</v>
      </c>
      <c r="I612" s="1">
        <v>84956</v>
      </c>
      <c r="J612" t="s">
        <v>821</v>
      </c>
      <c r="K612" t="s">
        <v>46</v>
      </c>
      <c r="L612">
        <v>3</v>
      </c>
      <c r="M612">
        <v>1</v>
      </c>
      <c r="N612" t="s">
        <v>22</v>
      </c>
      <c r="O612" t="s">
        <v>23</v>
      </c>
      <c r="P612" t="s">
        <v>822</v>
      </c>
      <c r="Q612" s="9" t="str">
        <f t="shared" si="19"/>
        <v>Valid</v>
      </c>
      <c r="R612">
        <v>9689207168</v>
      </c>
      <c r="S612" s="7" t="str">
        <f t="shared" si="18"/>
        <v>Valid</v>
      </c>
      <c r="T612" t="str">
        <f>IF(Table1[[#This Row],[Age]]&lt;25,"18-24",IF(Table1[[#This Row],[Age]]&lt;30,"25-29",IF(Table1[[#This Row],[Age]]&lt;35,"30-34",IF(Table1[[#This Row],[Age]]&lt;40,"35-39",IF(Table1[[#This Row],[Age]]&lt;50,"40-49","50+")))))</f>
        <v>25-29</v>
      </c>
    </row>
    <row r="613" spans="1:20" x14ac:dyDescent="0.35">
      <c r="A613">
        <v>1612</v>
      </c>
      <c r="B613" t="s">
        <v>64</v>
      </c>
      <c r="C613" t="s">
        <v>16</v>
      </c>
      <c r="D613" t="s">
        <v>17</v>
      </c>
      <c r="E613">
        <v>35</v>
      </c>
      <c r="F613" t="s">
        <v>62</v>
      </c>
      <c r="G613" t="s">
        <v>77</v>
      </c>
      <c r="H613" t="s">
        <v>44</v>
      </c>
      <c r="I613" s="1">
        <v>76847</v>
      </c>
      <c r="J613" t="s">
        <v>1681</v>
      </c>
      <c r="K613" t="s">
        <v>49</v>
      </c>
      <c r="L613">
        <v>12</v>
      </c>
      <c r="M613">
        <v>2</v>
      </c>
      <c r="N613" t="s">
        <v>23</v>
      </c>
      <c r="O613" t="s">
        <v>23</v>
      </c>
      <c r="P613" t="s">
        <v>823</v>
      </c>
      <c r="Q613" s="9" t="str">
        <f t="shared" si="19"/>
        <v>Invalid</v>
      </c>
      <c r="R613">
        <v>9900611190</v>
      </c>
      <c r="S613" s="7" t="str">
        <f t="shared" si="18"/>
        <v>Valid</v>
      </c>
      <c r="T613" t="str">
        <f>IF(Table1[[#This Row],[Age]]&lt;25,"18-24",IF(Table1[[#This Row],[Age]]&lt;30,"25-29",IF(Table1[[#This Row],[Age]]&lt;35,"30-34",IF(Table1[[#This Row],[Age]]&lt;40,"35-39",IF(Table1[[#This Row],[Age]]&lt;50,"40-49","50+")))))</f>
        <v>35-39</v>
      </c>
    </row>
    <row r="614" spans="1:20" x14ac:dyDescent="0.35">
      <c r="A614">
        <v>1613</v>
      </c>
      <c r="B614" t="s">
        <v>60</v>
      </c>
      <c r="C614" t="s">
        <v>43</v>
      </c>
      <c r="D614" t="s">
        <v>17</v>
      </c>
      <c r="E614">
        <v>43</v>
      </c>
      <c r="F614" t="s">
        <v>18</v>
      </c>
      <c r="G614" t="s">
        <v>39</v>
      </c>
      <c r="H614" t="s">
        <v>35</v>
      </c>
      <c r="I614" s="1">
        <v>68378</v>
      </c>
      <c r="J614" t="s">
        <v>824</v>
      </c>
      <c r="K614" t="s">
        <v>46</v>
      </c>
      <c r="L614">
        <v>3</v>
      </c>
      <c r="M614">
        <v>1</v>
      </c>
      <c r="N614" t="s">
        <v>22</v>
      </c>
      <c r="O614" t="s">
        <v>23</v>
      </c>
      <c r="P614" t="s">
        <v>825</v>
      </c>
      <c r="Q614" s="9" t="str">
        <f t="shared" si="19"/>
        <v>Valid</v>
      </c>
      <c r="R614">
        <v>9241796162</v>
      </c>
      <c r="S614" s="7" t="str">
        <f t="shared" si="18"/>
        <v>Valid</v>
      </c>
      <c r="T614" t="str">
        <f>IF(Table1[[#This Row],[Age]]&lt;25,"18-24",IF(Table1[[#This Row],[Age]]&lt;30,"25-29",IF(Table1[[#This Row],[Age]]&lt;35,"30-34",IF(Table1[[#This Row],[Age]]&lt;40,"35-39",IF(Table1[[#This Row],[Age]]&lt;50,"40-49","50+")))))</f>
        <v>40-49</v>
      </c>
    </row>
    <row r="615" spans="1:20" x14ac:dyDescent="0.35">
      <c r="A615">
        <v>1614</v>
      </c>
      <c r="B615" t="s">
        <v>67</v>
      </c>
      <c r="C615" t="s">
        <v>32</v>
      </c>
      <c r="D615" t="s">
        <v>27</v>
      </c>
      <c r="E615">
        <v>47</v>
      </c>
      <c r="F615" t="s">
        <v>38</v>
      </c>
      <c r="G615" t="s">
        <v>19</v>
      </c>
      <c r="H615" t="s">
        <v>20</v>
      </c>
      <c r="I615" s="1">
        <v>53090</v>
      </c>
      <c r="J615" t="s">
        <v>1682</v>
      </c>
      <c r="K615" t="s">
        <v>30</v>
      </c>
      <c r="L615">
        <v>14</v>
      </c>
      <c r="M615">
        <v>2</v>
      </c>
      <c r="N615" t="s">
        <v>23</v>
      </c>
      <c r="O615" t="s">
        <v>23</v>
      </c>
      <c r="P615" t="s">
        <v>826</v>
      </c>
      <c r="Q615" s="9" t="str">
        <f t="shared" si="19"/>
        <v>Valid</v>
      </c>
      <c r="R615">
        <v>9734475999</v>
      </c>
      <c r="S615" s="7" t="str">
        <f t="shared" si="18"/>
        <v>Valid</v>
      </c>
      <c r="T615" t="str">
        <f>IF(Table1[[#This Row],[Age]]&lt;25,"18-24",IF(Table1[[#This Row],[Age]]&lt;30,"25-29",IF(Table1[[#This Row],[Age]]&lt;35,"30-34",IF(Table1[[#This Row],[Age]]&lt;40,"35-39",IF(Table1[[#This Row],[Age]]&lt;50,"40-49","50+")))))</f>
        <v>40-49</v>
      </c>
    </row>
    <row r="616" spans="1:20" x14ac:dyDescent="0.35">
      <c r="A616">
        <v>1615</v>
      </c>
      <c r="B616" t="s">
        <v>67</v>
      </c>
      <c r="C616" t="s">
        <v>32</v>
      </c>
      <c r="D616" t="s">
        <v>17</v>
      </c>
      <c r="E616">
        <v>32</v>
      </c>
      <c r="F616" t="s">
        <v>33</v>
      </c>
      <c r="G616" t="s">
        <v>19</v>
      </c>
      <c r="H616" t="s">
        <v>20</v>
      </c>
      <c r="I616" s="1">
        <v>110824</v>
      </c>
      <c r="J616" t="s">
        <v>827</v>
      </c>
      <c r="K616" t="s">
        <v>30</v>
      </c>
      <c r="L616">
        <v>13</v>
      </c>
      <c r="M616">
        <v>4</v>
      </c>
      <c r="N616" t="s">
        <v>22</v>
      </c>
      <c r="O616" t="s">
        <v>22</v>
      </c>
      <c r="P616" t="s">
        <v>828</v>
      </c>
      <c r="Q616" s="9" t="str">
        <f t="shared" si="19"/>
        <v>Valid</v>
      </c>
      <c r="R616">
        <v>9788339354</v>
      </c>
      <c r="S616" s="7" t="str">
        <f t="shared" si="18"/>
        <v>Valid</v>
      </c>
      <c r="T616" t="str">
        <f>IF(Table1[[#This Row],[Age]]&lt;25,"18-24",IF(Table1[[#This Row],[Age]]&lt;30,"25-29",IF(Table1[[#This Row],[Age]]&lt;35,"30-34",IF(Table1[[#This Row],[Age]]&lt;40,"35-39",IF(Table1[[#This Row],[Age]]&lt;50,"40-49","50+")))))</f>
        <v>30-34</v>
      </c>
    </row>
    <row r="617" spans="1:20" x14ac:dyDescent="0.35">
      <c r="A617">
        <v>1616</v>
      </c>
      <c r="B617" t="s">
        <v>82</v>
      </c>
      <c r="C617" t="s">
        <v>32</v>
      </c>
      <c r="D617" t="s">
        <v>17</v>
      </c>
      <c r="E617">
        <v>53</v>
      </c>
      <c r="F617" t="s">
        <v>18</v>
      </c>
      <c r="G617" t="s">
        <v>34</v>
      </c>
      <c r="H617" t="s">
        <v>44</v>
      </c>
      <c r="I617" s="1">
        <v>97818</v>
      </c>
      <c r="J617" t="s">
        <v>1683</v>
      </c>
      <c r="K617" t="s">
        <v>30</v>
      </c>
      <c r="L617">
        <v>10</v>
      </c>
      <c r="M617">
        <v>2</v>
      </c>
      <c r="N617" t="s">
        <v>22</v>
      </c>
      <c r="O617" t="s">
        <v>22</v>
      </c>
      <c r="P617" t="s">
        <v>829</v>
      </c>
      <c r="Q617" s="9" t="str">
        <f t="shared" si="19"/>
        <v>Valid</v>
      </c>
      <c r="R617">
        <v>9264271790</v>
      </c>
      <c r="S617" s="7" t="str">
        <f t="shared" si="18"/>
        <v>Valid</v>
      </c>
      <c r="T617" t="str">
        <f>IF(Table1[[#This Row],[Age]]&lt;25,"18-24",IF(Table1[[#This Row],[Age]]&lt;30,"25-29",IF(Table1[[#This Row],[Age]]&lt;35,"30-34",IF(Table1[[#This Row],[Age]]&lt;40,"35-39",IF(Table1[[#This Row],[Age]]&lt;50,"40-49","50+")))))</f>
        <v>50+</v>
      </c>
    </row>
    <row r="618" spans="1:20" x14ac:dyDescent="0.35">
      <c r="A618">
        <v>1617</v>
      </c>
      <c r="B618" t="s">
        <v>58</v>
      </c>
      <c r="C618" t="s">
        <v>26</v>
      </c>
      <c r="D618" t="s">
        <v>17</v>
      </c>
      <c r="E618">
        <v>49</v>
      </c>
      <c r="F618" t="s">
        <v>38</v>
      </c>
      <c r="G618" t="s">
        <v>19</v>
      </c>
      <c r="H618" t="s">
        <v>44</v>
      </c>
      <c r="I618" s="1">
        <v>118158</v>
      </c>
      <c r="J618" t="s">
        <v>1684</v>
      </c>
      <c r="K618" t="s">
        <v>40</v>
      </c>
      <c r="L618">
        <v>2</v>
      </c>
      <c r="M618">
        <v>2</v>
      </c>
      <c r="N618" t="s">
        <v>22</v>
      </c>
      <c r="O618" t="s">
        <v>23</v>
      </c>
      <c r="P618" t="s">
        <v>830</v>
      </c>
      <c r="Q618" s="9" t="str">
        <f t="shared" si="19"/>
        <v>Valid</v>
      </c>
      <c r="R618">
        <v>90688792</v>
      </c>
      <c r="S618" s="7" t="str">
        <f t="shared" si="18"/>
        <v>Invalid</v>
      </c>
      <c r="T618" t="str">
        <f>IF(Table1[[#This Row],[Age]]&lt;25,"18-24",IF(Table1[[#This Row],[Age]]&lt;30,"25-29",IF(Table1[[#This Row],[Age]]&lt;35,"30-34",IF(Table1[[#This Row],[Age]]&lt;40,"35-39",IF(Table1[[#This Row],[Age]]&lt;50,"40-49","50+")))))</f>
        <v>40-49</v>
      </c>
    </row>
    <row r="619" spans="1:20" x14ac:dyDescent="0.35">
      <c r="A619">
        <v>1618</v>
      </c>
      <c r="B619" t="s">
        <v>58</v>
      </c>
      <c r="C619" t="s">
        <v>26</v>
      </c>
      <c r="D619" t="s">
        <v>17</v>
      </c>
      <c r="E619">
        <v>58</v>
      </c>
      <c r="F619" t="s">
        <v>38</v>
      </c>
      <c r="G619" t="s">
        <v>34</v>
      </c>
      <c r="H619" t="s">
        <v>28</v>
      </c>
      <c r="I619" s="1">
        <v>64116</v>
      </c>
      <c r="J619" t="s">
        <v>1606</v>
      </c>
      <c r="K619" t="s">
        <v>40</v>
      </c>
      <c r="L619">
        <v>15</v>
      </c>
      <c r="M619">
        <v>4</v>
      </c>
      <c r="N619" t="s">
        <v>22</v>
      </c>
      <c r="O619" t="s">
        <v>22</v>
      </c>
      <c r="P619" t="s">
        <v>831</v>
      </c>
      <c r="Q619" s="9" t="str">
        <f t="shared" si="19"/>
        <v>Valid</v>
      </c>
      <c r="R619">
        <v>9003591674</v>
      </c>
      <c r="S619" s="7" t="str">
        <f t="shared" si="18"/>
        <v>Valid</v>
      </c>
      <c r="T619" t="str">
        <f>IF(Table1[[#This Row],[Age]]&lt;25,"18-24",IF(Table1[[#This Row],[Age]]&lt;30,"25-29",IF(Table1[[#This Row],[Age]]&lt;35,"30-34",IF(Table1[[#This Row],[Age]]&lt;40,"35-39",IF(Table1[[#This Row],[Age]]&lt;50,"40-49","50+")))))</f>
        <v>50+</v>
      </c>
    </row>
    <row r="620" spans="1:20" x14ac:dyDescent="0.35">
      <c r="A620">
        <v>1619</v>
      </c>
      <c r="B620" t="s">
        <v>58</v>
      </c>
      <c r="C620" t="s">
        <v>26</v>
      </c>
      <c r="D620" t="s">
        <v>27</v>
      </c>
      <c r="E620">
        <v>40</v>
      </c>
      <c r="F620" t="s">
        <v>18</v>
      </c>
      <c r="G620" t="s">
        <v>34</v>
      </c>
      <c r="H620" t="s">
        <v>28</v>
      </c>
      <c r="I620" s="1">
        <v>104528</v>
      </c>
      <c r="J620" t="s">
        <v>832</v>
      </c>
      <c r="K620" t="s">
        <v>21</v>
      </c>
      <c r="L620">
        <v>5</v>
      </c>
      <c r="M620">
        <v>3</v>
      </c>
      <c r="N620" t="s">
        <v>23</v>
      </c>
      <c r="O620" t="s">
        <v>23</v>
      </c>
      <c r="P620" t="s">
        <v>833</v>
      </c>
      <c r="Q620" s="9" t="str">
        <f t="shared" si="19"/>
        <v>Valid</v>
      </c>
      <c r="R620">
        <v>9910128941</v>
      </c>
      <c r="S620" s="7" t="str">
        <f t="shared" si="18"/>
        <v>Valid</v>
      </c>
      <c r="T620" t="str">
        <f>IF(Table1[[#This Row],[Age]]&lt;25,"18-24",IF(Table1[[#This Row],[Age]]&lt;30,"25-29",IF(Table1[[#This Row],[Age]]&lt;35,"30-34",IF(Table1[[#This Row],[Age]]&lt;40,"35-39",IF(Table1[[#This Row],[Age]]&lt;50,"40-49","50+")))))</f>
        <v>40-49</v>
      </c>
    </row>
    <row r="621" spans="1:20" x14ac:dyDescent="0.35">
      <c r="A621">
        <v>1620</v>
      </c>
      <c r="B621" t="s">
        <v>37</v>
      </c>
      <c r="C621" t="s">
        <v>26</v>
      </c>
      <c r="D621" t="s">
        <v>27</v>
      </c>
      <c r="E621">
        <v>32</v>
      </c>
      <c r="F621" t="s">
        <v>33</v>
      </c>
      <c r="G621" t="s">
        <v>19</v>
      </c>
      <c r="H621" t="s">
        <v>56</v>
      </c>
      <c r="I621" s="1">
        <v>74276</v>
      </c>
      <c r="J621" t="s">
        <v>1685</v>
      </c>
      <c r="K621" t="s">
        <v>40</v>
      </c>
      <c r="L621">
        <v>3</v>
      </c>
      <c r="M621">
        <v>4</v>
      </c>
      <c r="N621" t="s">
        <v>23</v>
      </c>
      <c r="O621" t="s">
        <v>22</v>
      </c>
      <c r="P621" t="s">
        <v>834</v>
      </c>
      <c r="Q621" s="9" t="str">
        <f t="shared" si="19"/>
        <v>Valid</v>
      </c>
      <c r="R621">
        <v>9067690026</v>
      </c>
      <c r="S621" s="7" t="str">
        <f t="shared" si="18"/>
        <v>Valid</v>
      </c>
      <c r="T621" t="str">
        <f>IF(Table1[[#This Row],[Age]]&lt;25,"18-24",IF(Table1[[#This Row],[Age]]&lt;30,"25-29",IF(Table1[[#This Row],[Age]]&lt;35,"30-34",IF(Table1[[#This Row],[Age]]&lt;40,"35-39",IF(Table1[[#This Row],[Age]]&lt;50,"40-49","50+")))))</f>
        <v>30-34</v>
      </c>
    </row>
    <row r="622" spans="1:20" x14ac:dyDescent="0.35">
      <c r="A622">
        <v>1621</v>
      </c>
      <c r="B622" t="s">
        <v>15</v>
      </c>
      <c r="C622" t="s">
        <v>16</v>
      </c>
      <c r="D622" t="s">
        <v>17</v>
      </c>
      <c r="E622">
        <v>51</v>
      </c>
      <c r="F622" t="s">
        <v>18</v>
      </c>
      <c r="G622" t="s">
        <v>39</v>
      </c>
      <c r="H622" t="s">
        <v>35</v>
      </c>
      <c r="I622" s="1">
        <v>64840</v>
      </c>
      <c r="J622" t="s">
        <v>1686</v>
      </c>
      <c r="K622" t="s">
        <v>46</v>
      </c>
      <c r="L622">
        <v>8</v>
      </c>
      <c r="M622">
        <v>1</v>
      </c>
      <c r="N622" t="s">
        <v>23</v>
      </c>
      <c r="O622" t="s">
        <v>22</v>
      </c>
      <c r="P622" t="s">
        <v>835</v>
      </c>
      <c r="Q622" s="9" t="str">
        <f t="shared" si="19"/>
        <v>Valid</v>
      </c>
      <c r="R622">
        <v>9554423453</v>
      </c>
      <c r="S622" s="7" t="str">
        <f t="shared" si="18"/>
        <v>Valid</v>
      </c>
      <c r="T622" t="str">
        <f>IF(Table1[[#This Row],[Age]]&lt;25,"18-24",IF(Table1[[#This Row],[Age]]&lt;30,"25-29",IF(Table1[[#This Row],[Age]]&lt;35,"30-34",IF(Table1[[#This Row],[Age]]&lt;40,"35-39",IF(Table1[[#This Row],[Age]]&lt;50,"40-49","50+")))))</f>
        <v>50+</v>
      </c>
    </row>
    <row r="623" spans="1:20" x14ac:dyDescent="0.35">
      <c r="A623">
        <v>1622</v>
      </c>
      <c r="B623" t="s">
        <v>42</v>
      </c>
      <c r="C623" t="s">
        <v>16</v>
      </c>
      <c r="D623" t="s">
        <v>17</v>
      </c>
      <c r="E623">
        <v>37</v>
      </c>
      <c r="F623" t="s">
        <v>69</v>
      </c>
      <c r="G623" t="s">
        <v>19</v>
      </c>
      <c r="H623" t="s">
        <v>44</v>
      </c>
      <c r="I623" s="1">
        <v>39430</v>
      </c>
      <c r="J623" t="s">
        <v>121</v>
      </c>
      <c r="K623" t="s">
        <v>49</v>
      </c>
      <c r="L623">
        <v>16</v>
      </c>
      <c r="M623">
        <v>4</v>
      </c>
      <c r="N623" t="s">
        <v>22</v>
      </c>
      <c r="O623" t="s">
        <v>23</v>
      </c>
      <c r="P623" t="s">
        <v>836</v>
      </c>
      <c r="Q623" s="9" t="str">
        <f t="shared" si="19"/>
        <v>Valid</v>
      </c>
      <c r="R623">
        <v>9182529837</v>
      </c>
      <c r="S623" s="7" t="str">
        <f t="shared" si="18"/>
        <v>Valid</v>
      </c>
      <c r="T623" t="str">
        <f>IF(Table1[[#This Row],[Age]]&lt;25,"18-24",IF(Table1[[#This Row],[Age]]&lt;30,"25-29",IF(Table1[[#This Row],[Age]]&lt;35,"30-34",IF(Table1[[#This Row],[Age]]&lt;40,"35-39",IF(Table1[[#This Row],[Age]]&lt;50,"40-49","50+")))))</f>
        <v>35-39</v>
      </c>
    </row>
    <row r="624" spans="1:20" x14ac:dyDescent="0.35">
      <c r="A624">
        <v>1623</v>
      </c>
      <c r="B624" t="s">
        <v>15</v>
      </c>
      <c r="C624" t="s">
        <v>32</v>
      </c>
      <c r="D624" t="s">
        <v>27</v>
      </c>
      <c r="E624">
        <v>40</v>
      </c>
      <c r="F624" t="s">
        <v>62</v>
      </c>
      <c r="G624" t="s">
        <v>77</v>
      </c>
      <c r="H624" t="s">
        <v>20</v>
      </c>
      <c r="I624" s="1">
        <v>105724</v>
      </c>
      <c r="J624" t="s">
        <v>1687</v>
      </c>
      <c r="K624" t="s">
        <v>46</v>
      </c>
      <c r="L624">
        <v>21</v>
      </c>
      <c r="M624">
        <v>5</v>
      </c>
      <c r="N624" t="s">
        <v>22</v>
      </c>
      <c r="O624" t="s">
        <v>23</v>
      </c>
      <c r="P624" t="s">
        <v>837</v>
      </c>
      <c r="Q624" s="9" t="str">
        <f t="shared" si="19"/>
        <v>Valid</v>
      </c>
      <c r="R624">
        <v>9403790683</v>
      </c>
      <c r="S624" s="7" t="str">
        <f t="shared" si="18"/>
        <v>Valid</v>
      </c>
      <c r="T624" t="str">
        <f>IF(Table1[[#This Row],[Age]]&lt;25,"18-24",IF(Table1[[#This Row],[Age]]&lt;30,"25-29",IF(Table1[[#This Row],[Age]]&lt;35,"30-34",IF(Table1[[#This Row],[Age]]&lt;40,"35-39",IF(Table1[[#This Row],[Age]]&lt;50,"40-49","50+")))))</f>
        <v>40-49</v>
      </c>
    </row>
    <row r="625" spans="1:20" x14ac:dyDescent="0.35">
      <c r="A625">
        <v>1624</v>
      </c>
      <c r="B625" t="s">
        <v>15</v>
      </c>
      <c r="C625" t="s">
        <v>32</v>
      </c>
      <c r="D625" t="s">
        <v>27</v>
      </c>
      <c r="E625">
        <v>33</v>
      </c>
      <c r="F625" t="s">
        <v>18</v>
      </c>
      <c r="G625" t="s">
        <v>55</v>
      </c>
      <c r="H625" t="s">
        <v>35</v>
      </c>
      <c r="I625" s="1">
        <v>44879</v>
      </c>
      <c r="J625" t="s">
        <v>1688</v>
      </c>
      <c r="K625" t="s">
        <v>21</v>
      </c>
      <c r="L625">
        <v>18</v>
      </c>
      <c r="M625">
        <v>3</v>
      </c>
      <c r="N625" t="s">
        <v>23</v>
      </c>
      <c r="O625" t="s">
        <v>22</v>
      </c>
      <c r="P625" t="s">
        <v>838</v>
      </c>
      <c r="Q625" s="9" t="str">
        <f t="shared" si="19"/>
        <v>Valid</v>
      </c>
      <c r="R625">
        <v>9505969760</v>
      </c>
      <c r="S625" s="7" t="str">
        <f t="shared" si="18"/>
        <v>Valid</v>
      </c>
      <c r="T625" t="str">
        <f>IF(Table1[[#This Row],[Age]]&lt;25,"18-24",IF(Table1[[#This Row],[Age]]&lt;30,"25-29",IF(Table1[[#This Row],[Age]]&lt;35,"30-34",IF(Table1[[#This Row],[Age]]&lt;40,"35-39",IF(Table1[[#This Row],[Age]]&lt;50,"40-49","50+")))))</f>
        <v>30-34</v>
      </c>
    </row>
    <row r="626" spans="1:20" x14ac:dyDescent="0.35">
      <c r="A626">
        <v>1625</v>
      </c>
      <c r="B626" t="s">
        <v>25</v>
      </c>
      <c r="C626" t="s">
        <v>61</v>
      </c>
      <c r="D626" t="s">
        <v>27</v>
      </c>
      <c r="E626">
        <v>34</v>
      </c>
      <c r="F626" t="s">
        <v>62</v>
      </c>
      <c r="G626" t="s">
        <v>77</v>
      </c>
      <c r="H626" t="s">
        <v>44</v>
      </c>
      <c r="I626" s="1">
        <v>43354</v>
      </c>
      <c r="J626" t="s">
        <v>490</v>
      </c>
      <c r="K626" t="s">
        <v>46</v>
      </c>
      <c r="L626">
        <v>14</v>
      </c>
      <c r="M626">
        <v>2</v>
      </c>
      <c r="N626" t="s">
        <v>22</v>
      </c>
      <c r="O626" t="s">
        <v>23</v>
      </c>
      <c r="P626" t="s">
        <v>839</v>
      </c>
      <c r="Q626" s="9" t="str">
        <f t="shared" si="19"/>
        <v>Valid</v>
      </c>
      <c r="R626">
        <v>9591610755</v>
      </c>
      <c r="S626" s="7" t="str">
        <f t="shared" si="18"/>
        <v>Valid</v>
      </c>
      <c r="T626" t="str">
        <f>IF(Table1[[#This Row],[Age]]&lt;25,"18-24",IF(Table1[[#This Row],[Age]]&lt;30,"25-29",IF(Table1[[#This Row],[Age]]&lt;35,"30-34",IF(Table1[[#This Row],[Age]]&lt;40,"35-39",IF(Table1[[#This Row],[Age]]&lt;50,"40-49","50+")))))</f>
        <v>30-34</v>
      </c>
    </row>
    <row r="627" spans="1:20" x14ac:dyDescent="0.35">
      <c r="A627">
        <v>1626</v>
      </c>
      <c r="B627" t="s">
        <v>67</v>
      </c>
      <c r="C627" t="s">
        <v>32</v>
      </c>
      <c r="D627" t="s">
        <v>17</v>
      </c>
      <c r="E627">
        <v>48</v>
      </c>
      <c r="F627" t="s">
        <v>69</v>
      </c>
      <c r="G627" t="s">
        <v>39</v>
      </c>
      <c r="H627" t="s">
        <v>44</v>
      </c>
      <c r="I627" s="1">
        <v>77790</v>
      </c>
      <c r="J627" t="s">
        <v>840</v>
      </c>
      <c r="K627" t="s">
        <v>21</v>
      </c>
      <c r="L627">
        <v>14</v>
      </c>
      <c r="M627">
        <v>1</v>
      </c>
      <c r="N627" t="s">
        <v>22</v>
      </c>
      <c r="O627" t="s">
        <v>23</v>
      </c>
      <c r="P627" t="s">
        <v>841</v>
      </c>
      <c r="Q627" s="9" t="str">
        <f t="shared" si="19"/>
        <v>Valid</v>
      </c>
      <c r="R627">
        <v>9566206873</v>
      </c>
      <c r="S627" s="7" t="str">
        <f t="shared" si="18"/>
        <v>Valid</v>
      </c>
      <c r="T627" t="str">
        <f>IF(Table1[[#This Row],[Age]]&lt;25,"18-24",IF(Table1[[#This Row],[Age]]&lt;30,"25-29",IF(Table1[[#This Row],[Age]]&lt;35,"30-34",IF(Table1[[#This Row],[Age]]&lt;40,"35-39",IF(Table1[[#This Row],[Age]]&lt;50,"40-49","50+")))))</f>
        <v>40-49</v>
      </c>
    </row>
    <row r="628" spans="1:20" x14ac:dyDescent="0.35">
      <c r="A628">
        <v>1627</v>
      </c>
      <c r="B628" t="s">
        <v>54</v>
      </c>
      <c r="C628" t="s">
        <v>26</v>
      </c>
      <c r="D628" t="s">
        <v>27</v>
      </c>
      <c r="E628">
        <v>43</v>
      </c>
      <c r="F628" t="s">
        <v>18</v>
      </c>
      <c r="G628" t="s">
        <v>39</v>
      </c>
      <c r="H628" t="s">
        <v>35</v>
      </c>
      <c r="I628" s="1">
        <v>106716</v>
      </c>
      <c r="J628" t="s">
        <v>842</v>
      </c>
      <c r="K628" t="s">
        <v>21</v>
      </c>
      <c r="L628">
        <v>6</v>
      </c>
      <c r="M628">
        <v>3</v>
      </c>
      <c r="N628" t="s">
        <v>22</v>
      </c>
      <c r="O628" t="s">
        <v>23</v>
      </c>
      <c r="P628" t="s">
        <v>843</v>
      </c>
      <c r="Q628" s="9" t="str">
        <f t="shared" si="19"/>
        <v>Valid</v>
      </c>
      <c r="R628">
        <v>9808327147</v>
      </c>
      <c r="S628" s="7" t="str">
        <f t="shared" si="18"/>
        <v>Valid</v>
      </c>
      <c r="T628" t="str">
        <f>IF(Table1[[#This Row],[Age]]&lt;25,"18-24",IF(Table1[[#This Row],[Age]]&lt;30,"25-29",IF(Table1[[#This Row],[Age]]&lt;35,"30-34",IF(Table1[[#This Row],[Age]]&lt;40,"35-39",IF(Table1[[#This Row],[Age]]&lt;50,"40-49","50+")))))</f>
        <v>40-49</v>
      </c>
    </row>
    <row r="629" spans="1:20" x14ac:dyDescent="0.35">
      <c r="A629">
        <v>1628</v>
      </c>
      <c r="B629" t="s">
        <v>82</v>
      </c>
      <c r="C629" t="s">
        <v>32</v>
      </c>
      <c r="D629" t="s">
        <v>27</v>
      </c>
      <c r="E629">
        <v>50</v>
      </c>
      <c r="F629" t="s">
        <v>69</v>
      </c>
      <c r="G629" t="s">
        <v>34</v>
      </c>
      <c r="H629" t="s">
        <v>44</v>
      </c>
      <c r="I629" s="1">
        <v>82994</v>
      </c>
      <c r="J629" t="s">
        <v>1689</v>
      </c>
      <c r="K629" t="s">
        <v>30</v>
      </c>
      <c r="L629">
        <v>22</v>
      </c>
      <c r="M629">
        <v>3</v>
      </c>
      <c r="N629" t="s">
        <v>22</v>
      </c>
      <c r="O629" t="s">
        <v>23</v>
      </c>
      <c r="P629" t="s">
        <v>844</v>
      </c>
      <c r="Q629" s="9" t="str">
        <f t="shared" si="19"/>
        <v>Valid</v>
      </c>
      <c r="R629">
        <v>9861241289</v>
      </c>
      <c r="S629" s="7" t="str">
        <f t="shared" si="18"/>
        <v>Valid</v>
      </c>
      <c r="T629" t="str">
        <f>IF(Table1[[#This Row],[Age]]&lt;25,"18-24",IF(Table1[[#This Row],[Age]]&lt;30,"25-29",IF(Table1[[#This Row],[Age]]&lt;35,"30-34",IF(Table1[[#This Row],[Age]]&lt;40,"35-39",IF(Table1[[#This Row],[Age]]&lt;50,"40-49","50+")))))</f>
        <v>50+</v>
      </c>
    </row>
    <row r="630" spans="1:20" x14ac:dyDescent="0.35">
      <c r="A630">
        <v>1629</v>
      </c>
      <c r="B630" t="s">
        <v>54</v>
      </c>
      <c r="C630" t="s">
        <v>32</v>
      </c>
      <c r="D630" t="s">
        <v>17</v>
      </c>
      <c r="E630">
        <v>23</v>
      </c>
      <c r="F630" t="s">
        <v>38</v>
      </c>
      <c r="G630" t="s">
        <v>55</v>
      </c>
      <c r="H630" t="s">
        <v>20</v>
      </c>
      <c r="I630" s="1">
        <v>70471</v>
      </c>
      <c r="J630" t="s">
        <v>845</v>
      </c>
      <c r="K630" t="s">
        <v>30</v>
      </c>
      <c r="L630">
        <v>10</v>
      </c>
      <c r="M630">
        <v>1</v>
      </c>
      <c r="N630" t="s">
        <v>23</v>
      </c>
      <c r="O630" t="s">
        <v>23</v>
      </c>
      <c r="P630" t="s">
        <v>846</v>
      </c>
      <c r="Q630" s="9" t="str">
        <f t="shared" si="19"/>
        <v>Valid</v>
      </c>
      <c r="R630">
        <v>9457921739</v>
      </c>
      <c r="S630" s="7" t="str">
        <f t="shared" si="18"/>
        <v>Valid</v>
      </c>
      <c r="T630" t="str">
        <f>IF(Table1[[#This Row],[Age]]&lt;25,"18-24",IF(Table1[[#This Row],[Age]]&lt;30,"25-29",IF(Table1[[#This Row],[Age]]&lt;35,"30-34",IF(Table1[[#This Row],[Age]]&lt;40,"35-39",IF(Table1[[#This Row],[Age]]&lt;50,"40-49","50+")))))</f>
        <v>18-24</v>
      </c>
    </row>
    <row r="631" spans="1:20" x14ac:dyDescent="0.35">
      <c r="A631">
        <v>1630</v>
      </c>
      <c r="B631" t="s">
        <v>37</v>
      </c>
      <c r="C631" t="s">
        <v>32</v>
      </c>
      <c r="D631" t="s">
        <v>17</v>
      </c>
      <c r="E631">
        <v>30</v>
      </c>
      <c r="F631" t="s">
        <v>38</v>
      </c>
      <c r="G631" t="s">
        <v>34</v>
      </c>
      <c r="H631" t="s">
        <v>44</v>
      </c>
      <c r="I631" s="1">
        <v>82607</v>
      </c>
      <c r="J631" t="s">
        <v>847</v>
      </c>
      <c r="K631" t="s">
        <v>46</v>
      </c>
      <c r="L631">
        <v>8</v>
      </c>
      <c r="M631">
        <v>5</v>
      </c>
      <c r="N631" t="s">
        <v>22</v>
      </c>
      <c r="O631" t="s">
        <v>23</v>
      </c>
      <c r="P631" t="s">
        <v>848</v>
      </c>
      <c r="Q631" s="9" t="str">
        <f t="shared" si="19"/>
        <v>Valid</v>
      </c>
      <c r="R631">
        <v>9506833372</v>
      </c>
      <c r="S631" s="7" t="str">
        <f t="shared" si="18"/>
        <v>Valid</v>
      </c>
      <c r="T631" t="str">
        <f>IF(Table1[[#This Row],[Age]]&lt;25,"18-24",IF(Table1[[#This Row],[Age]]&lt;30,"25-29",IF(Table1[[#This Row],[Age]]&lt;35,"30-34",IF(Table1[[#This Row],[Age]]&lt;40,"35-39",IF(Table1[[#This Row],[Age]]&lt;50,"40-49","50+")))))</f>
        <v>30-34</v>
      </c>
    </row>
    <row r="632" spans="1:20" x14ac:dyDescent="0.35">
      <c r="A632">
        <v>1631</v>
      </c>
      <c r="B632" t="s">
        <v>58</v>
      </c>
      <c r="C632" t="s">
        <v>26</v>
      </c>
      <c r="D632" t="s">
        <v>27</v>
      </c>
      <c r="E632">
        <v>22</v>
      </c>
      <c r="F632" t="s">
        <v>62</v>
      </c>
      <c r="G632" t="s">
        <v>55</v>
      </c>
      <c r="H632" t="s">
        <v>35</v>
      </c>
      <c r="I632" s="1">
        <v>81197</v>
      </c>
      <c r="J632" t="s">
        <v>424</v>
      </c>
      <c r="K632" t="s">
        <v>46</v>
      </c>
      <c r="L632">
        <v>8</v>
      </c>
      <c r="M632">
        <v>1</v>
      </c>
      <c r="N632" t="s">
        <v>22</v>
      </c>
      <c r="O632" t="s">
        <v>23</v>
      </c>
      <c r="P632" t="s">
        <v>849</v>
      </c>
      <c r="Q632" s="9" t="str">
        <f t="shared" si="19"/>
        <v>Valid</v>
      </c>
      <c r="R632">
        <v>9733444452</v>
      </c>
      <c r="S632" s="7" t="str">
        <f t="shared" si="18"/>
        <v>Valid</v>
      </c>
      <c r="T632" t="str">
        <f>IF(Table1[[#This Row],[Age]]&lt;25,"18-24",IF(Table1[[#This Row],[Age]]&lt;30,"25-29",IF(Table1[[#This Row],[Age]]&lt;35,"30-34",IF(Table1[[#This Row],[Age]]&lt;40,"35-39",IF(Table1[[#This Row],[Age]]&lt;50,"40-49","50+")))))</f>
        <v>18-24</v>
      </c>
    </row>
    <row r="633" spans="1:20" x14ac:dyDescent="0.35">
      <c r="A633">
        <v>1632</v>
      </c>
      <c r="B633" t="s">
        <v>37</v>
      </c>
      <c r="C633" t="s">
        <v>16</v>
      </c>
      <c r="D633" t="s">
        <v>17</v>
      </c>
      <c r="E633">
        <v>53</v>
      </c>
      <c r="F633" t="s">
        <v>38</v>
      </c>
      <c r="G633" t="s">
        <v>39</v>
      </c>
      <c r="H633" t="s">
        <v>28</v>
      </c>
      <c r="I633" s="1">
        <v>45183</v>
      </c>
      <c r="J633" t="s">
        <v>1690</v>
      </c>
      <c r="K633" t="s">
        <v>46</v>
      </c>
      <c r="L633">
        <v>19</v>
      </c>
      <c r="M633">
        <v>2</v>
      </c>
      <c r="N633" t="s">
        <v>23</v>
      </c>
      <c r="O633" t="s">
        <v>22</v>
      </c>
      <c r="P633" t="s">
        <v>850</v>
      </c>
      <c r="Q633" s="9" t="str">
        <f t="shared" si="19"/>
        <v>Valid</v>
      </c>
      <c r="R633">
        <v>9069652355</v>
      </c>
      <c r="S633" s="7" t="str">
        <f t="shared" si="18"/>
        <v>Valid</v>
      </c>
      <c r="T633" t="str">
        <f>IF(Table1[[#This Row],[Age]]&lt;25,"18-24",IF(Table1[[#This Row],[Age]]&lt;30,"25-29",IF(Table1[[#This Row],[Age]]&lt;35,"30-34",IF(Table1[[#This Row],[Age]]&lt;40,"35-39",IF(Table1[[#This Row],[Age]]&lt;50,"40-49","50+")))))</f>
        <v>50+</v>
      </c>
    </row>
    <row r="634" spans="1:20" x14ac:dyDescent="0.35">
      <c r="A634">
        <v>1633</v>
      </c>
      <c r="B634" t="s">
        <v>37</v>
      </c>
      <c r="C634" t="s">
        <v>26</v>
      </c>
      <c r="D634" t="s">
        <v>17</v>
      </c>
      <c r="E634">
        <v>39</v>
      </c>
      <c r="F634" t="s">
        <v>62</v>
      </c>
      <c r="G634" t="s">
        <v>39</v>
      </c>
      <c r="H634" t="s">
        <v>44</v>
      </c>
      <c r="I634" s="1">
        <v>49959</v>
      </c>
      <c r="J634" t="s">
        <v>1536</v>
      </c>
      <c r="K634" t="s">
        <v>40</v>
      </c>
      <c r="L634">
        <v>24</v>
      </c>
      <c r="M634">
        <v>4</v>
      </c>
      <c r="N634" t="s">
        <v>22</v>
      </c>
      <c r="O634" t="s">
        <v>22</v>
      </c>
      <c r="P634" t="s">
        <v>851</v>
      </c>
      <c r="Q634" s="9" t="str">
        <f t="shared" si="19"/>
        <v>Valid</v>
      </c>
      <c r="R634">
        <v>9786666335</v>
      </c>
      <c r="S634" s="7" t="str">
        <f t="shared" si="18"/>
        <v>Valid</v>
      </c>
      <c r="T634" t="str">
        <f>IF(Table1[[#This Row],[Age]]&lt;25,"18-24",IF(Table1[[#This Row],[Age]]&lt;30,"25-29",IF(Table1[[#This Row],[Age]]&lt;35,"30-34",IF(Table1[[#This Row],[Age]]&lt;40,"35-39",IF(Table1[[#This Row],[Age]]&lt;50,"40-49","50+")))))</f>
        <v>35-39</v>
      </c>
    </row>
    <row r="635" spans="1:20" x14ac:dyDescent="0.35">
      <c r="A635">
        <v>1634</v>
      </c>
      <c r="B635" t="s">
        <v>64</v>
      </c>
      <c r="C635" t="s">
        <v>43</v>
      </c>
      <c r="D635" t="s">
        <v>17</v>
      </c>
      <c r="E635">
        <v>47</v>
      </c>
      <c r="F635" t="s">
        <v>38</v>
      </c>
      <c r="G635" t="s">
        <v>19</v>
      </c>
      <c r="H635" t="s">
        <v>20</v>
      </c>
      <c r="I635" s="1">
        <v>40634</v>
      </c>
      <c r="J635" t="s">
        <v>847</v>
      </c>
      <c r="K635" t="s">
        <v>49</v>
      </c>
      <c r="L635">
        <v>14</v>
      </c>
      <c r="M635">
        <v>4</v>
      </c>
      <c r="N635" t="s">
        <v>23</v>
      </c>
      <c r="O635" t="s">
        <v>22</v>
      </c>
      <c r="P635" t="s">
        <v>852</v>
      </c>
      <c r="Q635" s="9" t="str">
        <f t="shared" si="19"/>
        <v>Valid</v>
      </c>
      <c r="R635">
        <v>9590541492</v>
      </c>
      <c r="S635" s="7" t="str">
        <f t="shared" si="18"/>
        <v>Valid</v>
      </c>
      <c r="T635" t="str">
        <f>IF(Table1[[#This Row],[Age]]&lt;25,"18-24",IF(Table1[[#This Row],[Age]]&lt;30,"25-29",IF(Table1[[#This Row],[Age]]&lt;35,"30-34",IF(Table1[[#This Row],[Age]]&lt;40,"35-39",IF(Table1[[#This Row],[Age]]&lt;50,"40-49","50+")))))</f>
        <v>40-49</v>
      </c>
    </row>
    <row r="636" spans="1:20" x14ac:dyDescent="0.35">
      <c r="A636">
        <v>1635</v>
      </c>
      <c r="B636" t="s">
        <v>25</v>
      </c>
      <c r="C636" t="s">
        <v>32</v>
      </c>
      <c r="D636" t="s">
        <v>27</v>
      </c>
      <c r="E636">
        <v>37</v>
      </c>
      <c r="F636" t="s">
        <v>69</v>
      </c>
      <c r="G636" t="s">
        <v>77</v>
      </c>
      <c r="H636" t="s">
        <v>20</v>
      </c>
      <c r="I636" s="1">
        <v>61026</v>
      </c>
      <c r="J636" t="s">
        <v>1691</v>
      </c>
      <c r="K636" t="s">
        <v>40</v>
      </c>
      <c r="L636">
        <v>12</v>
      </c>
      <c r="M636">
        <v>1</v>
      </c>
      <c r="N636" t="s">
        <v>22</v>
      </c>
      <c r="O636" t="s">
        <v>22</v>
      </c>
      <c r="P636" t="s">
        <v>853</v>
      </c>
      <c r="Q636" s="9" t="str">
        <f t="shared" si="19"/>
        <v>Valid</v>
      </c>
      <c r="R636">
        <v>9492628418</v>
      </c>
      <c r="S636" s="7" t="str">
        <f t="shared" si="18"/>
        <v>Valid</v>
      </c>
      <c r="T636" t="str">
        <f>IF(Table1[[#This Row],[Age]]&lt;25,"18-24",IF(Table1[[#This Row],[Age]]&lt;30,"25-29",IF(Table1[[#This Row],[Age]]&lt;35,"30-34",IF(Table1[[#This Row],[Age]]&lt;40,"35-39",IF(Table1[[#This Row],[Age]]&lt;50,"40-49","50+")))))</f>
        <v>35-39</v>
      </c>
    </row>
    <row r="637" spans="1:20" x14ac:dyDescent="0.35">
      <c r="A637">
        <v>1636</v>
      </c>
      <c r="B637" t="s">
        <v>58</v>
      </c>
      <c r="C637" t="s">
        <v>32</v>
      </c>
      <c r="D637" t="s">
        <v>17</v>
      </c>
      <c r="E637">
        <v>35</v>
      </c>
      <c r="F637" t="s">
        <v>38</v>
      </c>
      <c r="G637" t="s">
        <v>55</v>
      </c>
      <c r="H637" t="s">
        <v>20</v>
      </c>
      <c r="I637" s="1">
        <v>31387</v>
      </c>
      <c r="J637" t="s">
        <v>1692</v>
      </c>
      <c r="K637" t="s">
        <v>30</v>
      </c>
      <c r="L637">
        <v>0</v>
      </c>
      <c r="M637">
        <v>5</v>
      </c>
      <c r="N637" t="s">
        <v>23</v>
      </c>
      <c r="O637" t="s">
        <v>23</v>
      </c>
      <c r="P637" t="s">
        <v>854</v>
      </c>
      <c r="Q637" s="9" t="str">
        <f t="shared" si="19"/>
        <v>Valid</v>
      </c>
      <c r="R637">
        <v>91129179</v>
      </c>
      <c r="S637" s="7" t="str">
        <f t="shared" si="18"/>
        <v>Invalid</v>
      </c>
      <c r="T637" t="str">
        <f>IF(Table1[[#This Row],[Age]]&lt;25,"18-24",IF(Table1[[#This Row],[Age]]&lt;30,"25-29",IF(Table1[[#This Row],[Age]]&lt;35,"30-34",IF(Table1[[#This Row],[Age]]&lt;40,"35-39",IF(Table1[[#This Row],[Age]]&lt;50,"40-49","50+")))))</f>
        <v>35-39</v>
      </c>
    </row>
    <row r="638" spans="1:20" x14ac:dyDescent="0.35">
      <c r="A638">
        <v>1637</v>
      </c>
      <c r="B638" t="s">
        <v>58</v>
      </c>
      <c r="C638" t="s">
        <v>43</v>
      </c>
      <c r="D638" t="s">
        <v>17</v>
      </c>
      <c r="E638">
        <v>45</v>
      </c>
      <c r="F638" t="s">
        <v>33</v>
      </c>
      <c r="G638" t="s">
        <v>55</v>
      </c>
      <c r="H638" t="s">
        <v>44</v>
      </c>
      <c r="I638" s="1">
        <v>57218</v>
      </c>
      <c r="J638" t="s">
        <v>855</v>
      </c>
      <c r="K638" t="s">
        <v>40</v>
      </c>
      <c r="L638">
        <v>24</v>
      </c>
      <c r="M638">
        <v>1</v>
      </c>
      <c r="N638" t="s">
        <v>22</v>
      </c>
      <c r="O638" t="s">
        <v>23</v>
      </c>
      <c r="P638" t="s">
        <v>856</v>
      </c>
      <c r="Q638" s="9" t="str">
        <f t="shared" si="19"/>
        <v>Valid</v>
      </c>
      <c r="R638">
        <v>9361846980</v>
      </c>
      <c r="S638" s="7" t="str">
        <f t="shared" si="18"/>
        <v>Valid</v>
      </c>
      <c r="T638" t="str">
        <f>IF(Table1[[#This Row],[Age]]&lt;25,"18-24",IF(Table1[[#This Row],[Age]]&lt;30,"25-29",IF(Table1[[#This Row],[Age]]&lt;35,"30-34",IF(Table1[[#This Row],[Age]]&lt;40,"35-39",IF(Table1[[#This Row],[Age]]&lt;50,"40-49","50+")))))</f>
        <v>40-49</v>
      </c>
    </row>
    <row r="639" spans="1:20" x14ac:dyDescent="0.35">
      <c r="A639">
        <v>1638</v>
      </c>
      <c r="B639" t="s">
        <v>58</v>
      </c>
      <c r="C639" t="s">
        <v>61</v>
      </c>
      <c r="D639" t="s">
        <v>17</v>
      </c>
      <c r="E639">
        <v>44</v>
      </c>
      <c r="F639" t="s">
        <v>69</v>
      </c>
      <c r="G639" t="s">
        <v>34</v>
      </c>
      <c r="H639" t="s">
        <v>20</v>
      </c>
      <c r="I639" s="1">
        <v>90891</v>
      </c>
      <c r="J639" t="s">
        <v>857</v>
      </c>
      <c r="K639" t="s">
        <v>40</v>
      </c>
      <c r="L639">
        <v>15</v>
      </c>
      <c r="M639">
        <v>2</v>
      </c>
      <c r="N639" t="s">
        <v>23</v>
      </c>
      <c r="O639" t="s">
        <v>22</v>
      </c>
      <c r="P639" t="s">
        <v>858</v>
      </c>
      <c r="Q639" s="9" t="str">
        <f t="shared" si="19"/>
        <v>Valid</v>
      </c>
      <c r="R639">
        <v>9809438825</v>
      </c>
      <c r="S639" s="7" t="str">
        <f t="shared" si="18"/>
        <v>Valid</v>
      </c>
      <c r="T639" t="str">
        <f>IF(Table1[[#This Row],[Age]]&lt;25,"18-24",IF(Table1[[#This Row],[Age]]&lt;30,"25-29",IF(Table1[[#This Row],[Age]]&lt;35,"30-34",IF(Table1[[#This Row],[Age]]&lt;40,"35-39",IF(Table1[[#This Row],[Age]]&lt;50,"40-49","50+")))))</f>
        <v>40-49</v>
      </c>
    </row>
    <row r="640" spans="1:20" x14ac:dyDescent="0.35">
      <c r="A640">
        <v>1639</v>
      </c>
      <c r="B640" t="s">
        <v>64</v>
      </c>
      <c r="C640" t="s">
        <v>43</v>
      </c>
      <c r="D640" t="s">
        <v>27</v>
      </c>
      <c r="E640">
        <v>22</v>
      </c>
      <c r="F640" t="s">
        <v>69</v>
      </c>
      <c r="G640" t="s">
        <v>55</v>
      </c>
      <c r="H640" t="s">
        <v>20</v>
      </c>
      <c r="I640" s="1">
        <v>35635</v>
      </c>
      <c r="J640" t="s">
        <v>859</v>
      </c>
      <c r="K640" t="s">
        <v>49</v>
      </c>
      <c r="L640">
        <v>8</v>
      </c>
      <c r="M640">
        <v>5</v>
      </c>
      <c r="N640" t="s">
        <v>23</v>
      </c>
      <c r="O640" t="s">
        <v>22</v>
      </c>
      <c r="P640" t="s">
        <v>860</v>
      </c>
      <c r="Q640" s="9" t="str">
        <f t="shared" si="19"/>
        <v>Valid</v>
      </c>
      <c r="R640">
        <v>9215722284</v>
      </c>
      <c r="S640" s="7" t="str">
        <f t="shared" si="18"/>
        <v>Valid</v>
      </c>
      <c r="T640" t="str">
        <f>IF(Table1[[#This Row],[Age]]&lt;25,"18-24",IF(Table1[[#This Row],[Age]]&lt;30,"25-29",IF(Table1[[#This Row],[Age]]&lt;35,"30-34",IF(Table1[[#This Row],[Age]]&lt;40,"35-39",IF(Table1[[#This Row],[Age]]&lt;50,"40-49","50+")))))</f>
        <v>18-24</v>
      </c>
    </row>
    <row r="641" spans="1:20" x14ac:dyDescent="0.35">
      <c r="A641">
        <v>1640</v>
      </c>
      <c r="B641" t="s">
        <v>15</v>
      </c>
      <c r="C641" t="s">
        <v>16</v>
      </c>
      <c r="D641" t="s">
        <v>17</v>
      </c>
      <c r="E641">
        <v>32</v>
      </c>
      <c r="F641" t="s">
        <v>33</v>
      </c>
      <c r="G641" t="s">
        <v>39</v>
      </c>
      <c r="H641" t="s">
        <v>28</v>
      </c>
      <c r="I641" s="1">
        <v>26375</v>
      </c>
      <c r="J641" t="s">
        <v>1693</v>
      </c>
      <c r="K641" t="s">
        <v>46</v>
      </c>
      <c r="L641">
        <v>0</v>
      </c>
      <c r="M641">
        <v>1</v>
      </c>
      <c r="N641" t="s">
        <v>22</v>
      </c>
      <c r="O641" t="s">
        <v>23</v>
      </c>
      <c r="P641" t="s">
        <v>861</v>
      </c>
      <c r="Q641" s="9" t="str">
        <f t="shared" si="19"/>
        <v>Valid</v>
      </c>
      <c r="R641">
        <v>9070182589</v>
      </c>
      <c r="S641" s="7" t="str">
        <f t="shared" si="18"/>
        <v>Valid</v>
      </c>
      <c r="T641" t="str">
        <f>IF(Table1[[#This Row],[Age]]&lt;25,"18-24",IF(Table1[[#This Row],[Age]]&lt;30,"25-29",IF(Table1[[#This Row],[Age]]&lt;35,"30-34",IF(Table1[[#This Row],[Age]]&lt;40,"35-39",IF(Table1[[#This Row],[Age]]&lt;50,"40-49","50+")))))</f>
        <v>30-34</v>
      </c>
    </row>
    <row r="642" spans="1:20" x14ac:dyDescent="0.35">
      <c r="A642">
        <v>1641</v>
      </c>
      <c r="B642" t="s">
        <v>54</v>
      </c>
      <c r="C642" t="s">
        <v>26</v>
      </c>
      <c r="D642" t="s">
        <v>17</v>
      </c>
      <c r="E642">
        <v>42</v>
      </c>
      <c r="F642" t="s">
        <v>38</v>
      </c>
      <c r="G642" t="s">
        <v>55</v>
      </c>
      <c r="H642" t="s">
        <v>20</v>
      </c>
      <c r="I642" s="1">
        <v>91754</v>
      </c>
      <c r="J642" t="s">
        <v>1371</v>
      </c>
      <c r="K642" t="s">
        <v>46</v>
      </c>
      <c r="L642">
        <v>23</v>
      </c>
      <c r="M642">
        <v>1</v>
      </c>
      <c r="N642" t="s">
        <v>23</v>
      </c>
      <c r="O642" t="s">
        <v>22</v>
      </c>
      <c r="P642" t="s">
        <v>862</v>
      </c>
      <c r="Q642" s="9" t="str">
        <f t="shared" si="19"/>
        <v>Valid</v>
      </c>
      <c r="R642">
        <v>9646233164</v>
      </c>
      <c r="S642" s="7" t="str">
        <f t="shared" ref="S642:S705" si="20">IF(AND(ISNUMBER(R642),LEN(R642)=10),"Valid","Invalid")</f>
        <v>Valid</v>
      </c>
      <c r="T642" t="str">
        <f>IF(Table1[[#This Row],[Age]]&lt;25,"18-24",IF(Table1[[#This Row],[Age]]&lt;30,"25-29",IF(Table1[[#This Row],[Age]]&lt;35,"30-34",IF(Table1[[#This Row],[Age]]&lt;40,"35-39",IF(Table1[[#This Row],[Age]]&lt;50,"40-49","50+")))))</f>
        <v>40-49</v>
      </c>
    </row>
    <row r="643" spans="1:20" x14ac:dyDescent="0.35">
      <c r="A643">
        <v>1642</v>
      </c>
      <c r="B643" t="s">
        <v>25</v>
      </c>
      <c r="C643" t="s">
        <v>32</v>
      </c>
      <c r="D643" t="s">
        <v>27</v>
      </c>
      <c r="E643">
        <v>66</v>
      </c>
      <c r="F643" t="s">
        <v>62</v>
      </c>
      <c r="G643" t="s">
        <v>55</v>
      </c>
      <c r="H643" t="s">
        <v>35</v>
      </c>
      <c r="I643" s="1">
        <v>114592</v>
      </c>
      <c r="J643" t="s">
        <v>1694</v>
      </c>
      <c r="K643" t="s">
        <v>46</v>
      </c>
      <c r="L643">
        <v>16</v>
      </c>
      <c r="M643">
        <v>5</v>
      </c>
      <c r="N643" t="s">
        <v>22</v>
      </c>
      <c r="O643" t="s">
        <v>23</v>
      </c>
      <c r="P643" t="s">
        <v>863</v>
      </c>
      <c r="Q643" s="9" t="str">
        <f t="shared" ref="Q643:Q706" si="21">IF(AND(ISNUMBER(SEARCH("@",P643)),ISNUMBER(SEARCH(".",P643))),"Valid","Invalid")</f>
        <v>Valid</v>
      </c>
      <c r="R643">
        <v>9159253318</v>
      </c>
      <c r="S643" s="7" t="str">
        <f t="shared" si="20"/>
        <v>Valid</v>
      </c>
      <c r="T643" t="str">
        <f>IF(Table1[[#This Row],[Age]]&lt;25,"18-24",IF(Table1[[#This Row],[Age]]&lt;30,"25-29",IF(Table1[[#This Row],[Age]]&lt;35,"30-34",IF(Table1[[#This Row],[Age]]&lt;40,"35-39",IF(Table1[[#This Row],[Age]]&lt;50,"40-49","50+")))))</f>
        <v>50+</v>
      </c>
    </row>
    <row r="644" spans="1:20" x14ac:dyDescent="0.35">
      <c r="A644">
        <v>1643</v>
      </c>
      <c r="B644" t="s">
        <v>64</v>
      </c>
      <c r="C644" t="s">
        <v>16</v>
      </c>
      <c r="D644" t="s">
        <v>27</v>
      </c>
      <c r="E644">
        <v>54</v>
      </c>
      <c r="F644" t="s">
        <v>33</v>
      </c>
      <c r="G644" t="s">
        <v>34</v>
      </c>
      <c r="H644" t="s">
        <v>28</v>
      </c>
      <c r="I644" s="1">
        <v>91496</v>
      </c>
      <c r="J644" t="s">
        <v>1695</v>
      </c>
      <c r="K644" t="s">
        <v>49</v>
      </c>
      <c r="L644">
        <v>10</v>
      </c>
      <c r="M644">
        <v>4</v>
      </c>
      <c r="N644" t="s">
        <v>23</v>
      </c>
      <c r="O644" t="s">
        <v>22</v>
      </c>
      <c r="P644" t="s">
        <v>864</v>
      </c>
      <c r="Q644" s="9" t="str">
        <f t="shared" si="21"/>
        <v>Valid</v>
      </c>
      <c r="R644">
        <v>9544966257</v>
      </c>
      <c r="S644" s="7" t="str">
        <f t="shared" si="20"/>
        <v>Valid</v>
      </c>
      <c r="T644" t="str">
        <f>IF(Table1[[#This Row],[Age]]&lt;25,"18-24",IF(Table1[[#This Row],[Age]]&lt;30,"25-29",IF(Table1[[#This Row],[Age]]&lt;35,"30-34",IF(Table1[[#This Row],[Age]]&lt;40,"35-39",IF(Table1[[#This Row],[Age]]&lt;50,"40-49","50+")))))</f>
        <v>50+</v>
      </c>
    </row>
    <row r="645" spans="1:20" x14ac:dyDescent="0.35">
      <c r="A645">
        <v>1644</v>
      </c>
      <c r="B645" t="s">
        <v>37</v>
      </c>
      <c r="C645" t="s">
        <v>26</v>
      </c>
      <c r="D645" t="s">
        <v>17</v>
      </c>
      <c r="E645">
        <v>38</v>
      </c>
      <c r="F645" t="s">
        <v>69</v>
      </c>
      <c r="G645" t="s">
        <v>39</v>
      </c>
      <c r="H645" t="s">
        <v>35</v>
      </c>
      <c r="I645" s="1">
        <v>117888</v>
      </c>
      <c r="J645" t="s">
        <v>1696</v>
      </c>
      <c r="K645" t="s">
        <v>49</v>
      </c>
      <c r="L645">
        <v>0</v>
      </c>
      <c r="M645">
        <v>3</v>
      </c>
      <c r="N645" t="s">
        <v>22</v>
      </c>
      <c r="O645" t="s">
        <v>22</v>
      </c>
      <c r="P645" t="s">
        <v>865</v>
      </c>
      <c r="Q645" s="9" t="str">
        <f t="shared" si="21"/>
        <v>Valid</v>
      </c>
      <c r="R645">
        <v>9749091118</v>
      </c>
      <c r="S645" s="7" t="str">
        <f t="shared" si="20"/>
        <v>Valid</v>
      </c>
      <c r="T645" t="str">
        <f>IF(Table1[[#This Row],[Age]]&lt;25,"18-24",IF(Table1[[#This Row],[Age]]&lt;30,"25-29",IF(Table1[[#This Row],[Age]]&lt;35,"30-34",IF(Table1[[#This Row],[Age]]&lt;40,"35-39",IF(Table1[[#This Row],[Age]]&lt;50,"40-49","50+")))))</f>
        <v>35-39</v>
      </c>
    </row>
    <row r="646" spans="1:20" x14ac:dyDescent="0.35">
      <c r="A646">
        <v>1645</v>
      </c>
      <c r="B646" t="s">
        <v>64</v>
      </c>
      <c r="C646" t="s">
        <v>26</v>
      </c>
      <c r="D646" t="s">
        <v>17</v>
      </c>
      <c r="E646">
        <v>56</v>
      </c>
      <c r="F646" t="s">
        <v>33</v>
      </c>
      <c r="G646" t="s">
        <v>19</v>
      </c>
      <c r="H646" t="s">
        <v>20</v>
      </c>
      <c r="I646" s="1">
        <v>47298</v>
      </c>
      <c r="J646" t="s">
        <v>866</v>
      </c>
      <c r="K646" t="s">
        <v>46</v>
      </c>
      <c r="L646">
        <v>15</v>
      </c>
      <c r="M646">
        <v>5</v>
      </c>
      <c r="N646" t="s">
        <v>23</v>
      </c>
      <c r="O646" t="s">
        <v>23</v>
      </c>
      <c r="P646" t="s">
        <v>867</v>
      </c>
      <c r="Q646" s="9" t="str">
        <f t="shared" si="21"/>
        <v>Valid</v>
      </c>
      <c r="R646">
        <v>9579840995</v>
      </c>
      <c r="S646" s="7" t="str">
        <f t="shared" si="20"/>
        <v>Valid</v>
      </c>
      <c r="T646" t="str">
        <f>IF(Table1[[#This Row],[Age]]&lt;25,"18-24",IF(Table1[[#This Row],[Age]]&lt;30,"25-29",IF(Table1[[#This Row],[Age]]&lt;35,"30-34",IF(Table1[[#This Row],[Age]]&lt;40,"35-39",IF(Table1[[#This Row],[Age]]&lt;50,"40-49","50+")))))</f>
        <v>50+</v>
      </c>
    </row>
    <row r="647" spans="1:20" x14ac:dyDescent="0.35">
      <c r="A647">
        <v>1646</v>
      </c>
      <c r="B647" t="s">
        <v>64</v>
      </c>
      <c r="C647" t="s">
        <v>32</v>
      </c>
      <c r="D647" t="s">
        <v>27</v>
      </c>
      <c r="E647">
        <v>32</v>
      </c>
      <c r="F647" t="s">
        <v>18</v>
      </c>
      <c r="G647" t="s">
        <v>19</v>
      </c>
      <c r="H647" t="s">
        <v>28</v>
      </c>
      <c r="I647" s="1">
        <v>66308</v>
      </c>
      <c r="J647" t="s">
        <v>868</v>
      </c>
      <c r="K647" t="s">
        <v>30</v>
      </c>
      <c r="L647">
        <v>23</v>
      </c>
      <c r="M647">
        <v>1</v>
      </c>
      <c r="N647" t="s">
        <v>23</v>
      </c>
      <c r="O647" t="s">
        <v>22</v>
      </c>
      <c r="P647" t="s">
        <v>869</v>
      </c>
      <c r="Q647" s="9" t="str">
        <f t="shared" si="21"/>
        <v>Valid</v>
      </c>
      <c r="R647">
        <v>9025696586</v>
      </c>
      <c r="S647" s="7" t="str">
        <f t="shared" si="20"/>
        <v>Valid</v>
      </c>
      <c r="T647" t="str">
        <f>IF(Table1[[#This Row],[Age]]&lt;25,"18-24",IF(Table1[[#This Row],[Age]]&lt;30,"25-29",IF(Table1[[#This Row],[Age]]&lt;35,"30-34",IF(Table1[[#This Row],[Age]]&lt;40,"35-39",IF(Table1[[#This Row],[Age]]&lt;50,"40-49","50+")))))</f>
        <v>30-34</v>
      </c>
    </row>
    <row r="648" spans="1:20" x14ac:dyDescent="0.35">
      <c r="A648">
        <v>1647</v>
      </c>
      <c r="B648" t="s">
        <v>42</v>
      </c>
      <c r="C648" t="s">
        <v>32</v>
      </c>
      <c r="D648" t="s">
        <v>17</v>
      </c>
      <c r="E648">
        <v>30</v>
      </c>
      <c r="F648" t="s">
        <v>62</v>
      </c>
      <c r="G648" t="s">
        <v>55</v>
      </c>
      <c r="H648" t="s">
        <v>20</v>
      </c>
      <c r="I648" s="1">
        <v>43518</v>
      </c>
      <c r="J648" t="s">
        <v>870</v>
      </c>
      <c r="K648" t="s">
        <v>49</v>
      </c>
      <c r="L648">
        <v>11</v>
      </c>
      <c r="M648">
        <v>5</v>
      </c>
      <c r="N648" t="s">
        <v>22</v>
      </c>
      <c r="O648" t="s">
        <v>22</v>
      </c>
      <c r="P648" t="s">
        <v>871</v>
      </c>
      <c r="Q648" s="9" t="str">
        <f t="shared" si="21"/>
        <v>Valid</v>
      </c>
      <c r="R648">
        <v>9897045012</v>
      </c>
      <c r="S648" s="7" t="str">
        <f t="shared" si="20"/>
        <v>Valid</v>
      </c>
      <c r="T648" t="str">
        <f>IF(Table1[[#This Row],[Age]]&lt;25,"18-24",IF(Table1[[#This Row],[Age]]&lt;30,"25-29",IF(Table1[[#This Row],[Age]]&lt;35,"30-34",IF(Table1[[#This Row],[Age]]&lt;40,"35-39",IF(Table1[[#This Row],[Age]]&lt;50,"40-49","50+")))))</f>
        <v>30-34</v>
      </c>
    </row>
    <row r="649" spans="1:20" x14ac:dyDescent="0.35">
      <c r="A649">
        <v>1648</v>
      </c>
      <c r="B649" t="s">
        <v>64</v>
      </c>
      <c r="C649" t="s">
        <v>32</v>
      </c>
      <c r="D649" t="s">
        <v>17</v>
      </c>
      <c r="E649">
        <v>25</v>
      </c>
      <c r="F649" t="s">
        <v>62</v>
      </c>
      <c r="G649" t="s">
        <v>39</v>
      </c>
      <c r="H649" t="s">
        <v>35</v>
      </c>
      <c r="I649" s="1">
        <v>59232</v>
      </c>
      <c r="J649" t="s">
        <v>227</v>
      </c>
      <c r="K649" t="s">
        <v>40</v>
      </c>
      <c r="L649">
        <v>12</v>
      </c>
      <c r="M649">
        <v>3</v>
      </c>
      <c r="N649" t="s">
        <v>23</v>
      </c>
      <c r="O649" t="s">
        <v>22</v>
      </c>
      <c r="P649" t="s">
        <v>872</v>
      </c>
      <c r="Q649" s="9" t="str">
        <f t="shared" si="21"/>
        <v>Valid</v>
      </c>
      <c r="R649">
        <v>9068843595</v>
      </c>
      <c r="S649" s="7" t="str">
        <f t="shared" si="20"/>
        <v>Valid</v>
      </c>
      <c r="T649" t="str">
        <f>IF(Table1[[#This Row],[Age]]&lt;25,"18-24",IF(Table1[[#This Row],[Age]]&lt;30,"25-29",IF(Table1[[#This Row],[Age]]&lt;35,"30-34",IF(Table1[[#This Row],[Age]]&lt;40,"35-39",IF(Table1[[#This Row],[Age]]&lt;50,"40-49","50+")))))</f>
        <v>25-29</v>
      </c>
    </row>
    <row r="650" spans="1:20" x14ac:dyDescent="0.35">
      <c r="A650">
        <v>1649</v>
      </c>
      <c r="B650" t="s">
        <v>42</v>
      </c>
      <c r="C650" t="s">
        <v>26</v>
      </c>
      <c r="D650" t="s">
        <v>17</v>
      </c>
      <c r="E650">
        <v>25</v>
      </c>
      <c r="F650" t="s">
        <v>38</v>
      </c>
      <c r="G650" t="s">
        <v>77</v>
      </c>
      <c r="H650" t="s">
        <v>35</v>
      </c>
      <c r="I650" s="1">
        <v>88595</v>
      </c>
      <c r="J650" t="s">
        <v>1697</v>
      </c>
      <c r="K650" t="s">
        <v>40</v>
      </c>
      <c r="L650">
        <v>11</v>
      </c>
      <c r="M650">
        <v>5</v>
      </c>
      <c r="N650" t="s">
        <v>23</v>
      </c>
      <c r="O650" t="s">
        <v>23</v>
      </c>
      <c r="P650" t="s">
        <v>873</v>
      </c>
      <c r="Q650" s="9" t="str">
        <f t="shared" si="21"/>
        <v>Valid</v>
      </c>
      <c r="R650">
        <v>9076405059</v>
      </c>
      <c r="S650" s="7" t="str">
        <f t="shared" si="20"/>
        <v>Valid</v>
      </c>
      <c r="T650" t="str">
        <f>IF(Table1[[#This Row],[Age]]&lt;25,"18-24",IF(Table1[[#This Row],[Age]]&lt;30,"25-29",IF(Table1[[#This Row],[Age]]&lt;35,"30-34",IF(Table1[[#This Row],[Age]]&lt;40,"35-39",IF(Table1[[#This Row],[Age]]&lt;50,"40-49","50+")))))</f>
        <v>25-29</v>
      </c>
    </row>
    <row r="651" spans="1:20" x14ac:dyDescent="0.35">
      <c r="A651">
        <v>1650</v>
      </c>
      <c r="B651" t="s">
        <v>42</v>
      </c>
      <c r="C651" t="s">
        <v>43</v>
      </c>
      <c r="D651" t="s">
        <v>27</v>
      </c>
      <c r="E651">
        <v>33</v>
      </c>
      <c r="F651" t="s">
        <v>33</v>
      </c>
      <c r="G651" t="s">
        <v>77</v>
      </c>
      <c r="H651" t="s">
        <v>20</v>
      </c>
      <c r="I651" s="1">
        <v>78293</v>
      </c>
      <c r="J651" t="s">
        <v>1698</v>
      </c>
      <c r="K651" t="s">
        <v>21</v>
      </c>
      <c r="L651">
        <v>12</v>
      </c>
      <c r="M651">
        <v>5</v>
      </c>
      <c r="N651" t="s">
        <v>23</v>
      </c>
      <c r="O651" t="s">
        <v>23</v>
      </c>
      <c r="P651" t="s">
        <v>874</v>
      </c>
      <c r="Q651" s="9" t="str">
        <f t="shared" si="21"/>
        <v>Valid</v>
      </c>
      <c r="R651">
        <v>9138784766</v>
      </c>
      <c r="S651" s="7" t="str">
        <f t="shared" si="20"/>
        <v>Valid</v>
      </c>
      <c r="T651" t="str">
        <f>IF(Table1[[#This Row],[Age]]&lt;25,"18-24",IF(Table1[[#This Row],[Age]]&lt;30,"25-29",IF(Table1[[#This Row],[Age]]&lt;35,"30-34",IF(Table1[[#This Row],[Age]]&lt;40,"35-39",IF(Table1[[#This Row],[Age]]&lt;50,"40-49","50+")))))</f>
        <v>30-34</v>
      </c>
    </row>
    <row r="652" spans="1:20" x14ac:dyDescent="0.35">
      <c r="A652">
        <v>1651</v>
      </c>
      <c r="B652" t="s">
        <v>58</v>
      </c>
      <c r="C652" t="s">
        <v>32</v>
      </c>
      <c r="D652" t="s">
        <v>17</v>
      </c>
      <c r="E652">
        <v>22</v>
      </c>
      <c r="F652" t="s">
        <v>33</v>
      </c>
      <c r="G652" t="s">
        <v>19</v>
      </c>
      <c r="H652" t="s">
        <v>35</v>
      </c>
      <c r="I652" s="1">
        <v>96609</v>
      </c>
      <c r="J652" t="s">
        <v>1699</v>
      </c>
      <c r="K652" t="s">
        <v>46</v>
      </c>
      <c r="L652">
        <v>7</v>
      </c>
      <c r="M652">
        <v>3</v>
      </c>
      <c r="N652" t="s">
        <v>22</v>
      </c>
      <c r="O652" t="s">
        <v>23</v>
      </c>
      <c r="P652" t="s">
        <v>875</v>
      </c>
      <c r="Q652" s="9" t="str">
        <f t="shared" si="21"/>
        <v>Valid</v>
      </c>
      <c r="R652">
        <v>9714415775</v>
      </c>
      <c r="S652" s="7" t="str">
        <f t="shared" si="20"/>
        <v>Valid</v>
      </c>
      <c r="T652" t="str">
        <f>IF(Table1[[#This Row],[Age]]&lt;25,"18-24",IF(Table1[[#This Row],[Age]]&lt;30,"25-29",IF(Table1[[#This Row],[Age]]&lt;35,"30-34",IF(Table1[[#This Row],[Age]]&lt;40,"35-39",IF(Table1[[#This Row],[Age]]&lt;50,"40-49","50+")))))</f>
        <v>18-24</v>
      </c>
    </row>
    <row r="653" spans="1:20" x14ac:dyDescent="0.35">
      <c r="A653">
        <v>1652</v>
      </c>
      <c r="B653" t="s">
        <v>67</v>
      </c>
      <c r="C653" t="s">
        <v>61</v>
      </c>
      <c r="D653" t="s">
        <v>17</v>
      </c>
      <c r="E653">
        <v>56</v>
      </c>
      <c r="F653" t="s">
        <v>38</v>
      </c>
      <c r="G653" t="s">
        <v>19</v>
      </c>
      <c r="H653" t="s">
        <v>44</v>
      </c>
      <c r="I653" s="1">
        <v>102463</v>
      </c>
      <c r="J653" t="s">
        <v>876</v>
      </c>
      <c r="K653" t="s">
        <v>46</v>
      </c>
      <c r="L653">
        <v>0</v>
      </c>
      <c r="M653">
        <v>4</v>
      </c>
      <c r="N653" t="s">
        <v>23</v>
      </c>
      <c r="O653" t="s">
        <v>22</v>
      </c>
      <c r="P653" t="s">
        <v>877</v>
      </c>
      <c r="Q653" s="9" t="str">
        <f t="shared" si="21"/>
        <v>Valid</v>
      </c>
      <c r="R653">
        <v>9533890412</v>
      </c>
      <c r="S653" s="7" t="str">
        <f t="shared" si="20"/>
        <v>Valid</v>
      </c>
      <c r="T653" t="str">
        <f>IF(Table1[[#This Row],[Age]]&lt;25,"18-24",IF(Table1[[#This Row],[Age]]&lt;30,"25-29",IF(Table1[[#This Row],[Age]]&lt;35,"30-34",IF(Table1[[#This Row],[Age]]&lt;40,"35-39",IF(Table1[[#This Row],[Age]]&lt;50,"40-49","50+")))))</f>
        <v>50+</v>
      </c>
    </row>
    <row r="654" spans="1:20" x14ac:dyDescent="0.35">
      <c r="A654">
        <v>1653</v>
      </c>
      <c r="B654" t="s">
        <v>64</v>
      </c>
      <c r="C654" t="s">
        <v>43</v>
      </c>
      <c r="D654" t="s">
        <v>27</v>
      </c>
      <c r="E654">
        <v>49</v>
      </c>
      <c r="F654" t="s">
        <v>62</v>
      </c>
      <c r="G654" t="s">
        <v>55</v>
      </c>
      <c r="H654" t="s">
        <v>56</v>
      </c>
      <c r="I654" s="1">
        <v>99768</v>
      </c>
      <c r="J654" t="s">
        <v>1081</v>
      </c>
      <c r="K654" t="s">
        <v>46</v>
      </c>
      <c r="L654">
        <v>2</v>
      </c>
      <c r="M654">
        <v>1</v>
      </c>
      <c r="N654" t="s">
        <v>23</v>
      </c>
      <c r="O654" t="s">
        <v>22</v>
      </c>
      <c r="P654" t="s">
        <v>878</v>
      </c>
      <c r="Q654" s="9" t="str">
        <f t="shared" si="21"/>
        <v>Valid</v>
      </c>
      <c r="R654">
        <v>9570170315</v>
      </c>
      <c r="S654" s="7" t="str">
        <f t="shared" si="20"/>
        <v>Valid</v>
      </c>
      <c r="T654" t="str">
        <f>IF(Table1[[#This Row],[Age]]&lt;25,"18-24",IF(Table1[[#This Row],[Age]]&lt;30,"25-29",IF(Table1[[#This Row],[Age]]&lt;35,"30-34",IF(Table1[[#This Row],[Age]]&lt;40,"35-39",IF(Table1[[#This Row],[Age]]&lt;50,"40-49","50+")))))</f>
        <v>40-49</v>
      </c>
    </row>
    <row r="655" spans="1:20" x14ac:dyDescent="0.35">
      <c r="A655">
        <v>1654</v>
      </c>
      <c r="B655" t="s">
        <v>67</v>
      </c>
      <c r="C655" t="s">
        <v>26</v>
      </c>
      <c r="D655" t="s">
        <v>27</v>
      </c>
      <c r="E655">
        <v>58</v>
      </c>
      <c r="F655" t="s">
        <v>18</v>
      </c>
      <c r="G655" t="s">
        <v>77</v>
      </c>
      <c r="H655" t="s">
        <v>56</v>
      </c>
      <c r="I655" s="1">
        <v>98505</v>
      </c>
      <c r="J655" t="s">
        <v>1700</v>
      </c>
      <c r="K655" t="s">
        <v>21</v>
      </c>
      <c r="L655">
        <v>11</v>
      </c>
      <c r="M655">
        <v>1</v>
      </c>
      <c r="N655" t="s">
        <v>22</v>
      </c>
      <c r="O655" t="s">
        <v>22</v>
      </c>
      <c r="P655" t="s">
        <v>879</v>
      </c>
      <c r="Q655" s="9" t="str">
        <f t="shared" si="21"/>
        <v>Valid</v>
      </c>
      <c r="R655">
        <v>9493221028</v>
      </c>
      <c r="S655" s="7" t="str">
        <f t="shared" si="20"/>
        <v>Valid</v>
      </c>
      <c r="T655" t="str">
        <f>IF(Table1[[#This Row],[Age]]&lt;25,"18-24",IF(Table1[[#This Row],[Age]]&lt;30,"25-29",IF(Table1[[#This Row],[Age]]&lt;35,"30-34",IF(Table1[[#This Row],[Age]]&lt;40,"35-39",IF(Table1[[#This Row],[Age]]&lt;50,"40-49","50+")))))</f>
        <v>50+</v>
      </c>
    </row>
    <row r="656" spans="1:20" x14ac:dyDescent="0.35">
      <c r="A656">
        <v>1655</v>
      </c>
      <c r="B656" t="s">
        <v>64</v>
      </c>
      <c r="C656" t="s">
        <v>26</v>
      </c>
      <c r="D656" t="s">
        <v>17</v>
      </c>
      <c r="E656">
        <v>35</v>
      </c>
      <c r="F656" t="s">
        <v>62</v>
      </c>
      <c r="G656" t="s">
        <v>34</v>
      </c>
      <c r="H656" t="s">
        <v>56</v>
      </c>
      <c r="I656" s="1">
        <v>86373</v>
      </c>
      <c r="J656" t="s">
        <v>1701</v>
      </c>
      <c r="K656" t="s">
        <v>49</v>
      </c>
      <c r="L656">
        <v>12</v>
      </c>
      <c r="M656">
        <v>2</v>
      </c>
      <c r="N656" t="s">
        <v>23</v>
      </c>
      <c r="O656" t="s">
        <v>23</v>
      </c>
      <c r="P656" s="3" t="s">
        <v>1318</v>
      </c>
      <c r="Q656" s="9" t="str">
        <f t="shared" si="21"/>
        <v>Invalid</v>
      </c>
      <c r="R656">
        <v>9807111906</v>
      </c>
      <c r="S656" s="7" t="str">
        <f t="shared" si="20"/>
        <v>Valid</v>
      </c>
      <c r="T656" t="str">
        <f>IF(Table1[[#This Row],[Age]]&lt;25,"18-24",IF(Table1[[#This Row],[Age]]&lt;30,"25-29",IF(Table1[[#This Row],[Age]]&lt;35,"30-34",IF(Table1[[#This Row],[Age]]&lt;40,"35-39",IF(Table1[[#This Row],[Age]]&lt;50,"40-49","50+")))))</f>
        <v>35-39</v>
      </c>
    </row>
    <row r="657" spans="1:20" x14ac:dyDescent="0.35">
      <c r="A657">
        <v>1656</v>
      </c>
      <c r="B657" t="s">
        <v>58</v>
      </c>
      <c r="C657" t="s">
        <v>61</v>
      </c>
      <c r="D657" t="s">
        <v>17</v>
      </c>
      <c r="E657">
        <v>31</v>
      </c>
      <c r="F657" t="s">
        <v>38</v>
      </c>
      <c r="G657" t="s">
        <v>77</v>
      </c>
      <c r="H657" t="s">
        <v>20</v>
      </c>
      <c r="I657" s="1">
        <v>69367</v>
      </c>
      <c r="J657" t="s">
        <v>1702</v>
      </c>
      <c r="K657" t="s">
        <v>46</v>
      </c>
      <c r="L657">
        <v>23</v>
      </c>
      <c r="M657">
        <v>1</v>
      </c>
      <c r="N657" t="s">
        <v>22</v>
      </c>
      <c r="O657" t="s">
        <v>22</v>
      </c>
      <c r="P657" t="s">
        <v>880</v>
      </c>
      <c r="Q657" s="9" t="str">
        <f t="shared" si="21"/>
        <v>Valid</v>
      </c>
      <c r="R657">
        <v>9127930636</v>
      </c>
      <c r="S657" s="7" t="str">
        <f t="shared" si="20"/>
        <v>Valid</v>
      </c>
      <c r="T657" t="str">
        <f>IF(Table1[[#This Row],[Age]]&lt;25,"18-24",IF(Table1[[#This Row],[Age]]&lt;30,"25-29",IF(Table1[[#This Row],[Age]]&lt;35,"30-34",IF(Table1[[#This Row],[Age]]&lt;40,"35-39",IF(Table1[[#This Row],[Age]]&lt;50,"40-49","50+")))))</f>
        <v>30-34</v>
      </c>
    </row>
    <row r="658" spans="1:20" x14ac:dyDescent="0.35">
      <c r="A658">
        <v>1657</v>
      </c>
      <c r="B658" t="s">
        <v>67</v>
      </c>
      <c r="C658" t="s">
        <v>32</v>
      </c>
      <c r="D658" t="s">
        <v>17</v>
      </c>
      <c r="E658">
        <v>24</v>
      </c>
      <c r="F658" t="s">
        <v>18</v>
      </c>
      <c r="G658" t="s">
        <v>77</v>
      </c>
      <c r="H658" t="s">
        <v>20</v>
      </c>
      <c r="I658" s="1">
        <v>39378</v>
      </c>
      <c r="J658" t="s">
        <v>881</v>
      </c>
      <c r="K658" t="s">
        <v>40</v>
      </c>
      <c r="L658">
        <v>22</v>
      </c>
      <c r="M658">
        <v>2</v>
      </c>
      <c r="N658" t="s">
        <v>23</v>
      </c>
      <c r="O658" t="s">
        <v>23</v>
      </c>
      <c r="P658" t="s">
        <v>882</v>
      </c>
      <c r="Q658" s="9" t="str">
        <f t="shared" si="21"/>
        <v>Valid</v>
      </c>
      <c r="R658">
        <v>9714407298</v>
      </c>
      <c r="S658" s="7" t="str">
        <f t="shared" si="20"/>
        <v>Valid</v>
      </c>
      <c r="T658" t="str">
        <f>IF(Table1[[#This Row],[Age]]&lt;25,"18-24",IF(Table1[[#This Row],[Age]]&lt;30,"25-29",IF(Table1[[#This Row],[Age]]&lt;35,"30-34",IF(Table1[[#This Row],[Age]]&lt;40,"35-39",IF(Table1[[#This Row],[Age]]&lt;50,"40-49","50+")))))</f>
        <v>18-24</v>
      </c>
    </row>
    <row r="659" spans="1:20" x14ac:dyDescent="0.35">
      <c r="A659">
        <v>1658</v>
      </c>
      <c r="B659" t="s">
        <v>37</v>
      </c>
      <c r="C659" t="s">
        <v>32</v>
      </c>
      <c r="D659" t="s">
        <v>27</v>
      </c>
      <c r="E659">
        <v>24</v>
      </c>
      <c r="F659" t="s">
        <v>38</v>
      </c>
      <c r="G659" t="s">
        <v>77</v>
      </c>
      <c r="H659" t="s">
        <v>20</v>
      </c>
      <c r="I659" s="1">
        <v>51201</v>
      </c>
      <c r="J659" t="s">
        <v>883</v>
      </c>
      <c r="K659" t="s">
        <v>49</v>
      </c>
      <c r="L659">
        <v>24</v>
      </c>
      <c r="M659">
        <v>4</v>
      </c>
      <c r="N659" t="s">
        <v>22</v>
      </c>
      <c r="O659" t="s">
        <v>22</v>
      </c>
      <c r="P659" t="s">
        <v>884</v>
      </c>
      <c r="Q659" s="9" t="str">
        <f t="shared" si="21"/>
        <v>Valid</v>
      </c>
      <c r="R659">
        <v>9407495824</v>
      </c>
      <c r="S659" s="7" t="str">
        <f t="shared" si="20"/>
        <v>Valid</v>
      </c>
      <c r="T659" t="str">
        <f>IF(Table1[[#This Row],[Age]]&lt;25,"18-24",IF(Table1[[#This Row],[Age]]&lt;30,"25-29",IF(Table1[[#This Row],[Age]]&lt;35,"30-34",IF(Table1[[#This Row],[Age]]&lt;40,"35-39",IF(Table1[[#This Row],[Age]]&lt;50,"40-49","50+")))))</f>
        <v>18-24</v>
      </c>
    </row>
    <row r="660" spans="1:20" x14ac:dyDescent="0.35">
      <c r="A660">
        <v>1659</v>
      </c>
      <c r="B660" t="s">
        <v>37</v>
      </c>
      <c r="C660" t="s">
        <v>61</v>
      </c>
      <c r="D660" t="s">
        <v>27</v>
      </c>
      <c r="E660">
        <v>51</v>
      </c>
      <c r="F660" t="s">
        <v>38</v>
      </c>
      <c r="G660" t="s">
        <v>39</v>
      </c>
      <c r="H660" t="s">
        <v>44</v>
      </c>
      <c r="I660" s="1">
        <v>32197</v>
      </c>
      <c r="J660" t="s">
        <v>885</v>
      </c>
      <c r="K660" t="s">
        <v>30</v>
      </c>
      <c r="L660">
        <v>22</v>
      </c>
      <c r="M660">
        <v>4</v>
      </c>
      <c r="N660" t="s">
        <v>23</v>
      </c>
      <c r="O660" t="s">
        <v>22</v>
      </c>
      <c r="P660" t="s">
        <v>886</v>
      </c>
      <c r="Q660" s="9" t="str">
        <f t="shared" si="21"/>
        <v>Valid</v>
      </c>
      <c r="R660">
        <v>9514337940</v>
      </c>
      <c r="S660" s="7" t="str">
        <f t="shared" si="20"/>
        <v>Valid</v>
      </c>
      <c r="T660" t="str">
        <f>IF(Table1[[#This Row],[Age]]&lt;25,"18-24",IF(Table1[[#This Row],[Age]]&lt;30,"25-29",IF(Table1[[#This Row],[Age]]&lt;35,"30-34",IF(Table1[[#This Row],[Age]]&lt;40,"35-39",IF(Table1[[#This Row],[Age]]&lt;50,"40-49","50+")))))</f>
        <v>50+</v>
      </c>
    </row>
    <row r="661" spans="1:20" x14ac:dyDescent="0.35">
      <c r="A661">
        <v>1660</v>
      </c>
      <c r="B661" t="s">
        <v>15</v>
      </c>
      <c r="C661" t="s">
        <v>61</v>
      </c>
      <c r="D661" t="s">
        <v>27</v>
      </c>
      <c r="E661">
        <v>44</v>
      </c>
      <c r="F661" t="s">
        <v>62</v>
      </c>
      <c r="G661" t="s">
        <v>77</v>
      </c>
      <c r="H661" t="s">
        <v>56</v>
      </c>
      <c r="I661" s="1">
        <v>40050</v>
      </c>
      <c r="J661" t="s">
        <v>1703</v>
      </c>
      <c r="K661" t="s">
        <v>49</v>
      </c>
      <c r="L661">
        <v>3</v>
      </c>
      <c r="M661">
        <v>1</v>
      </c>
      <c r="N661" t="s">
        <v>23</v>
      </c>
      <c r="O661" t="s">
        <v>23</v>
      </c>
      <c r="P661" t="s">
        <v>887</v>
      </c>
      <c r="Q661" s="9" t="str">
        <f t="shared" si="21"/>
        <v>Valid</v>
      </c>
      <c r="R661">
        <v>9907972190</v>
      </c>
      <c r="S661" s="7" t="str">
        <f t="shared" si="20"/>
        <v>Valid</v>
      </c>
      <c r="T661" t="str">
        <f>IF(Table1[[#This Row],[Age]]&lt;25,"18-24",IF(Table1[[#This Row],[Age]]&lt;30,"25-29",IF(Table1[[#This Row],[Age]]&lt;35,"30-34",IF(Table1[[#This Row],[Age]]&lt;40,"35-39",IF(Table1[[#This Row],[Age]]&lt;50,"40-49","50+")))))</f>
        <v>40-49</v>
      </c>
    </row>
    <row r="662" spans="1:20" x14ac:dyDescent="0.35">
      <c r="A662">
        <v>1661</v>
      </c>
      <c r="B662" t="s">
        <v>25</v>
      </c>
      <c r="C662" t="s">
        <v>26</v>
      </c>
      <c r="D662" t="s">
        <v>27</v>
      </c>
      <c r="E662">
        <v>38</v>
      </c>
      <c r="F662" t="s">
        <v>38</v>
      </c>
      <c r="G662" t="s">
        <v>55</v>
      </c>
      <c r="H662" t="s">
        <v>44</v>
      </c>
      <c r="I662" s="1">
        <v>49771</v>
      </c>
      <c r="J662" t="s">
        <v>888</v>
      </c>
      <c r="K662" t="s">
        <v>21</v>
      </c>
      <c r="L662">
        <v>16</v>
      </c>
      <c r="M662">
        <v>4</v>
      </c>
      <c r="N662" t="s">
        <v>22</v>
      </c>
      <c r="O662" t="s">
        <v>22</v>
      </c>
      <c r="P662" t="s">
        <v>889</v>
      </c>
      <c r="Q662" s="9" t="str">
        <f t="shared" si="21"/>
        <v>Valid</v>
      </c>
      <c r="R662">
        <v>9490783435</v>
      </c>
      <c r="S662" s="7" t="str">
        <f t="shared" si="20"/>
        <v>Valid</v>
      </c>
      <c r="T662" t="str">
        <f>IF(Table1[[#This Row],[Age]]&lt;25,"18-24",IF(Table1[[#This Row],[Age]]&lt;30,"25-29",IF(Table1[[#This Row],[Age]]&lt;35,"30-34",IF(Table1[[#This Row],[Age]]&lt;40,"35-39",IF(Table1[[#This Row],[Age]]&lt;50,"40-49","50+")))))</f>
        <v>35-39</v>
      </c>
    </row>
    <row r="663" spans="1:20" x14ac:dyDescent="0.35">
      <c r="A663">
        <v>1662</v>
      </c>
      <c r="B663" t="s">
        <v>54</v>
      </c>
      <c r="C663" t="s">
        <v>43</v>
      </c>
      <c r="D663" t="s">
        <v>17</v>
      </c>
      <c r="E663">
        <v>54</v>
      </c>
      <c r="F663" t="s">
        <v>62</v>
      </c>
      <c r="G663" t="s">
        <v>77</v>
      </c>
      <c r="H663" t="s">
        <v>28</v>
      </c>
      <c r="I663" s="1">
        <v>76056</v>
      </c>
      <c r="J663" t="s">
        <v>1704</v>
      </c>
      <c r="K663" t="s">
        <v>30</v>
      </c>
      <c r="L663">
        <v>18</v>
      </c>
      <c r="M663">
        <v>4</v>
      </c>
      <c r="N663" t="s">
        <v>23</v>
      </c>
      <c r="O663" t="s">
        <v>22</v>
      </c>
      <c r="P663" t="s">
        <v>890</v>
      </c>
      <c r="Q663" s="9" t="str">
        <f t="shared" si="21"/>
        <v>Valid</v>
      </c>
      <c r="R663">
        <v>9003295436</v>
      </c>
      <c r="S663" s="7" t="str">
        <f t="shared" si="20"/>
        <v>Valid</v>
      </c>
      <c r="T663" t="str">
        <f>IF(Table1[[#This Row],[Age]]&lt;25,"18-24",IF(Table1[[#This Row],[Age]]&lt;30,"25-29",IF(Table1[[#This Row],[Age]]&lt;35,"30-34",IF(Table1[[#This Row],[Age]]&lt;40,"35-39",IF(Table1[[#This Row],[Age]]&lt;50,"40-49","50+")))))</f>
        <v>50+</v>
      </c>
    </row>
    <row r="664" spans="1:20" x14ac:dyDescent="0.35">
      <c r="A664">
        <v>1663</v>
      </c>
      <c r="B664" t="s">
        <v>37</v>
      </c>
      <c r="C664" t="s">
        <v>16</v>
      </c>
      <c r="D664" t="s">
        <v>27</v>
      </c>
      <c r="E664">
        <v>25</v>
      </c>
      <c r="F664" t="s">
        <v>38</v>
      </c>
      <c r="G664" t="s">
        <v>34</v>
      </c>
      <c r="H664" t="s">
        <v>44</v>
      </c>
      <c r="I664" s="1">
        <v>42497</v>
      </c>
      <c r="J664" t="s">
        <v>1705</v>
      </c>
      <c r="K664" t="s">
        <v>40</v>
      </c>
      <c r="L664">
        <v>22</v>
      </c>
      <c r="M664">
        <v>5</v>
      </c>
      <c r="N664" t="s">
        <v>22</v>
      </c>
      <c r="O664" t="s">
        <v>22</v>
      </c>
      <c r="P664" t="s">
        <v>891</v>
      </c>
      <c r="Q664" s="9" t="str">
        <f t="shared" si="21"/>
        <v>Valid</v>
      </c>
      <c r="R664">
        <v>9584539685</v>
      </c>
      <c r="S664" s="7" t="str">
        <f t="shared" si="20"/>
        <v>Valid</v>
      </c>
      <c r="T664" t="str">
        <f>IF(Table1[[#This Row],[Age]]&lt;25,"18-24",IF(Table1[[#This Row],[Age]]&lt;30,"25-29",IF(Table1[[#This Row],[Age]]&lt;35,"30-34",IF(Table1[[#This Row],[Age]]&lt;40,"35-39",IF(Table1[[#This Row],[Age]]&lt;50,"40-49","50+")))))</f>
        <v>25-29</v>
      </c>
    </row>
    <row r="665" spans="1:20" x14ac:dyDescent="0.35">
      <c r="A665">
        <v>1664</v>
      </c>
      <c r="B665" t="s">
        <v>54</v>
      </c>
      <c r="C665" t="s">
        <v>61</v>
      </c>
      <c r="D665" t="s">
        <v>27</v>
      </c>
      <c r="E665">
        <v>38</v>
      </c>
      <c r="F665" t="s">
        <v>38</v>
      </c>
      <c r="G665" t="s">
        <v>39</v>
      </c>
      <c r="H665" t="s">
        <v>35</v>
      </c>
      <c r="I665" s="1">
        <v>75181</v>
      </c>
      <c r="J665" t="s">
        <v>1706</v>
      </c>
      <c r="K665" t="s">
        <v>21</v>
      </c>
      <c r="L665">
        <v>7</v>
      </c>
      <c r="M665">
        <v>4</v>
      </c>
      <c r="N665" t="s">
        <v>22</v>
      </c>
      <c r="O665" t="s">
        <v>22</v>
      </c>
      <c r="P665" t="s">
        <v>892</v>
      </c>
      <c r="Q665" s="9" t="str">
        <f t="shared" si="21"/>
        <v>Valid</v>
      </c>
      <c r="R665">
        <v>9206655033</v>
      </c>
      <c r="S665" s="7" t="str">
        <f t="shared" si="20"/>
        <v>Valid</v>
      </c>
      <c r="T665" t="str">
        <f>IF(Table1[[#This Row],[Age]]&lt;25,"18-24",IF(Table1[[#This Row],[Age]]&lt;30,"25-29",IF(Table1[[#This Row],[Age]]&lt;35,"30-34",IF(Table1[[#This Row],[Age]]&lt;40,"35-39",IF(Table1[[#This Row],[Age]]&lt;50,"40-49","50+")))))</f>
        <v>35-39</v>
      </c>
    </row>
    <row r="666" spans="1:20" x14ac:dyDescent="0.35">
      <c r="A666">
        <v>1665</v>
      </c>
      <c r="B666" t="s">
        <v>82</v>
      </c>
      <c r="C666" t="s">
        <v>16</v>
      </c>
      <c r="D666" t="s">
        <v>17</v>
      </c>
      <c r="E666">
        <v>40</v>
      </c>
      <c r="F666" t="s">
        <v>33</v>
      </c>
      <c r="G666" t="s">
        <v>19</v>
      </c>
      <c r="H666" t="s">
        <v>44</v>
      </c>
      <c r="I666" s="1">
        <v>87728</v>
      </c>
      <c r="J666" t="s">
        <v>1707</v>
      </c>
      <c r="K666" t="s">
        <v>40</v>
      </c>
      <c r="L666">
        <v>25</v>
      </c>
      <c r="M666">
        <v>1</v>
      </c>
      <c r="N666" t="s">
        <v>22</v>
      </c>
      <c r="O666" t="s">
        <v>22</v>
      </c>
      <c r="P666" t="s">
        <v>893</v>
      </c>
      <c r="Q666" s="9" t="str">
        <f t="shared" si="21"/>
        <v>Valid</v>
      </c>
      <c r="R666">
        <v>9476435312</v>
      </c>
      <c r="S666" s="7" t="str">
        <f t="shared" si="20"/>
        <v>Valid</v>
      </c>
      <c r="T666" t="str">
        <f>IF(Table1[[#This Row],[Age]]&lt;25,"18-24",IF(Table1[[#This Row],[Age]]&lt;30,"25-29",IF(Table1[[#This Row],[Age]]&lt;35,"30-34",IF(Table1[[#This Row],[Age]]&lt;40,"35-39",IF(Table1[[#This Row],[Age]]&lt;50,"40-49","50+")))))</f>
        <v>40-49</v>
      </c>
    </row>
    <row r="667" spans="1:20" x14ac:dyDescent="0.35">
      <c r="A667">
        <v>1666</v>
      </c>
      <c r="B667" t="s">
        <v>54</v>
      </c>
      <c r="C667" t="s">
        <v>61</v>
      </c>
      <c r="D667" t="s">
        <v>27</v>
      </c>
      <c r="E667">
        <v>44</v>
      </c>
      <c r="F667" t="s">
        <v>38</v>
      </c>
      <c r="G667" t="s">
        <v>19</v>
      </c>
      <c r="H667" t="s">
        <v>35</v>
      </c>
      <c r="I667" s="1">
        <v>62850</v>
      </c>
      <c r="J667" t="s">
        <v>1708</v>
      </c>
      <c r="K667" t="s">
        <v>21</v>
      </c>
      <c r="L667">
        <v>13</v>
      </c>
      <c r="M667">
        <v>2</v>
      </c>
      <c r="N667" t="s">
        <v>22</v>
      </c>
      <c r="O667" t="s">
        <v>22</v>
      </c>
      <c r="P667" t="s">
        <v>894</v>
      </c>
      <c r="Q667" s="9" t="str">
        <f t="shared" si="21"/>
        <v>Valid</v>
      </c>
      <c r="R667">
        <v>9712240473</v>
      </c>
      <c r="S667" s="7" t="str">
        <f t="shared" si="20"/>
        <v>Valid</v>
      </c>
      <c r="T667" t="str">
        <f>IF(Table1[[#This Row],[Age]]&lt;25,"18-24",IF(Table1[[#This Row],[Age]]&lt;30,"25-29",IF(Table1[[#This Row],[Age]]&lt;35,"30-34",IF(Table1[[#This Row],[Age]]&lt;40,"35-39",IF(Table1[[#This Row],[Age]]&lt;50,"40-49","50+")))))</f>
        <v>40-49</v>
      </c>
    </row>
    <row r="668" spans="1:20" x14ac:dyDescent="0.35">
      <c r="A668">
        <v>1667</v>
      </c>
      <c r="B668" t="s">
        <v>42</v>
      </c>
      <c r="C668" t="s">
        <v>16</v>
      </c>
      <c r="D668" t="s">
        <v>27</v>
      </c>
      <c r="E668">
        <v>26</v>
      </c>
      <c r="F668" t="s">
        <v>69</v>
      </c>
      <c r="G668" t="s">
        <v>34</v>
      </c>
      <c r="H668" t="s">
        <v>28</v>
      </c>
      <c r="I668" s="1">
        <v>67813</v>
      </c>
      <c r="J668" t="s">
        <v>895</v>
      </c>
      <c r="K668" t="s">
        <v>46</v>
      </c>
      <c r="L668">
        <v>23</v>
      </c>
      <c r="M668">
        <v>2</v>
      </c>
      <c r="N668" t="s">
        <v>22</v>
      </c>
      <c r="O668" t="s">
        <v>22</v>
      </c>
      <c r="P668" t="s">
        <v>896</v>
      </c>
      <c r="Q668" s="9" t="str">
        <f t="shared" si="21"/>
        <v>Valid</v>
      </c>
      <c r="R668">
        <v>9020963109</v>
      </c>
      <c r="S668" s="7" t="str">
        <f t="shared" si="20"/>
        <v>Valid</v>
      </c>
      <c r="T668" t="str">
        <f>IF(Table1[[#This Row],[Age]]&lt;25,"18-24",IF(Table1[[#This Row],[Age]]&lt;30,"25-29",IF(Table1[[#This Row],[Age]]&lt;35,"30-34",IF(Table1[[#This Row],[Age]]&lt;40,"35-39",IF(Table1[[#This Row],[Age]]&lt;50,"40-49","50+")))))</f>
        <v>25-29</v>
      </c>
    </row>
    <row r="669" spans="1:20" x14ac:dyDescent="0.35">
      <c r="A669">
        <v>1668</v>
      </c>
      <c r="B669" t="s">
        <v>25</v>
      </c>
      <c r="C669" t="s">
        <v>16</v>
      </c>
      <c r="D669" t="s">
        <v>27</v>
      </c>
      <c r="E669">
        <v>22</v>
      </c>
      <c r="F669" t="s">
        <v>18</v>
      </c>
      <c r="G669" t="s">
        <v>39</v>
      </c>
      <c r="H669" t="s">
        <v>28</v>
      </c>
      <c r="I669" s="1">
        <v>38409</v>
      </c>
      <c r="J669" t="s">
        <v>1709</v>
      </c>
      <c r="K669" t="s">
        <v>40</v>
      </c>
      <c r="L669">
        <v>14</v>
      </c>
      <c r="M669">
        <v>3</v>
      </c>
      <c r="N669" t="s">
        <v>22</v>
      </c>
      <c r="O669" t="s">
        <v>22</v>
      </c>
      <c r="P669" t="s">
        <v>897</v>
      </c>
      <c r="Q669" s="9" t="str">
        <f t="shared" si="21"/>
        <v>Valid</v>
      </c>
      <c r="R669">
        <v>9459152752</v>
      </c>
      <c r="S669" s="7" t="str">
        <f t="shared" si="20"/>
        <v>Valid</v>
      </c>
      <c r="T669" t="str">
        <f>IF(Table1[[#This Row],[Age]]&lt;25,"18-24",IF(Table1[[#This Row],[Age]]&lt;30,"25-29",IF(Table1[[#This Row],[Age]]&lt;35,"30-34",IF(Table1[[#This Row],[Age]]&lt;40,"35-39",IF(Table1[[#This Row],[Age]]&lt;50,"40-49","50+")))))</f>
        <v>18-24</v>
      </c>
    </row>
    <row r="670" spans="1:20" x14ac:dyDescent="0.35">
      <c r="A670">
        <v>1669</v>
      </c>
      <c r="B670" t="s">
        <v>15</v>
      </c>
      <c r="C670" t="s">
        <v>26</v>
      </c>
      <c r="D670" t="s">
        <v>17</v>
      </c>
      <c r="E670">
        <v>48</v>
      </c>
      <c r="F670" t="s">
        <v>18</v>
      </c>
      <c r="G670" t="s">
        <v>34</v>
      </c>
      <c r="H670" t="s">
        <v>35</v>
      </c>
      <c r="I670" s="1">
        <v>91875</v>
      </c>
      <c r="J670" t="s">
        <v>1710</v>
      </c>
      <c r="K670" t="s">
        <v>21</v>
      </c>
      <c r="L670">
        <v>7</v>
      </c>
      <c r="M670">
        <v>1</v>
      </c>
      <c r="N670" t="s">
        <v>22</v>
      </c>
      <c r="O670" t="s">
        <v>22</v>
      </c>
      <c r="P670" t="s">
        <v>898</v>
      </c>
      <c r="Q670" s="9" t="str">
        <f t="shared" si="21"/>
        <v>Valid</v>
      </c>
      <c r="R670">
        <v>9524057948</v>
      </c>
      <c r="S670" s="7" t="str">
        <f t="shared" si="20"/>
        <v>Valid</v>
      </c>
      <c r="T670" t="str">
        <f>IF(Table1[[#This Row],[Age]]&lt;25,"18-24",IF(Table1[[#This Row],[Age]]&lt;30,"25-29",IF(Table1[[#This Row],[Age]]&lt;35,"30-34",IF(Table1[[#This Row],[Age]]&lt;40,"35-39",IF(Table1[[#This Row],[Age]]&lt;50,"40-49","50+")))))</f>
        <v>40-49</v>
      </c>
    </row>
    <row r="671" spans="1:20" x14ac:dyDescent="0.35">
      <c r="A671">
        <v>1670</v>
      </c>
      <c r="B671" t="s">
        <v>54</v>
      </c>
      <c r="C671" t="s">
        <v>43</v>
      </c>
      <c r="D671" t="s">
        <v>17</v>
      </c>
      <c r="E671">
        <v>24</v>
      </c>
      <c r="F671" t="s">
        <v>38</v>
      </c>
      <c r="G671" t="s">
        <v>19</v>
      </c>
      <c r="H671" t="s">
        <v>28</v>
      </c>
      <c r="I671" s="1">
        <v>59870</v>
      </c>
      <c r="J671" t="s">
        <v>899</v>
      </c>
      <c r="K671" t="s">
        <v>40</v>
      </c>
      <c r="L671">
        <v>2</v>
      </c>
      <c r="M671">
        <v>3</v>
      </c>
      <c r="N671" t="s">
        <v>23</v>
      </c>
      <c r="O671" t="s">
        <v>22</v>
      </c>
      <c r="P671" t="s">
        <v>900</v>
      </c>
      <c r="Q671" s="9" t="str">
        <f t="shared" si="21"/>
        <v>Valid</v>
      </c>
      <c r="R671">
        <v>9162902460</v>
      </c>
      <c r="S671" s="7" t="str">
        <f t="shared" si="20"/>
        <v>Valid</v>
      </c>
      <c r="T671" t="str">
        <f>IF(Table1[[#This Row],[Age]]&lt;25,"18-24",IF(Table1[[#This Row],[Age]]&lt;30,"25-29",IF(Table1[[#This Row],[Age]]&lt;35,"30-34",IF(Table1[[#This Row],[Age]]&lt;40,"35-39",IF(Table1[[#This Row],[Age]]&lt;50,"40-49","50+")))))</f>
        <v>18-24</v>
      </c>
    </row>
    <row r="672" spans="1:20" x14ac:dyDescent="0.35">
      <c r="A672">
        <v>1671</v>
      </c>
      <c r="B672" t="s">
        <v>15</v>
      </c>
      <c r="C672" t="s">
        <v>32</v>
      </c>
      <c r="D672" t="s">
        <v>17</v>
      </c>
      <c r="E672">
        <v>28</v>
      </c>
      <c r="F672" t="s">
        <v>62</v>
      </c>
      <c r="G672" t="s">
        <v>55</v>
      </c>
      <c r="H672" t="s">
        <v>44</v>
      </c>
      <c r="I672" s="2" t="s">
        <v>1316</v>
      </c>
      <c r="J672" t="s">
        <v>901</v>
      </c>
      <c r="K672" t="s">
        <v>30</v>
      </c>
      <c r="L672">
        <v>20</v>
      </c>
      <c r="M672">
        <v>3</v>
      </c>
      <c r="N672" t="s">
        <v>23</v>
      </c>
      <c r="O672" t="s">
        <v>23</v>
      </c>
      <c r="P672" t="s">
        <v>902</v>
      </c>
      <c r="Q672" s="9" t="str">
        <f t="shared" si="21"/>
        <v>Valid</v>
      </c>
      <c r="R672">
        <v>9186060635</v>
      </c>
      <c r="S672" s="7" t="str">
        <f t="shared" si="20"/>
        <v>Valid</v>
      </c>
      <c r="T672" t="str">
        <f>IF(Table1[[#This Row],[Age]]&lt;25,"18-24",IF(Table1[[#This Row],[Age]]&lt;30,"25-29",IF(Table1[[#This Row],[Age]]&lt;35,"30-34",IF(Table1[[#This Row],[Age]]&lt;40,"35-39",IF(Table1[[#This Row],[Age]]&lt;50,"40-49","50+")))))</f>
        <v>25-29</v>
      </c>
    </row>
    <row r="673" spans="1:20" x14ac:dyDescent="0.35">
      <c r="A673">
        <v>1672</v>
      </c>
      <c r="B673" t="s">
        <v>37</v>
      </c>
      <c r="C673" t="s">
        <v>32</v>
      </c>
      <c r="D673" t="s">
        <v>17</v>
      </c>
      <c r="E673">
        <v>26</v>
      </c>
      <c r="F673" t="s">
        <v>38</v>
      </c>
      <c r="G673" t="s">
        <v>77</v>
      </c>
      <c r="H673" t="s">
        <v>56</v>
      </c>
      <c r="I673" s="1">
        <v>84138</v>
      </c>
      <c r="J673" t="s">
        <v>1711</v>
      </c>
      <c r="K673" t="s">
        <v>49</v>
      </c>
      <c r="L673">
        <v>23</v>
      </c>
      <c r="M673">
        <v>5</v>
      </c>
      <c r="N673" t="s">
        <v>22</v>
      </c>
      <c r="O673" t="s">
        <v>22</v>
      </c>
      <c r="P673" t="s">
        <v>903</v>
      </c>
      <c r="Q673" s="9" t="str">
        <f t="shared" si="21"/>
        <v>Valid</v>
      </c>
      <c r="R673">
        <v>9533771109</v>
      </c>
      <c r="S673" s="7" t="str">
        <f t="shared" si="20"/>
        <v>Valid</v>
      </c>
      <c r="T673" t="str">
        <f>IF(Table1[[#This Row],[Age]]&lt;25,"18-24",IF(Table1[[#This Row],[Age]]&lt;30,"25-29",IF(Table1[[#This Row],[Age]]&lt;35,"30-34",IF(Table1[[#This Row],[Age]]&lt;40,"35-39",IF(Table1[[#This Row],[Age]]&lt;50,"40-49","50+")))))</f>
        <v>25-29</v>
      </c>
    </row>
    <row r="674" spans="1:20" x14ac:dyDescent="0.35">
      <c r="A674">
        <v>1673</v>
      </c>
      <c r="B674" t="s">
        <v>82</v>
      </c>
      <c r="C674" t="s">
        <v>43</v>
      </c>
      <c r="D674" t="s">
        <v>27</v>
      </c>
      <c r="E674">
        <v>55</v>
      </c>
      <c r="F674" t="s">
        <v>18</v>
      </c>
      <c r="G674" t="s">
        <v>77</v>
      </c>
      <c r="H674" t="s">
        <v>44</v>
      </c>
      <c r="I674" s="1">
        <v>37762</v>
      </c>
      <c r="J674" t="s">
        <v>1712</v>
      </c>
      <c r="K674" t="s">
        <v>49</v>
      </c>
      <c r="L674">
        <v>10</v>
      </c>
      <c r="M674">
        <v>5</v>
      </c>
      <c r="N674" t="s">
        <v>22</v>
      </c>
      <c r="O674" t="s">
        <v>23</v>
      </c>
      <c r="P674" t="s">
        <v>904</v>
      </c>
      <c r="Q674" s="9" t="str">
        <f t="shared" si="21"/>
        <v>Valid</v>
      </c>
      <c r="R674">
        <v>9573180271</v>
      </c>
      <c r="S674" s="7" t="str">
        <f t="shared" si="20"/>
        <v>Valid</v>
      </c>
      <c r="T674" t="str">
        <f>IF(Table1[[#This Row],[Age]]&lt;25,"18-24",IF(Table1[[#This Row],[Age]]&lt;30,"25-29",IF(Table1[[#This Row],[Age]]&lt;35,"30-34",IF(Table1[[#This Row],[Age]]&lt;40,"35-39",IF(Table1[[#This Row],[Age]]&lt;50,"40-49","50+")))))</f>
        <v>50+</v>
      </c>
    </row>
    <row r="675" spans="1:20" x14ac:dyDescent="0.35">
      <c r="A675">
        <v>1674</v>
      </c>
      <c r="B675" t="s">
        <v>60</v>
      </c>
      <c r="C675" t="s">
        <v>26</v>
      </c>
      <c r="D675" t="s">
        <v>27</v>
      </c>
      <c r="E675">
        <v>38</v>
      </c>
      <c r="F675" t="s">
        <v>18</v>
      </c>
      <c r="G675" t="s">
        <v>39</v>
      </c>
      <c r="H675" t="s">
        <v>35</v>
      </c>
      <c r="I675" s="1">
        <v>109198</v>
      </c>
      <c r="J675" t="s">
        <v>1702</v>
      </c>
      <c r="K675" t="s">
        <v>40</v>
      </c>
      <c r="L675">
        <v>25</v>
      </c>
      <c r="M675">
        <v>1</v>
      </c>
      <c r="N675" t="s">
        <v>23</v>
      </c>
      <c r="O675" t="s">
        <v>23</v>
      </c>
      <c r="P675" s="3" t="s">
        <v>1318</v>
      </c>
      <c r="Q675" s="9" t="str">
        <f t="shared" si="21"/>
        <v>Invalid</v>
      </c>
      <c r="R675">
        <v>9218665325</v>
      </c>
      <c r="S675" s="7" t="str">
        <f t="shared" si="20"/>
        <v>Valid</v>
      </c>
      <c r="T675" t="str">
        <f>IF(Table1[[#This Row],[Age]]&lt;25,"18-24",IF(Table1[[#This Row],[Age]]&lt;30,"25-29",IF(Table1[[#This Row],[Age]]&lt;35,"30-34",IF(Table1[[#This Row],[Age]]&lt;40,"35-39",IF(Table1[[#This Row],[Age]]&lt;50,"40-49","50+")))))</f>
        <v>35-39</v>
      </c>
    </row>
    <row r="676" spans="1:20" x14ac:dyDescent="0.35">
      <c r="A676">
        <v>1675</v>
      </c>
      <c r="B676" t="s">
        <v>25</v>
      </c>
      <c r="C676" t="s">
        <v>61</v>
      </c>
      <c r="D676" t="s">
        <v>27</v>
      </c>
      <c r="E676">
        <v>27</v>
      </c>
      <c r="F676" t="s">
        <v>18</v>
      </c>
      <c r="G676" t="s">
        <v>39</v>
      </c>
      <c r="H676" t="s">
        <v>20</v>
      </c>
      <c r="I676" s="1">
        <v>73107</v>
      </c>
      <c r="J676" t="s">
        <v>1608</v>
      </c>
      <c r="K676" t="s">
        <v>49</v>
      </c>
      <c r="L676">
        <v>10</v>
      </c>
      <c r="M676">
        <v>5</v>
      </c>
      <c r="N676" t="s">
        <v>23</v>
      </c>
      <c r="O676" t="s">
        <v>22</v>
      </c>
      <c r="P676" t="s">
        <v>905</v>
      </c>
      <c r="Q676" s="9" t="str">
        <f t="shared" si="21"/>
        <v>Valid</v>
      </c>
      <c r="R676">
        <v>9159991303</v>
      </c>
      <c r="S676" s="7" t="str">
        <f t="shared" si="20"/>
        <v>Valid</v>
      </c>
      <c r="T676" t="str">
        <f>IF(Table1[[#This Row],[Age]]&lt;25,"18-24",IF(Table1[[#This Row],[Age]]&lt;30,"25-29",IF(Table1[[#This Row],[Age]]&lt;35,"30-34",IF(Table1[[#This Row],[Age]]&lt;40,"35-39",IF(Table1[[#This Row],[Age]]&lt;50,"40-49","50+")))))</f>
        <v>25-29</v>
      </c>
    </row>
    <row r="677" spans="1:20" x14ac:dyDescent="0.35">
      <c r="A677">
        <v>1676</v>
      </c>
      <c r="B677" t="s">
        <v>67</v>
      </c>
      <c r="C677" t="s">
        <v>26</v>
      </c>
      <c r="D677" t="s">
        <v>17</v>
      </c>
      <c r="E677">
        <v>48</v>
      </c>
      <c r="F677" t="s">
        <v>38</v>
      </c>
      <c r="G677" t="s">
        <v>77</v>
      </c>
      <c r="H677" t="s">
        <v>44</v>
      </c>
      <c r="I677" s="1">
        <v>45136</v>
      </c>
      <c r="J677" t="s">
        <v>1713</v>
      </c>
      <c r="K677" t="s">
        <v>21</v>
      </c>
      <c r="L677">
        <v>17</v>
      </c>
      <c r="M677">
        <v>1</v>
      </c>
      <c r="N677" t="s">
        <v>23</v>
      </c>
      <c r="O677" t="s">
        <v>22</v>
      </c>
      <c r="P677" s="3" t="s">
        <v>1318</v>
      </c>
      <c r="Q677" s="9" t="str">
        <f t="shared" si="21"/>
        <v>Invalid</v>
      </c>
      <c r="R677">
        <v>9480592030</v>
      </c>
      <c r="S677" s="7" t="str">
        <f t="shared" si="20"/>
        <v>Valid</v>
      </c>
      <c r="T677" t="str">
        <f>IF(Table1[[#This Row],[Age]]&lt;25,"18-24",IF(Table1[[#This Row],[Age]]&lt;30,"25-29",IF(Table1[[#This Row],[Age]]&lt;35,"30-34",IF(Table1[[#This Row],[Age]]&lt;40,"35-39",IF(Table1[[#This Row],[Age]]&lt;50,"40-49","50+")))))</f>
        <v>40-49</v>
      </c>
    </row>
    <row r="678" spans="1:20" x14ac:dyDescent="0.35">
      <c r="A678">
        <v>1677</v>
      </c>
      <c r="B678" t="s">
        <v>67</v>
      </c>
      <c r="C678" t="s">
        <v>16</v>
      </c>
      <c r="D678" t="s">
        <v>27</v>
      </c>
      <c r="E678">
        <v>49</v>
      </c>
      <c r="F678" t="s">
        <v>18</v>
      </c>
      <c r="G678" t="s">
        <v>39</v>
      </c>
      <c r="H678" t="s">
        <v>44</v>
      </c>
      <c r="I678" s="1">
        <v>49713</v>
      </c>
      <c r="J678" t="s">
        <v>1714</v>
      </c>
      <c r="K678" t="s">
        <v>46</v>
      </c>
      <c r="L678">
        <v>21</v>
      </c>
      <c r="M678">
        <v>5</v>
      </c>
      <c r="N678" t="s">
        <v>23</v>
      </c>
      <c r="O678" t="s">
        <v>22</v>
      </c>
      <c r="P678" t="s">
        <v>906</v>
      </c>
      <c r="Q678" s="9" t="str">
        <f t="shared" si="21"/>
        <v>Valid</v>
      </c>
      <c r="R678">
        <v>9598868473</v>
      </c>
      <c r="S678" s="7" t="str">
        <f t="shared" si="20"/>
        <v>Valid</v>
      </c>
      <c r="T678" t="str">
        <f>IF(Table1[[#This Row],[Age]]&lt;25,"18-24",IF(Table1[[#This Row],[Age]]&lt;30,"25-29",IF(Table1[[#This Row],[Age]]&lt;35,"30-34",IF(Table1[[#This Row],[Age]]&lt;40,"35-39",IF(Table1[[#This Row],[Age]]&lt;50,"40-49","50+")))))</f>
        <v>40-49</v>
      </c>
    </row>
    <row r="679" spans="1:20" x14ac:dyDescent="0.35">
      <c r="A679">
        <v>1678</v>
      </c>
      <c r="B679" t="s">
        <v>82</v>
      </c>
      <c r="C679" t="s">
        <v>61</v>
      </c>
      <c r="D679" t="s">
        <v>17</v>
      </c>
      <c r="E679">
        <v>24</v>
      </c>
      <c r="F679" t="s">
        <v>62</v>
      </c>
      <c r="G679" t="s">
        <v>34</v>
      </c>
      <c r="H679" t="s">
        <v>20</v>
      </c>
      <c r="I679" s="1">
        <v>94597</v>
      </c>
      <c r="J679" t="s">
        <v>1715</v>
      </c>
      <c r="K679" t="s">
        <v>40</v>
      </c>
      <c r="L679">
        <v>14</v>
      </c>
      <c r="M679">
        <v>3</v>
      </c>
      <c r="N679" t="s">
        <v>23</v>
      </c>
      <c r="O679" t="s">
        <v>22</v>
      </c>
      <c r="P679" t="s">
        <v>907</v>
      </c>
      <c r="Q679" s="9" t="str">
        <f t="shared" si="21"/>
        <v>Valid</v>
      </c>
      <c r="R679">
        <v>9523575508</v>
      </c>
      <c r="S679" s="7" t="str">
        <f t="shared" si="20"/>
        <v>Valid</v>
      </c>
      <c r="T679" t="str">
        <f>IF(Table1[[#This Row],[Age]]&lt;25,"18-24",IF(Table1[[#This Row],[Age]]&lt;30,"25-29",IF(Table1[[#This Row],[Age]]&lt;35,"30-34",IF(Table1[[#This Row],[Age]]&lt;40,"35-39",IF(Table1[[#This Row],[Age]]&lt;50,"40-49","50+")))))</f>
        <v>18-24</v>
      </c>
    </row>
    <row r="680" spans="1:20" x14ac:dyDescent="0.35">
      <c r="A680">
        <v>1679</v>
      </c>
      <c r="B680" t="s">
        <v>25</v>
      </c>
      <c r="C680" t="s">
        <v>43</v>
      </c>
      <c r="D680" t="s">
        <v>27</v>
      </c>
      <c r="E680">
        <v>31</v>
      </c>
      <c r="F680" t="s">
        <v>33</v>
      </c>
      <c r="G680" t="s">
        <v>77</v>
      </c>
      <c r="H680" t="s">
        <v>28</v>
      </c>
      <c r="I680" s="1">
        <v>93055</v>
      </c>
      <c r="J680" t="s">
        <v>1716</v>
      </c>
      <c r="K680" t="s">
        <v>21</v>
      </c>
      <c r="L680">
        <v>6</v>
      </c>
      <c r="M680">
        <v>2</v>
      </c>
      <c r="N680" t="s">
        <v>23</v>
      </c>
      <c r="O680" t="s">
        <v>22</v>
      </c>
      <c r="P680" t="s">
        <v>908</v>
      </c>
      <c r="Q680" s="9" t="str">
        <f t="shared" si="21"/>
        <v>Valid</v>
      </c>
      <c r="R680">
        <v>9320906540</v>
      </c>
      <c r="S680" s="7" t="str">
        <f t="shared" si="20"/>
        <v>Valid</v>
      </c>
      <c r="T680" t="str">
        <f>IF(Table1[[#This Row],[Age]]&lt;25,"18-24",IF(Table1[[#This Row],[Age]]&lt;30,"25-29",IF(Table1[[#This Row],[Age]]&lt;35,"30-34",IF(Table1[[#This Row],[Age]]&lt;40,"35-39",IF(Table1[[#This Row],[Age]]&lt;50,"40-49","50+")))))</f>
        <v>30-34</v>
      </c>
    </row>
    <row r="681" spans="1:20" x14ac:dyDescent="0.35">
      <c r="A681">
        <v>1680</v>
      </c>
      <c r="B681" t="s">
        <v>25</v>
      </c>
      <c r="C681" t="s">
        <v>16</v>
      </c>
      <c r="D681" t="s">
        <v>17</v>
      </c>
      <c r="E681">
        <v>32</v>
      </c>
      <c r="F681" t="s">
        <v>69</v>
      </c>
      <c r="G681" t="s">
        <v>34</v>
      </c>
      <c r="H681" t="s">
        <v>35</v>
      </c>
      <c r="I681" s="2" t="s">
        <v>1316</v>
      </c>
      <c r="J681" t="s">
        <v>1717</v>
      </c>
      <c r="K681" t="s">
        <v>21</v>
      </c>
      <c r="L681">
        <v>5</v>
      </c>
      <c r="M681">
        <v>5</v>
      </c>
      <c r="N681" t="s">
        <v>23</v>
      </c>
      <c r="O681" t="s">
        <v>23</v>
      </c>
      <c r="P681" t="s">
        <v>909</v>
      </c>
      <c r="Q681" s="9" t="str">
        <f t="shared" si="21"/>
        <v>Valid</v>
      </c>
      <c r="R681">
        <v>9683445477</v>
      </c>
      <c r="S681" s="7" t="str">
        <f t="shared" si="20"/>
        <v>Valid</v>
      </c>
      <c r="T681" t="str">
        <f>IF(Table1[[#This Row],[Age]]&lt;25,"18-24",IF(Table1[[#This Row],[Age]]&lt;30,"25-29",IF(Table1[[#This Row],[Age]]&lt;35,"30-34",IF(Table1[[#This Row],[Age]]&lt;40,"35-39",IF(Table1[[#This Row],[Age]]&lt;50,"40-49","50+")))))</f>
        <v>30-34</v>
      </c>
    </row>
    <row r="682" spans="1:20" x14ac:dyDescent="0.35">
      <c r="A682">
        <v>1681</v>
      </c>
      <c r="B682" t="s">
        <v>25</v>
      </c>
      <c r="C682" t="s">
        <v>43</v>
      </c>
      <c r="D682" t="s">
        <v>17</v>
      </c>
      <c r="E682">
        <v>58</v>
      </c>
      <c r="F682" t="s">
        <v>38</v>
      </c>
      <c r="G682" t="s">
        <v>34</v>
      </c>
      <c r="H682" t="s">
        <v>20</v>
      </c>
      <c r="I682" s="1">
        <v>91710</v>
      </c>
      <c r="J682" t="s">
        <v>1718</v>
      </c>
      <c r="K682" t="s">
        <v>30</v>
      </c>
      <c r="L682">
        <v>21</v>
      </c>
      <c r="M682">
        <v>4</v>
      </c>
      <c r="N682" t="s">
        <v>23</v>
      </c>
      <c r="O682" t="s">
        <v>23</v>
      </c>
      <c r="P682" t="s">
        <v>910</v>
      </c>
      <c r="Q682" s="9" t="str">
        <f t="shared" si="21"/>
        <v>Valid</v>
      </c>
      <c r="R682">
        <v>9347246944</v>
      </c>
      <c r="S682" s="7" t="str">
        <f t="shared" si="20"/>
        <v>Valid</v>
      </c>
      <c r="T682" t="str">
        <f>IF(Table1[[#This Row],[Age]]&lt;25,"18-24",IF(Table1[[#This Row],[Age]]&lt;30,"25-29",IF(Table1[[#This Row],[Age]]&lt;35,"30-34",IF(Table1[[#This Row],[Age]]&lt;40,"35-39",IF(Table1[[#This Row],[Age]]&lt;50,"40-49","50+")))))</f>
        <v>50+</v>
      </c>
    </row>
    <row r="683" spans="1:20" x14ac:dyDescent="0.35">
      <c r="A683">
        <v>1682</v>
      </c>
      <c r="B683" t="s">
        <v>25</v>
      </c>
      <c r="C683" t="s">
        <v>26</v>
      </c>
      <c r="D683" t="s">
        <v>27</v>
      </c>
      <c r="E683">
        <v>29</v>
      </c>
      <c r="F683" t="s">
        <v>33</v>
      </c>
      <c r="G683" t="s">
        <v>39</v>
      </c>
      <c r="H683" t="s">
        <v>44</v>
      </c>
      <c r="I683" s="1">
        <v>61301</v>
      </c>
      <c r="J683" t="s">
        <v>911</v>
      </c>
      <c r="K683" t="s">
        <v>21</v>
      </c>
      <c r="L683">
        <v>17</v>
      </c>
      <c r="M683">
        <v>4</v>
      </c>
      <c r="N683" t="s">
        <v>22</v>
      </c>
      <c r="O683" t="s">
        <v>23</v>
      </c>
      <c r="P683" t="s">
        <v>912</v>
      </c>
      <c r="Q683" s="9" t="str">
        <f t="shared" si="21"/>
        <v>Valid</v>
      </c>
      <c r="R683">
        <v>9825406422</v>
      </c>
      <c r="S683" s="7" t="str">
        <f t="shared" si="20"/>
        <v>Valid</v>
      </c>
      <c r="T683" t="str">
        <f>IF(Table1[[#This Row],[Age]]&lt;25,"18-24",IF(Table1[[#This Row],[Age]]&lt;30,"25-29",IF(Table1[[#This Row],[Age]]&lt;35,"30-34",IF(Table1[[#This Row],[Age]]&lt;40,"35-39",IF(Table1[[#This Row],[Age]]&lt;50,"40-49","50+")))))</f>
        <v>25-29</v>
      </c>
    </row>
    <row r="684" spans="1:20" x14ac:dyDescent="0.35">
      <c r="A684">
        <v>1683</v>
      </c>
      <c r="B684" t="s">
        <v>42</v>
      </c>
      <c r="C684" t="s">
        <v>32</v>
      </c>
      <c r="D684" t="s">
        <v>27</v>
      </c>
      <c r="E684">
        <v>34</v>
      </c>
      <c r="F684" t="s">
        <v>18</v>
      </c>
      <c r="G684" t="s">
        <v>19</v>
      </c>
      <c r="H684" t="s">
        <v>35</v>
      </c>
      <c r="I684" s="1">
        <v>-45031</v>
      </c>
      <c r="J684" t="s">
        <v>1719</v>
      </c>
      <c r="K684" t="s">
        <v>46</v>
      </c>
      <c r="L684">
        <v>7</v>
      </c>
      <c r="M684">
        <v>2</v>
      </c>
      <c r="N684" t="s">
        <v>22</v>
      </c>
      <c r="O684" t="s">
        <v>23</v>
      </c>
      <c r="P684" t="s">
        <v>913</v>
      </c>
      <c r="Q684" s="9" t="str">
        <f t="shared" si="21"/>
        <v>Valid</v>
      </c>
      <c r="R684">
        <v>9530528948</v>
      </c>
      <c r="S684" s="7" t="str">
        <f t="shared" si="20"/>
        <v>Valid</v>
      </c>
      <c r="T684" t="str">
        <f>IF(Table1[[#This Row],[Age]]&lt;25,"18-24",IF(Table1[[#This Row],[Age]]&lt;30,"25-29",IF(Table1[[#This Row],[Age]]&lt;35,"30-34",IF(Table1[[#This Row],[Age]]&lt;40,"35-39",IF(Table1[[#This Row],[Age]]&lt;50,"40-49","50+")))))</f>
        <v>30-34</v>
      </c>
    </row>
    <row r="685" spans="1:20" x14ac:dyDescent="0.35">
      <c r="A685">
        <v>1684</v>
      </c>
      <c r="B685" t="s">
        <v>67</v>
      </c>
      <c r="C685" t="s">
        <v>26</v>
      </c>
      <c r="D685" t="s">
        <v>17</v>
      </c>
      <c r="E685">
        <v>26</v>
      </c>
      <c r="F685" t="s">
        <v>33</v>
      </c>
      <c r="G685" t="s">
        <v>39</v>
      </c>
      <c r="H685" t="s">
        <v>56</v>
      </c>
      <c r="I685" s="1">
        <v>38459</v>
      </c>
      <c r="J685" t="s">
        <v>1530</v>
      </c>
      <c r="K685" t="s">
        <v>21</v>
      </c>
      <c r="L685">
        <v>22</v>
      </c>
      <c r="M685">
        <v>1</v>
      </c>
      <c r="N685" t="s">
        <v>23</v>
      </c>
      <c r="O685" t="s">
        <v>22</v>
      </c>
      <c r="P685" t="s">
        <v>914</v>
      </c>
      <c r="Q685" s="9" t="str">
        <f t="shared" si="21"/>
        <v>Valid</v>
      </c>
      <c r="R685">
        <v>9376278484</v>
      </c>
      <c r="S685" s="7" t="str">
        <f t="shared" si="20"/>
        <v>Valid</v>
      </c>
      <c r="T685" t="str">
        <f>IF(Table1[[#This Row],[Age]]&lt;25,"18-24",IF(Table1[[#This Row],[Age]]&lt;30,"25-29",IF(Table1[[#This Row],[Age]]&lt;35,"30-34",IF(Table1[[#This Row],[Age]]&lt;40,"35-39",IF(Table1[[#This Row],[Age]]&lt;50,"40-49","50+")))))</f>
        <v>25-29</v>
      </c>
    </row>
    <row r="686" spans="1:20" x14ac:dyDescent="0.35">
      <c r="A686">
        <v>1685</v>
      </c>
      <c r="B686" t="s">
        <v>58</v>
      </c>
      <c r="C686" t="s">
        <v>43</v>
      </c>
      <c r="D686" t="s">
        <v>17</v>
      </c>
      <c r="E686">
        <v>56</v>
      </c>
      <c r="F686" t="s">
        <v>62</v>
      </c>
      <c r="G686" t="s">
        <v>77</v>
      </c>
      <c r="H686" t="s">
        <v>56</v>
      </c>
      <c r="I686" s="1">
        <v>79227</v>
      </c>
      <c r="J686" t="s">
        <v>1720</v>
      </c>
      <c r="K686" t="s">
        <v>46</v>
      </c>
      <c r="L686">
        <v>23</v>
      </c>
      <c r="M686">
        <v>2</v>
      </c>
      <c r="N686" t="s">
        <v>22</v>
      </c>
      <c r="O686" t="s">
        <v>22</v>
      </c>
      <c r="P686" t="s">
        <v>915</v>
      </c>
      <c r="Q686" s="9" t="str">
        <f t="shared" si="21"/>
        <v>Valid</v>
      </c>
      <c r="R686">
        <v>9800292276</v>
      </c>
      <c r="S686" s="7" t="str">
        <f t="shared" si="20"/>
        <v>Valid</v>
      </c>
      <c r="T686" t="str">
        <f>IF(Table1[[#This Row],[Age]]&lt;25,"18-24",IF(Table1[[#This Row],[Age]]&lt;30,"25-29",IF(Table1[[#This Row],[Age]]&lt;35,"30-34",IF(Table1[[#This Row],[Age]]&lt;40,"35-39",IF(Table1[[#This Row],[Age]]&lt;50,"40-49","50+")))))</f>
        <v>50+</v>
      </c>
    </row>
    <row r="687" spans="1:20" x14ac:dyDescent="0.35">
      <c r="A687">
        <v>1686</v>
      </c>
      <c r="B687" t="s">
        <v>58</v>
      </c>
      <c r="C687" t="s">
        <v>43</v>
      </c>
      <c r="D687" t="s">
        <v>27</v>
      </c>
      <c r="E687">
        <v>47</v>
      </c>
      <c r="F687" t="s">
        <v>18</v>
      </c>
      <c r="G687" t="s">
        <v>39</v>
      </c>
      <c r="H687" t="s">
        <v>20</v>
      </c>
      <c r="I687" s="1">
        <v>33447</v>
      </c>
      <c r="J687" t="s">
        <v>916</v>
      </c>
      <c r="K687" t="s">
        <v>21</v>
      </c>
      <c r="L687">
        <v>20</v>
      </c>
      <c r="M687">
        <v>5</v>
      </c>
      <c r="N687" t="s">
        <v>22</v>
      </c>
      <c r="O687" t="s">
        <v>23</v>
      </c>
      <c r="P687" t="s">
        <v>917</v>
      </c>
      <c r="Q687" s="9" t="str">
        <f t="shared" si="21"/>
        <v>Valid</v>
      </c>
      <c r="R687">
        <v>9146830505</v>
      </c>
      <c r="S687" s="7" t="str">
        <f t="shared" si="20"/>
        <v>Valid</v>
      </c>
      <c r="T687" t="str">
        <f>IF(Table1[[#This Row],[Age]]&lt;25,"18-24",IF(Table1[[#This Row],[Age]]&lt;30,"25-29",IF(Table1[[#This Row],[Age]]&lt;35,"30-34",IF(Table1[[#This Row],[Age]]&lt;40,"35-39",IF(Table1[[#This Row],[Age]]&lt;50,"40-49","50+")))))</f>
        <v>40-49</v>
      </c>
    </row>
    <row r="688" spans="1:20" x14ac:dyDescent="0.35">
      <c r="A688">
        <v>1687</v>
      </c>
      <c r="B688" t="s">
        <v>64</v>
      </c>
      <c r="C688" t="s">
        <v>16</v>
      </c>
      <c r="D688" t="s">
        <v>27</v>
      </c>
      <c r="E688">
        <v>36</v>
      </c>
      <c r="F688" t="s">
        <v>33</v>
      </c>
      <c r="G688" t="s">
        <v>19</v>
      </c>
      <c r="H688" t="s">
        <v>56</v>
      </c>
      <c r="I688" s="1">
        <v>57130</v>
      </c>
      <c r="J688" t="s">
        <v>918</v>
      </c>
      <c r="K688" t="s">
        <v>40</v>
      </c>
      <c r="L688">
        <v>0</v>
      </c>
      <c r="M688">
        <v>3</v>
      </c>
      <c r="N688" t="s">
        <v>22</v>
      </c>
      <c r="O688" t="s">
        <v>23</v>
      </c>
      <c r="P688" t="s">
        <v>919</v>
      </c>
      <c r="Q688" s="9" t="str">
        <f t="shared" si="21"/>
        <v>Valid</v>
      </c>
      <c r="R688">
        <v>9025511492</v>
      </c>
      <c r="S688" s="7" t="str">
        <f t="shared" si="20"/>
        <v>Valid</v>
      </c>
      <c r="T688" t="str">
        <f>IF(Table1[[#This Row],[Age]]&lt;25,"18-24",IF(Table1[[#This Row],[Age]]&lt;30,"25-29",IF(Table1[[#This Row],[Age]]&lt;35,"30-34",IF(Table1[[#This Row],[Age]]&lt;40,"35-39",IF(Table1[[#This Row],[Age]]&lt;50,"40-49","50+")))))</f>
        <v>35-39</v>
      </c>
    </row>
    <row r="689" spans="1:20" x14ac:dyDescent="0.35">
      <c r="A689">
        <v>1688</v>
      </c>
      <c r="B689" t="s">
        <v>25</v>
      </c>
      <c r="C689" t="s">
        <v>16</v>
      </c>
      <c r="D689" t="s">
        <v>27</v>
      </c>
      <c r="E689">
        <v>34</v>
      </c>
      <c r="F689" t="s">
        <v>38</v>
      </c>
      <c r="G689" t="s">
        <v>39</v>
      </c>
      <c r="H689" t="s">
        <v>56</v>
      </c>
      <c r="I689" s="1">
        <v>46324</v>
      </c>
      <c r="J689" t="s">
        <v>920</v>
      </c>
      <c r="K689" t="s">
        <v>49</v>
      </c>
      <c r="L689">
        <v>11</v>
      </c>
      <c r="M689">
        <v>5</v>
      </c>
      <c r="N689" t="s">
        <v>22</v>
      </c>
      <c r="O689" t="s">
        <v>22</v>
      </c>
      <c r="P689" t="s">
        <v>921</v>
      </c>
      <c r="Q689" s="9" t="str">
        <f t="shared" si="21"/>
        <v>Valid</v>
      </c>
      <c r="R689">
        <v>9273761224</v>
      </c>
      <c r="S689" s="7" t="str">
        <f t="shared" si="20"/>
        <v>Valid</v>
      </c>
      <c r="T689" t="str">
        <f>IF(Table1[[#This Row],[Age]]&lt;25,"18-24",IF(Table1[[#This Row],[Age]]&lt;30,"25-29",IF(Table1[[#This Row],[Age]]&lt;35,"30-34",IF(Table1[[#This Row],[Age]]&lt;40,"35-39",IF(Table1[[#This Row],[Age]]&lt;50,"40-49","50+")))))</f>
        <v>30-34</v>
      </c>
    </row>
    <row r="690" spans="1:20" x14ac:dyDescent="0.35">
      <c r="A690">
        <v>1689</v>
      </c>
      <c r="B690" t="s">
        <v>64</v>
      </c>
      <c r="C690" t="s">
        <v>43</v>
      </c>
      <c r="D690" t="s">
        <v>27</v>
      </c>
      <c r="E690">
        <v>53</v>
      </c>
      <c r="F690" t="s">
        <v>18</v>
      </c>
      <c r="G690" t="s">
        <v>77</v>
      </c>
      <c r="H690" t="s">
        <v>20</v>
      </c>
      <c r="I690" s="1">
        <v>107647</v>
      </c>
      <c r="J690" t="s">
        <v>1721</v>
      </c>
      <c r="K690" t="s">
        <v>49</v>
      </c>
      <c r="L690">
        <v>8</v>
      </c>
      <c r="M690">
        <v>4</v>
      </c>
      <c r="N690" t="s">
        <v>22</v>
      </c>
      <c r="O690" t="s">
        <v>22</v>
      </c>
      <c r="P690" t="s">
        <v>922</v>
      </c>
      <c r="Q690" s="9" t="str">
        <f t="shared" si="21"/>
        <v>Valid</v>
      </c>
      <c r="R690">
        <v>9840127402</v>
      </c>
      <c r="S690" s="7" t="str">
        <f t="shared" si="20"/>
        <v>Valid</v>
      </c>
      <c r="T690" t="str">
        <f>IF(Table1[[#This Row],[Age]]&lt;25,"18-24",IF(Table1[[#This Row],[Age]]&lt;30,"25-29",IF(Table1[[#This Row],[Age]]&lt;35,"30-34",IF(Table1[[#This Row],[Age]]&lt;40,"35-39",IF(Table1[[#This Row],[Age]]&lt;50,"40-49","50+")))))</f>
        <v>50+</v>
      </c>
    </row>
    <row r="691" spans="1:20" x14ac:dyDescent="0.35">
      <c r="A691">
        <v>1690</v>
      </c>
      <c r="B691" t="s">
        <v>64</v>
      </c>
      <c r="C691" t="s">
        <v>43</v>
      </c>
      <c r="D691" t="s">
        <v>27</v>
      </c>
      <c r="E691">
        <v>45</v>
      </c>
      <c r="F691" t="s">
        <v>69</v>
      </c>
      <c r="G691" t="s">
        <v>77</v>
      </c>
      <c r="H691" t="s">
        <v>35</v>
      </c>
      <c r="I691" s="1">
        <v>85981</v>
      </c>
      <c r="J691" t="s">
        <v>302</v>
      </c>
      <c r="K691" t="s">
        <v>30</v>
      </c>
      <c r="L691">
        <v>6</v>
      </c>
      <c r="M691">
        <v>1</v>
      </c>
      <c r="N691" t="s">
        <v>22</v>
      </c>
      <c r="O691" t="s">
        <v>22</v>
      </c>
      <c r="P691" t="s">
        <v>923</v>
      </c>
      <c r="Q691" s="9" t="str">
        <f t="shared" si="21"/>
        <v>Valid</v>
      </c>
      <c r="R691">
        <v>9179113766</v>
      </c>
      <c r="S691" s="7" t="str">
        <f t="shared" si="20"/>
        <v>Valid</v>
      </c>
      <c r="T691" t="str">
        <f>IF(Table1[[#This Row],[Age]]&lt;25,"18-24",IF(Table1[[#This Row],[Age]]&lt;30,"25-29",IF(Table1[[#This Row],[Age]]&lt;35,"30-34",IF(Table1[[#This Row],[Age]]&lt;40,"35-39",IF(Table1[[#This Row],[Age]]&lt;50,"40-49","50+")))))</f>
        <v>40-49</v>
      </c>
    </row>
    <row r="692" spans="1:20" x14ac:dyDescent="0.35">
      <c r="A692">
        <v>1691</v>
      </c>
      <c r="B692" t="s">
        <v>60</v>
      </c>
      <c r="C692" t="s">
        <v>32</v>
      </c>
      <c r="D692" t="s">
        <v>17</v>
      </c>
      <c r="E692">
        <v>58</v>
      </c>
      <c r="F692" t="s">
        <v>18</v>
      </c>
      <c r="G692" t="s">
        <v>77</v>
      </c>
      <c r="H692" t="s">
        <v>44</v>
      </c>
      <c r="I692" s="1">
        <v>91865</v>
      </c>
      <c r="J692" t="s">
        <v>1722</v>
      </c>
      <c r="K692" t="s">
        <v>21</v>
      </c>
      <c r="L692">
        <v>13</v>
      </c>
      <c r="M692">
        <v>2</v>
      </c>
      <c r="N692" t="s">
        <v>22</v>
      </c>
      <c r="O692" t="s">
        <v>23</v>
      </c>
      <c r="P692" t="s">
        <v>924</v>
      </c>
      <c r="Q692" s="9" t="str">
        <f t="shared" si="21"/>
        <v>Valid</v>
      </c>
      <c r="R692">
        <v>9125440373</v>
      </c>
      <c r="S692" s="7" t="str">
        <f t="shared" si="20"/>
        <v>Valid</v>
      </c>
      <c r="T692" t="str">
        <f>IF(Table1[[#This Row],[Age]]&lt;25,"18-24",IF(Table1[[#This Row],[Age]]&lt;30,"25-29",IF(Table1[[#This Row],[Age]]&lt;35,"30-34",IF(Table1[[#This Row],[Age]]&lt;40,"35-39",IF(Table1[[#This Row],[Age]]&lt;50,"40-49","50+")))))</f>
        <v>50+</v>
      </c>
    </row>
    <row r="693" spans="1:20" x14ac:dyDescent="0.35">
      <c r="A693">
        <v>1692</v>
      </c>
      <c r="B693" t="s">
        <v>67</v>
      </c>
      <c r="C693" t="s">
        <v>61</v>
      </c>
      <c r="D693" t="s">
        <v>17</v>
      </c>
      <c r="E693">
        <v>57</v>
      </c>
      <c r="F693" t="s">
        <v>18</v>
      </c>
      <c r="G693" t="s">
        <v>39</v>
      </c>
      <c r="H693" t="s">
        <v>44</v>
      </c>
      <c r="I693" s="1">
        <v>-119379</v>
      </c>
      <c r="J693" t="s">
        <v>925</v>
      </c>
      <c r="K693" t="s">
        <v>49</v>
      </c>
      <c r="L693">
        <v>20</v>
      </c>
      <c r="M693">
        <v>4</v>
      </c>
      <c r="N693" t="s">
        <v>23</v>
      </c>
      <c r="O693" t="s">
        <v>22</v>
      </c>
      <c r="P693" t="s">
        <v>926</v>
      </c>
      <c r="Q693" s="9" t="str">
        <f t="shared" si="21"/>
        <v>Valid</v>
      </c>
      <c r="R693">
        <v>9677101543</v>
      </c>
      <c r="S693" s="7" t="str">
        <f t="shared" si="20"/>
        <v>Valid</v>
      </c>
      <c r="T693" t="str">
        <f>IF(Table1[[#This Row],[Age]]&lt;25,"18-24",IF(Table1[[#This Row],[Age]]&lt;30,"25-29",IF(Table1[[#This Row],[Age]]&lt;35,"30-34",IF(Table1[[#This Row],[Age]]&lt;40,"35-39",IF(Table1[[#This Row],[Age]]&lt;50,"40-49","50+")))))</f>
        <v>50+</v>
      </c>
    </row>
    <row r="694" spans="1:20" x14ac:dyDescent="0.35">
      <c r="A694">
        <v>1693</v>
      </c>
      <c r="B694" t="s">
        <v>54</v>
      </c>
      <c r="C694" t="s">
        <v>26</v>
      </c>
      <c r="D694" t="s">
        <v>27</v>
      </c>
      <c r="E694">
        <v>47</v>
      </c>
      <c r="F694" t="s">
        <v>33</v>
      </c>
      <c r="G694" t="s">
        <v>19</v>
      </c>
      <c r="H694" t="s">
        <v>28</v>
      </c>
      <c r="I694" s="1">
        <v>79100</v>
      </c>
      <c r="J694" t="s">
        <v>927</v>
      </c>
      <c r="K694" t="s">
        <v>40</v>
      </c>
      <c r="L694">
        <v>9</v>
      </c>
      <c r="M694">
        <v>2</v>
      </c>
      <c r="N694" t="s">
        <v>23</v>
      </c>
      <c r="O694" t="s">
        <v>23</v>
      </c>
      <c r="P694" t="s">
        <v>928</v>
      </c>
      <c r="Q694" s="9" t="str">
        <f t="shared" si="21"/>
        <v>Valid</v>
      </c>
      <c r="R694">
        <v>9276205920</v>
      </c>
      <c r="S694" s="7" t="str">
        <f t="shared" si="20"/>
        <v>Valid</v>
      </c>
      <c r="T694" t="str">
        <f>IF(Table1[[#This Row],[Age]]&lt;25,"18-24",IF(Table1[[#This Row],[Age]]&lt;30,"25-29",IF(Table1[[#This Row],[Age]]&lt;35,"30-34",IF(Table1[[#This Row],[Age]]&lt;40,"35-39",IF(Table1[[#This Row],[Age]]&lt;50,"40-49","50+")))))</f>
        <v>40-49</v>
      </c>
    </row>
    <row r="695" spans="1:20" x14ac:dyDescent="0.35">
      <c r="A695">
        <v>1694</v>
      </c>
      <c r="B695" t="s">
        <v>60</v>
      </c>
      <c r="C695" t="s">
        <v>61</v>
      </c>
      <c r="D695" t="s">
        <v>17</v>
      </c>
      <c r="E695">
        <v>38</v>
      </c>
      <c r="F695" t="s">
        <v>62</v>
      </c>
      <c r="G695" t="s">
        <v>39</v>
      </c>
      <c r="H695" t="s">
        <v>20</v>
      </c>
      <c r="I695" s="1">
        <v>84162</v>
      </c>
      <c r="J695" t="s">
        <v>1723</v>
      </c>
      <c r="K695" t="s">
        <v>21</v>
      </c>
      <c r="L695">
        <v>6</v>
      </c>
      <c r="M695">
        <v>1</v>
      </c>
      <c r="N695" t="s">
        <v>22</v>
      </c>
      <c r="O695" t="s">
        <v>23</v>
      </c>
      <c r="P695" t="s">
        <v>929</v>
      </c>
      <c r="Q695" s="9" t="str">
        <f t="shared" si="21"/>
        <v>Valid</v>
      </c>
      <c r="R695">
        <v>9822400972</v>
      </c>
      <c r="S695" s="7" t="str">
        <f t="shared" si="20"/>
        <v>Valid</v>
      </c>
      <c r="T695" t="str">
        <f>IF(Table1[[#This Row],[Age]]&lt;25,"18-24",IF(Table1[[#This Row],[Age]]&lt;30,"25-29",IF(Table1[[#This Row],[Age]]&lt;35,"30-34",IF(Table1[[#This Row],[Age]]&lt;40,"35-39",IF(Table1[[#This Row],[Age]]&lt;50,"40-49","50+")))))</f>
        <v>35-39</v>
      </c>
    </row>
    <row r="696" spans="1:20" x14ac:dyDescent="0.35">
      <c r="A696">
        <v>1695</v>
      </c>
      <c r="B696" t="s">
        <v>54</v>
      </c>
      <c r="C696" t="s">
        <v>16</v>
      </c>
      <c r="D696" t="s">
        <v>27</v>
      </c>
      <c r="E696">
        <v>22</v>
      </c>
      <c r="F696" t="s">
        <v>38</v>
      </c>
      <c r="G696" t="s">
        <v>34</v>
      </c>
      <c r="H696" t="s">
        <v>44</v>
      </c>
      <c r="I696" s="1">
        <v>79012</v>
      </c>
      <c r="J696" t="s">
        <v>743</v>
      </c>
      <c r="K696" t="s">
        <v>21</v>
      </c>
      <c r="L696">
        <v>3</v>
      </c>
      <c r="M696">
        <v>4</v>
      </c>
      <c r="N696" t="s">
        <v>23</v>
      </c>
      <c r="O696" t="s">
        <v>22</v>
      </c>
      <c r="P696" t="s">
        <v>930</v>
      </c>
      <c r="Q696" s="9" t="str">
        <f t="shared" si="21"/>
        <v>Valid</v>
      </c>
      <c r="R696">
        <v>9425882806</v>
      </c>
      <c r="S696" s="7" t="str">
        <f t="shared" si="20"/>
        <v>Valid</v>
      </c>
      <c r="T696" t="str">
        <f>IF(Table1[[#This Row],[Age]]&lt;25,"18-24",IF(Table1[[#This Row],[Age]]&lt;30,"25-29",IF(Table1[[#This Row],[Age]]&lt;35,"30-34",IF(Table1[[#This Row],[Age]]&lt;40,"35-39",IF(Table1[[#This Row],[Age]]&lt;50,"40-49","50+")))))</f>
        <v>18-24</v>
      </c>
    </row>
    <row r="697" spans="1:20" x14ac:dyDescent="0.35">
      <c r="A697">
        <v>1696</v>
      </c>
      <c r="B697" t="s">
        <v>15</v>
      </c>
      <c r="C697" t="s">
        <v>32</v>
      </c>
      <c r="D697" t="s">
        <v>27</v>
      </c>
      <c r="E697">
        <v>23</v>
      </c>
      <c r="F697" t="s">
        <v>62</v>
      </c>
      <c r="G697" t="s">
        <v>39</v>
      </c>
      <c r="H697" t="s">
        <v>56</v>
      </c>
      <c r="I697" s="2" t="s">
        <v>1316</v>
      </c>
      <c r="J697" t="s">
        <v>1724</v>
      </c>
      <c r="K697" t="s">
        <v>40</v>
      </c>
      <c r="L697">
        <v>0</v>
      </c>
      <c r="M697">
        <v>2</v>
      </c>
      <c r="N697" t="s">
        <v>23</v>
      </c>
      <c r="O697" t="s">
        <v>22</v>
      </c>
      <c r="P697" t="s">
        <v>931</v>
      </c>
      <c r="Q697" s="9" t="str">
        <f t="shared" si="21"/>
        <v>Valid</v>
      </c>
      <c r="R697">
        <v>9241166196</v>
      </c>
      <c r="S697" s="7" t="str">
        <f t="shared" si="20"/>
        <v>Valid</v>
      </c>
      <c r="T697" t="str">
        <f>IF(Table1[[#This Row],[Age]]&lt;25,"18-24",IF(Table1[[#This Row],[Age]]&lt;30,"25-29",IF(Table1[[#This Row],[Age]]&lt;35,"30-34",IF(Table1[[#This Row],[Age]]&lt;40,"35-39",IF(Table1[[#This Row],[Age]]&lt;50,"40-49","50+")))))</f>
        <v>18-24</v>
      </c>
    </row>
    <row r="698" spans="1:20" x14ac:dyDescent="0.35">
      <c r="A698">
        <v>1697</v>
      </c>
      <c r="B698" t="s">
        <v>67</v>
      </c>
      <c r="C698" t="s">
        <v>26</v>
      </c>
      <c r="D698" t="s">
        <v>27</v>
      </c>
      <c r="E698">
        <v>29</v>
      </c>
      <c r="F698" t="s">
        <v>69</v>
      </c>
      <c r="G698" t="s">
        <v>77</v>
      </c>
      <c r="H698" t="s">
        <v>28</v>
      </c>
      <c r="I698" s="1">
        <v>75432</v>
      </c>
      <c r="J698" t="s">
        <v>377</v>
      </c>
      <c r="K698" t="s">
        <v>30</v>
      </c>
      <c r="L698">
        <v>8</v>
      </c>
      <c r="M698">
        <v>3</v>
      </c>
      <c r="N698" t="s">
        <v>22</v>
      </c>
      <c r="O698" t="s">
        <v>22</v>
      </c>
      <c r="P698" t="s">
        <v>932</v>
      </c>
      <c r="Q698" s="9" t="str">
        <f t="shared" si="21"/>
        <v>Valid</v>
      </c>
      <c r="R698">
        <v>9618002489</v>
      </c>
      <c r="S698" s="7" t="str">
        <f t="shared" si="20"/>
        <v>Valid</v>
      </c>
      <c r="T698" t="str">
        <f>IF(Table1[[#This Row],[Age]]&lt;25,"18-24",IF(Table1[[#This Row],[Age]]&lt;30,"25-29",IF(Table1[[#This Row],[Age]]&lt;35,"30-34",IF(Table1[[#This Row],[Age]]&lt;40,"35-39",IF(Table1[[#This Row],[Age]]&lt;50,"40-49","50+")))))</f>
        <v>25-29</v>
      </c>
    </row>
    <row r="699" spans="1:20" x14ac:dyDescent="0.35">
      <c r="A699">
        <v>1698</v>
      </c>
      <c r="B699" t="s">
        <v>58</v>
      </c>
      <c r="C699" t="s">
        <v>32</v>
      </c>
      <c r="D699" t="s">
        <v>27</v>
      </c>
      <c r="E699">
        <v>32</v>
      </c>
      <c r="F699" t="s">
        <v>33</v>
      </c>
      <c r="G699" t="s">
        <v>77</v>
      </c>
      <c r="H699" t="s">
        <v>56</v>
      </c>
      <c r="I699" s="1">
        <v>96073</v>
      </c>
      <c r="J699" t="s">
        <v>933</v>
      </c>
      <c r="K699" t="s">
        <v>21</v>
      </c>
      <c r="L699">
        <v>16</v>
      </c>
      <c r="M699">
        <v>4</v>
      </c>
      <c r="N699" t="s">
        <v>22</v>
      </c>
      <c r="O699" t="s">
        <v>23</v>
      </c>
      <c r="P699" t="s">
        <v>934</v>
      </c>
      <c r="Q699" s="9" t="str">
        <f t="shared" si="21"/>
        <v>Valid</v>
      </c>
      <c r="R699">
        <v>9879251552</v>
      </c>
      <c r="S699" s="7" t="str">
        <f t="shared" si="20"/>
        <v>Valid</v>
      </c>
      <c r="T699" t="str">
        <f>IF(Table1[[#This Row],[Age]]&lt;25,"18-24",IF(Table1[[#This Row],[Age]]&lt;30,"25-29",IF(Table1[[#This Row],[Age]]&lt;35,"30-34",IF(Table1[[#This Row],[Age]]&lt;40,"35-39",IF(Table1[[#This Row],[Age]]&lt;50,"40-49","50+")))))</f>
        <v>30-34</v>
      </c>
    </row>
    <row r="700" spans="1:20" x14ac:dyDescent="0.35">
      <c r="A700">
        <v>1699</v>
      </c>
      <c r="B700" t="s">
        <v>42</v>
      </c>
      <c r="C700" t="s">
        <v>16</v>
      </c>
      <c r="D700" t="s">
        <v>27</v>
      </c>
      <c r="E700">
        <v>31</v>
      </c>
      <c r="F700" t="s">
        <v>38</v>
      </c>
      <c r="G700" t="s">
        <v>34</v>
      </c>
      <c r="H700" t="s">
        <v>44</v>
      </c>
      <c r="I700" s="1">
        <v>117538</v>
      </c>
      <c r="J700" t="s">
        <v>935</v>
      </c>
      <c r="K700" t="s">
        <v>40</v>
      </c>
      <c r="L700">
        <v>25</v>
      </c>
      <c r="M700">
        <v>4</v>
      </c>
      <c r="N700" t="s">
        <v>23</v>
      </c>
      <c r="O700" t="s">
        <v>23</v>
      </c>
      <c r="P700" t="s">
        <v>936</v>
      </c>
      <c r="Q700" s="9" t="str">
        <f t="shared" si="21"/>
        <v>Valid</v>
      </c>
      <c r="R700">
        <v>9024647458</v>
      </c>
      <c r="S700" s="7" t="str">
        <f t="shared" si="20"/>
        <v>Valid</v>
      </c>
      <c r="T700" t="str">
        <f>IF(Table1[[#This Row],[Age]]&lt;25,"18-24",IF(Table1[[#This Row],[Age]]&lt;30,"25-29",IF(Table1[[#This Row],[Age]]&lt;35,"30-34",IF(Table1[[#This Row],[Age]]&lt;40,"35-39",IF(Table1[[#This Row],[Age]]&lt;50,"40-49","50+")))))</f>
        <v>30-34</v>
      </c>
    </row>
    <row r="701" spans="1:20" x14ac:dyDescent="0.35">
      <c r="A701">
        <v>1700</v>
      </c>
      <c r="B701" t="s">
        <v>15</v>
      </c>
      <c r="C701" t="s">
        <v>32</v>
      </c>
      <c r="D701" t="s">
        <v>17</v>
      </c>
      <c r="E701">
        <v>54</v>
      </c>
      <c r="F701" t="s">
        <v>18</v>
      </c>
      <c r="G701" t="s">
        <v>34</v>
      </c>
      <c r="H701" t="s">
        <v>35</v>
      </c>
      <c r="I701" s="1">
        <v>32978</v>
      </c>
      <c r="J701" t="s">
        <v>937</v>
      </c>
      <c r="K701" t="s">
        <v>40</v>
      </c>
      <c r="L701">
        <v>5</v>
      </c>
      <c r="M701">
        <v>3</v>
      </c>
      <c r="N701" t="s">
        <v>23</v>
      </c>
      <c r="O701" t="s">
        <v>23</v>
      </c>
      <c r="P701" t="s">
        <v>938</v>
      </c>
      <c r="Q701" s="9" t="str">
        <f t="shared" si="21"/>
        <v>Valid</v>
      </c>
      <c r="R701">
        <v>9453025094</v>
      </c>
      <c r="S701" s="7" t="str">
        <f t="shared" si="20"/>
        <v>Valid</v>
      </c>
      <c r="T701" t="str">
        <f>IF(Table1[[#This Row],[Age]]&lt;25,"18-24",IF(Table1[[#This Row],[Age]]&lt;30,"25-29",IF(Table1[[#This Row],[Age]]&lt;35,"30-34",IF(Table1[[#This Row],[Age]]&lt;40,"35-39",IF(Table1[[#This Row],[Age]]&lt;50,"40-49","50+")))))</f>
        <v>50+</v>
      </c>
    </row>
    <row r="702" spans="1:20" x14ac:dyDescent="0.35">
      <c r="A702">
        <v>1701</v>
      </c>
      <c r="B702" t="s">
        <v>67</v>
      </c>
      <c r="C702" t="s">
        <v>43</v>
      </c>
      <c r="D702" t="s">
        <v>17</v>
      </c>
      <c r="E702">
        <v>31</v>
      </c>
      <c r="F702" t="s">
        <v>18</v>
      </c>
      <c r="G702" t="s">
        <v>55</v>
      </c>
      <c r="H702" t="s">
        <v>44</v>
      </c>
      <c r="I702" s="1">
        <v>104993</v>
      </c>
      <c r="J702" t="s">
        <v>1725</v>
      </c>
      <c r="K702" t="s">
        <v>21</v>
      </c>
      <c r="L702">
        <v>8</v>
      </c>
      <c r="M702">
        <v>5</v>
      </c>
      <c r="N702" t="s">
        <v>22</v>
      </c>
      <c r="O702" t="s">
        <v>23</v>
      </c>
      <c r="P702" s="3" t="s">
        <v>1318</v>
      </c>
      <c r="Q702" s="9" t="str">
        <f t="shared" si="21"/>
        <v>Invalid</v>
      </c>
      <c r="R702">
        <v>9434330717</v>
      </c>
      <c r="S702" s="7" t="str">
        <f t="shared" si="20"/>
        <v>Valid</v>
      </c>
      <c r="T702" t="str">
        <f>IF(Table1[[#This Row],[Age]]&lt;25,"18-24",IF(Table1[[#This Row],[Age]]&lt;30,"25-29",IF(Table1[[#This Row],[Age]]&lt;35,"30-34",IF(Table1[[#This Row],[Age]]&lt;40,"35-39",IF(Table1[[#This Row],[Age]]&lt;50,"40-49","50+")))))</f>
        <v>30-34</v>
      </c>
    </row>
    <row r="703" spans="1:20" x14ac:dyDescent="0.35">
      <c r="A703">
        <v>1702</v>
      </c>
      <c r="B703" t="s">
        <v>37</v>
      </c>
      <c r="C703" t="s">
        <v>32</v>
      </c>
      <c r="D703" t="s">
        <v>17</v>
      </c>
      <c r="E703">
        <v>43</v>
      </c>
      <c r="F703" t="s">
        <v>69</v>
      </c>
      <c r="G703" t="s">
        <v>55</v>
      </c>
      <c r="H703" t="s">
        <v>56</v>
      </c>
      <c r="I703" s="1">
        <v>64876</v>
      </c>
      <c r="J703" t="s">
        <v>939</v>
      </c>
      <c r="K703" t="s">
        <v>40</v>
      </c>
      <c r="L703">
        <v>8</v>
      </c>
      <c r="M703">
        <v>5</v>
      </c>
      <c r="N703" t="s">
        <v>22</v>
      </c>
      <c r="O703" t="s">
        <v>22</v>
      </c>
      <c r="P703" t="s">
        <v>940</v>
      </c>
      <c r="Q703" s="9" t="str">
        <f t="shared" si="21"/>
        <v>Valid</v>
      </c>
      <c r="R703">
        <v>9777486488</v>
      </c>
      <c r="S703" s="7" t="str">
        <f t="shared" si="20"/>
        <v>Valid</v>
      </c>
      <c r="T703" t="str">
        <f>IF(Table1[[#This Row],[Age]]&lt;25,"18-24",IF(Table1[[#This Row],[Age]]&lt;30,"25-29",IF(Table1[[#This Row],[Age]]&lt;35,"30-34",IF(Table1[[#This Row],[Age]]&lt;40,"35-39",IF(Table1[[#This Row],[Age]]&lt;50,"40-49","50+")))))</f>
        <v>40-49</v>
      </c>
    </row>
    <row r="704" spans="1:20" x14ac:dyDescent="0.35">
      <c r="A704">
        <v>1703</v>
      </c>
      <c r="B704" t="s">
        <v>25</v>
      </c>
      <c r="C704" t="s">
        <v>61</v>
      </c>
      <c r="D704" t="s">
        <v>17</v>
      </c>
      <c r="E704">
        <v>25</v>
      </c>
      <c r="F704" t="s">
        <v>69</v>
      </c>
      <c r="G704" t="s">
        <v>39</v>
      </c>
      <c r="H704" t="s">
        <v>56</v>
      </c>
      <c r="I704" s="1">
        <v>94768</v>
      </c>
      <c r="J704" t="s">
        <v>941</v>
      </c>
      <c r="K704" t="s">
        <v>40</v>
      </c>
      <c r="L704">
        <v>17</v>
      </c>
      <c r="M704">
        <v>2</v>
      </c>
      <c r="N704" t="s">
        <v>23</v>
      </c>
      <c r="O704" t="s">
        <v>23</v>
      </c>
      <c r="P704" t="s">
        <v>942</v>
      </c>
      <c r="Q704" s="9" t="str">
        <f t="shared" si="21"/>
        <v>Valid</v>
      </c>
      <c r="R704">
        <v>9523805767</v>
      </c>
      <c r="S704" s="7" t="str">
        <f t="shared" si="20"/>
        <v>Valid</v>
      </c>
      <c r="T704" t="str">
        <f>IF(Table1[[#This Row],[Age]]&lt;25,"18-24",IF(Table1[[#This Row],[Age]]&lt;30,"25-29",IF(Table1[[#This Row],[Age]]&lt;35,"30-34",IF(Table1[[#This Row],[Age]]&lt;40,"35-39",IF(Table1[[#This Row],[Age]]&lt;50,"40-49","50+")))))</f>
        <v>25-29</v>
      </c>
    </row>
    <row r="705" spans="1:20" x14ac:dyDescent="0.35">
      <c r="A705">
        <v>1704</v>
      </c>
      <c r="B705" t="s">
        <v>15</v>
      </c>
      <c r="C705" t="s">
        <v>32</v>
      </c>
      <c r="D705" t="s">
        <v>27</v>
      </c>
      <c r="E705">
        <v>34</v>
      </c>
      <c r="F705" t="s">
        <v>62</v>
      </c>
      <c r="G705" t="s">
        <v>34</v>
      </c>
      <c r="H705" t="s">
        <v>28</v>
      </c>
      <c r="I705" s="1">
        <v>114544</v>
      </c>
      <c r="J705" t="s">
        <v>1726</v>
      </c>
      <c r="K705" t="s">
        <v>21</v>
      </c>
      <c r="L705">
        <v>7</v>
      </c>
      <c r="M705">
        <v>4</v>
      </c>
      <c r="N705" t="s">
        <v>22</v>
      </c>
      <c r="O705" t="s">
        <v>22</v>
      </c>
      <c r="P705" t="s">
        <v>943</v>
      </c>
      <c r="Q705" s="9" t="str">
        <f t="shared" si="21"/>
        <v>Valid</v>
      </c>
      <c r="R705">
        <v>9380444917</v>
      </c>
      <c r="S705" s="7" t="str">
        <f t="shared" si="20"/>
        <v>Valid</v>
      </c>
      <c r="T705" t="str">
        <f>IF(Table1[[#This Row],[Age]]&lt;25,"18-24",IF(Table1[[#This Row],[Age]]&lt;30,"25-29",IF(Table1[[#This Row],[Age]]&lt;35,"30-34",IF(Table1[[#This Row],[Age]]&lt;40,"35-39",IF(Table1[[#This Row],[Age]]&lt;50,"40-49","50+")))))</f>
        <v>30-34</v>
      </c>
    </row>
    <row r="706" spans="1:20" x14ac:dyDescent="0.35">
      <c r="A706">
        <v>1705</v>
      </c>
      <c r="B706" t="s">
        <v>60</v>
      </c>
      <c r="C706" t="s">
        <v>43</v>
      </c>
      <c r="D706" t="s">
        <v>27</v>
      </c>
      <c r="E706">
        <v>37</v>
      </c>
      <c r="F706" t="s">
        <v>18</v>
      </c>
      <c r="G706" t="s">
        <v>55</v>
      </c>
      <c r="H706" t="s">
        <v>44</v>
      </c>
      <c r="I706" s="1">
        <v>50896</v>
      </c>
      <c r="J706" t="s">
        <v>944</v>
      </c>
      <c r="K706" t="s">
        <v>46</v>
      </c>
      <c r="L706">
        <v>19</v>
      </c>
      <c r="M706">
        <v>5</v>
      </c>
      <c r="N706" t="s">
        <v>23</v>
      </c>
      <c r="O706" t="s">
        <v>22</v>
      </c>
      <c r="P706" t="s">
        <v>945</v>
      </c>
      <c r="Q706" s="9" t="str">
        <f t="shared" si="21"/>
        <v>Valid</v>
      </c>
      <c r="R706">
        <v>9936756932</v>
      </c>
      <c r="S706" s="7" t="str">
        <f t="shared" ref="S706:S769" si="22">IF(AND(ISNUMBER(R706),LEN(R706)=10),"Valid","Invalid")</f>
        <v>Valid</v>
      </c>
      <c r="T706" t="str">
        <f>IF(Table1[[#This Row],[Age]]&lt;25,"18-24",IF(Table1[[#This Row],[Age]]&lt;30,"25-29",IF(Table1[[#This Row],[Age]]&lt;35,"30-34",IF(Table1[[#This Row],[Age]]&lt;40,"35-39",IF(Table1[[#This Row],[Age]]&lt;50,"40-49","50+")))))</f>
        <v>35-39</v>
      </c>
    </row>
    <row r="707" spans="1:20" x14ac:dyDescent="0.35">
      <c r="A707">
        <v>1706</v>
      </c>
      <c r="B707" t="s">
        <v>64</v>
      </c>
      <c r="C707" t="s">
        <v>61</v>
      </c>
      <c r="D707" t="s">
        <v>17</v>
      </c>
      <c r="E707">
        <v>44</v>
      </c>
      <c r="F707" t="s">
        <v>33</v>
      </c>
      <c r="G707" t="s">
        <v>55</v>
      </c>
      <c r="H707" t="s">
        <v>20</v>
      </c>
      <c r="I707" s="1">
        <v>41464</v>
      </c>
      <c r="J707" t="s">
        <v>1727</v>
      </c>
      <c r="K707" t="s">
        <v>30</v>
      </c>
      <c r="L707">
        <v>1</v>
      </c>
      <c r="M707">
        <v>2</v>
      </c>
      <c r="N707" t="s">
        <v>23</v>
      </c>
      <c r="O707" t="s">
        <v>23</v>
      </c>
      <c r="P707" t="s">
        <v>946</v>
      </c>
      <c r="Q707" s="9" t="str">
        <f t="shared" ref="Q707:Q770" si="23">IF(AND(ISNUMBER(SEARCH("@",P707)),ISNUMBER(SEARCH(".",P707))),"Valid","Invalid")</f>
        <v>Valid</v>
      </c>
      <c r="R707">
        <v>9794560630</v>
      </c>
      <c r="S707" s="7" t="str">
        <f t="shared" si="22"/>
        <v>Valid</v>
      </c>
      <c r="T707" t="str">
        <f>IF(Table1[[#This Row],[Age]]&lt;25,"18-24",IF(Table1[[#This Row],[Age]]&lt;30,"25-29",IF(Table1[[#This Row],[Age]]&lt;35,"30-34",IF(Table1[[#This Row],[Age]]&lt;40,"35-39",IF(Table1[[#This Row],[Age]]&lt;50,"40-49","50+")))))</f>
        <v>40-49</v>
      </c>
    </row>
    <row r="708" spans="1:20" x14ac:dyDescent="0.35">
      <c r="A708">
        <v>1707</v>
      </c>
      <c r="B708" t="s">
        <v>58</v>
      </c>
      <c r="C708" t="s">
        <v>32</v>
      </c>
      <c r="D708" t="s">
        <v>27</v>
      </c>
      <c r="E708">
        <v>32</v>
      </c>
      <c r="F708" t="s">
        <v>33</v>
      </c>
      <c r="G708" t="s">
        <v>19</v>
      </c>
      <c r="H708" t="s">
        <v>35</v>
      </c>
      <c r="I708" s="1">
        <v>67652</v>
      </c>
      <c r="J708" t="s">
        <v>1378</v>
      </c>
      <c r="K708" t="s">
        <v>21</v>
      </c>
      <c r="L708">
        <v>0</v>
      </c>
      <c r="M708">
        <v>2</v>
      </c>
      <c r="N708" t="s">
        <v>23</v>
      </c>
      <c r="O708" t="s">
        <v>23</v>
      </c>
      <c r="P708" t="s">
        <v>947</v>
      </c>
      <c r="Q708" s="9" t="str">
        <f t="shared" si="23"/>
        <v>Valid</v>
      </c>
      <c r="R708">
        <v>9161773625</v>
      </c>
      <c r="S708" s="7" t="str">
        <f t="shared" si="22"/>
        <v>Valid</v>
      </c>
      <c r="T708" t="str">
        <f>IF(Table1[[#This Row],[Age]]&lt;25,"18-24",IF(Table1[[#This Row],[Age]]&lt;30,"25-29",IF(Table1[[#This Row],[Age]]&lt;35,"30-34",IF(Table1[[#This Row],[Age]]&lt;40,"35-39",IF(Table1[[#This Row],[Age]]&lt;50,"40-49","50+")))))</f>
        <v>30-34</v>
      </c>
    </row>
    <row r="709" spans="1:20" x14ac:dyDescent="0.35">
      <c r="A709">
        <v>1708</v>
      </c>
      <c r="B709" t="s">
        <v>64</v>
      </c>
      <c r="C709" t="s">
        <v>16</v>
      </c>
      <c r="D709" t="s">
        <v>17</v>
      </c>
      <c r="E709">
        <v>22</v>
      </c>
      <c r="F709" t="s">
        <v>38</v>
      </c>
      <c r="G709" t="s">
        <v>39</v>
      </c>
      <c r="H709" t="s">
        <v>44</v>
      </c>
      <c r="I709" s="1">
        <v>49089</v>
      </c>
      <c r="J709" t="s">
        <v>121</v>
      </c>
      <c r="K709" t="s">
        <v>46</v>
      </c>
      <c r="L709">
        <v>23</v>
      </c>
      <c r="M709">
        <v>3</v>
      </c>
      <c r="N709" t="s">
        <v>22</v>
      </c>
      <c r="O709" t="s">
        <v>23</v>
      </c>
      <c r="P709" t="s">
        <v>948</v>
      </c>
      <c r="Q709" s="9" t="str">
        <f t="shared" si="23"/>
        <v>Valid</v>
      </c>
      <c r="R709">
        <v>9274053711</v>
      </c>
      <c r="S709" s="7" t="str">
        <f t="shared" si="22"/>
        <v>Valid</v>
      </c>
      <c r="T709" t="str">
        <f>IF(Table1[[#This Row],[Age]]&lt;25,"18-24",IF(Table1[[#This Row],[Age]]&lt;30,"25-29",IF(Table1[[#This Row],[Age]]&lt;35,"30-34",IF(Table1[[#This Row],[Age]]&lt;40,"35-39",IF(Table1[[#This Row],[Age]]&lt;50,"40-49","50+")))))</f>
        <v>18-24</v>
      </c>
    </row>
    <row r="710" spans="1:20" x14ac:dyDescent="0.35">
      <c r="A710">
        <v>1709</v>
      </c>
      <c r="B710" t="s">
        <v>42</v>
      </c>
      <c r="C710" t="s">
        <v>43</v>
      </c>
      <c r="D710" t="s">
        <v>17</v>
      </c>
      <c r="E710">
        <v>56</v>
      </c>
      <c r="F710" t="s">
        <v>38</v>
      </c>
      <c r="G710" t="s">
        <v>55</v>
      </c>
      <c r="H710" t="s">
        <v>20</v>
      </c>
      <c r="I710" s="1">
        <v>106836</v>
      </c>
      <c r="J710" t="s">
        <v>1728</v>
      </c>
      <c r="K710" t="s">
        <v>21</v>
      </c>
      <c r="L710">
        <v>12</v>
      </c>
      <c r="M710">
        <v>5</v>
      </c>
      <c r="N710" t="s">
        <v>23</v>
      </c>
      <c r="O710" t="s">
        <v>23</v>
      </c>
      <c r="P710" t="s">
        <v>949</v>
      </c>
      <c r="Q710" s="9" t="str">
        <f t="shared" si="23"/>
        <v>Valid</v>
      </c>
      <c r="R710">
        <v>9680424235</v>
      </c>
      <c r="S710" s="7" t="str">
        <f t="shared" si="22"/>
        <v>Valid</v>
      </c>
      <c r="T710" t="str">
        <f>IF(Table1[[#This Row],[Age]]&lt;25,"18-24",IF(Table1[[#This Row],[Age]]&lt;30,"25-29",IF(Table1[[#This Row],[Age]]&lt;35,"30-34",IF(Table1[[#This Row],[Age]]&lt;40,"35-39",IF(Table1[[#This Row],[Age]]&lt;50,"40-49","50+")))))</f>
        <v>50+</v>
      </c>
    </row>
    <row r="711" spans="1:20" x14ac:dyDescent="0.35">
      <c r="A711">
        <v>1710</v>
      </c>
      <c r="B711" t="s">
        <v>82</v>
      </c>
      <c r="C711" t="s">
        <v>26</v>
      </c>
      <c r="D711" t="s">
        <v>27</v>
      </c>
      <c r="E711">
        <v>42</v>
      </c>
      <c r="F711" t="s">
        <v>18</v>
      </c>
      <c r="G711" t="s">
        <v>77</v>
      </c>
      <c r="H711" t="s">
        <v>20</v>
      </c>
      <c r="I711" s="1">
        <v>28416</v>
      </c>
      <c r="J711" t="s">
        <v>1729</v>
      </c>
      <c r="K711" t="s">
        <v>21</v>
      </c>
      <c r="L711">
        <v>6</v>
      </c>
      <c r="M711">
        <v>4</v>
      </c>
      <c r="N711" t="s">
        <v>22</v>
      </c>
      <c r="O711" t="s">
        <v>22</v>
      </c>
      <c r="P711" t="s">
        <v>950</v>
      </c>
      <c r="Q711" s="9" t="str">
        <f t="shared" si="23"/>
        <v>Valid</v>
      </c>
      <c r="R711">
        <v>9393119639</v>
      </c>
      <c r="S711" s="7" t="str">
        <f t="shared" si="22"/>
        <v>Valid</v>
      </c>
      <c r="T711" t="str">
        <f>IF(Table1[[#This Row],[Age]]&lt;25,"18-24",IF(Table1[[#This Row],[Age]]&lt;30,"25-29",IF(Table1[[#This Row],[Age]]&lt;35,"30-34",IF(Table1[[#This Row],[Age]]&lt;40,"35-39",IF(Table1[[#This Row],[Age]]&lt;50,"40-49","50+")))))</f>
        <v>40-49</v>
      </c>
    </row>
    <row r="712" spans="1:20" x14ac:dyDescent="0.35">
      <c r="A712">
        <v>1711</v>
      </c>
      <c r="B712" t="s">
        <v>42</v>
      </c>
      <c r="C712" t="s">
        <v>61</v>
      </c>
      <c r="D712" t="s">
        <v>27</v>
      </c>
      <c r="E712">
        <v>22</v>
      </c>
      <c r="F712" t="s">
        <v>69</v>
      </c>
      <c r="G712" t="s">
        <v>39</v>
      </c>
      <c r="H712" t="s">
        <v>44</v>
      </c>
      <c r="I712" s="1">
        <v>116396</v>
      </c>
      <c r="J712" t="s">
        <v>736</v>
      </c>
      <c r="K712" t="s">
        <v>49</v>
      </c>
      <c r="L712">
        <v>19</v>
      </c>
      <c r="M712">
        <v>2</v>
      </c>
      <c r="N712" t="s">
        <v>22</v>
      </c>
      <c r="O712" t="s">
        <v>23</v>
      </c>
      <c r="P712" t="s">
        <v>951</v>
      </c>
      <c r="Q712" s="9" t="str">
        <f t="shared" si="23"/>
        <v>Valid</v>
      </c>
      <c r="R712">
        <v>9909437611</v>
      </c>
      <c r="S712" s="7" t="str">
        <f t="shared" si="22"/>
        <v>Valid</v>
      </c>
      <c r="T712" t="str">
        <f>IF(Table1[[#This Row],[Age]]&lt;25,"18-24",IF(Table1[[#This Row],[Age]]&lt;30,"25-29",IF(Table1[[#This Row],[Age]]&lt;35,"30-34",IF(Table1[[#This Row],[Age]]&lt;40,"35-39",IF(Table1[[#This Row],[Age]]&lt;50,"40-49","50+")))))</f>
        <v>18-24</v>
      </c>
    </row>
    <row r="713" spans="1:20" x14ac:dyDescent="0.35">
      <c r="A713">
        <v>1712</v>
      </c>
      <c r="B713" t="s">
        <v>82</v>
      </c>
      <c r="C713" t="s">
        <v>26</v>
      </c>
      <c r="D713" t="s">
        <v>27</v>
      </c>
      <c r="E713">
        <v>30</v>
      </c>
      <c r="F713" t="s">
        <v>69</v>
      </c>
      <c r="G713" t="s">
        <v>55</v>
      </c>
      <c r="H713" t="s">
        <v>20</v>
      </c>
      <c r="I713" s="1">
        <v>30755</v>
      </c>
      <c r="J713" t="s">
        <v>952</v>
      </c>
      <c r="K713" t="s">
        <v>30</v>
      </c>
      <c r="L713">
        <v>1</v>
      </c>
      <c r="M713">
        <v>1</v>
      </c>
      <c r="N713" t="s">
        <v>22</v>
      </c>
      <c r="O713" t="s">
        <v>23</v>
      </c>
      <c r="P713" t="s">
        <v>953</v>
      </c>
      <c r="Q713" s="9" t="str">
        <f t="shared" si="23"/>
        <v>Valid</v>
      </c>
      <c r="R713">
        <v>9842527085</v>
      </c>
      <c r="S713" s="7" t="str">
        <f t="shared" si="22"/>
        <v>Valid</v>
      </c>
      <c r="T713" t="str">
        <f>IF(Table1[[#This Row],[Age]]&lt;25,"18-24",IF(Table1[[#This Row],[Age]]&lt;30,"25-29",IF(Table1[[#This Row],[Age]]&lt;35,"30-34",IF(Table1[[#This Row],[Age]]&lt;40,"35-39",IF(Table1[[#This Row],[Age]]&lt;50,"40-49","50+")))))</f>
        <v>30-34</v>
      </c>
    </row>
    <row r="714" spans="1:20" x14ac:dyDescent="0.35">
      <c r="A714">
        <v>1713</v>
      </c>
      <c r="B714" t="s">
        <v>82</v>
      </c>
      <c r="C714" t="s">
        <v>26</v>
      </c>
      <c r="D714" t="s">
        <v>17</v>
      </c>
      <c r="E714">
        <v>31</v>
      </c>
      <c r="F714" t="s">
        <v>69</v>
      </c>
      <c r="G714" t="s">
        <v>39</v>
      </c>
      <c r="H714" t="s">
        <v>35</v>
      </c>
      <c r="I714" s="1">
        <v>118698</v>
      </c>
      <c r="J714" t="s">
        <v>954</v>
      </c>
      <c r="K714" t="s">
        <v>40</v>
      </c>
      <c r="L714">
        <v>22</v>
      </c>
      <c r="M714">
        <v>5</v>
      </c>
      <c r="N714" t="s">
        <v>22</v>
      </c>
      <c r="O714" t="s">
        <v>23</v>
      </c>
      <c r="P714" t="s">
        <v>955</v>
      </c>
      <c r="Q714" s="9" t="str">
        <f t="shared" si="23"/>
        <v>Valid</v>
      </c>
      <c r="R714">
        <v>9614060891</v>
      </c>
      <c r="S714" s="7" t="str">
        <f t="shared" si="22"/>
        <v>Valid</v>
      </c>
      <c r="T714" t="str">
        <f>IF(Table1[[#This Row],[Age]]&lt;25,"18-24",IF(Table1[[#This Row],[Age]]&lt;30,"25-29",IF(Table1[[#This Row],[Age]]&lt;35,"30-34",IF(Table1[[#This Row],[Age]]&lt;40,"35-39",IF(Table1[[#This Row],[Age]]&lt;50,"40-49","50+")))))</f>
        <v>30-34</v>
      </c>
    </row>
    <row r="715" spans="1:20" x14ac:dyDescent="0.35">
      <c r="A715">
        <v>1714</v>
      </c>
      <c r="B715" t="s">
        <v>15</v>
      </c>
      <c r="C715" t="s">
        <v>61</v>
      </c>
      <c r="D715" t="s">
        <v>17</v>
      </c>
      <c r="E715">
        <v>58</v>
      </c>
      <c r="F715" t="s">
        <v>18</v>
      </c>
      <c r="G715" t="s">
        <v>55</v>
      </c>
      <c r="H715" t="s">
        <v>35</v>
      </c>
      <c r="I715" s="1">
        <v>44510</v>
      </c>
      <c r="J715" t="s">
        <v>1608</v>
      </c>
      <c r="K715" t="s">
        <v>49</v>
      </c>
      <c r="L715">
        <v>0</v>
      </c>
      <c r="M715">
        <v>2</v>
      </c>
      <c r="N715" t="s">
        <v>22</v>
      </c>
      <c r="O715" t="s">
        <v>23</v>
      </c>
      <c r="P715" t="s">
        <v>956</v>
      </c>
      <c r="Q715" s="9" t="str">
        <f t="shared" si="23"/>
        <v>Valid</v>
      </c>
      <c r="R715">
        <v>99157160</v>
      </c>
      <c r="S715" s="7" t="str">
        <f t="shared" si="22"/>
        <v>Invalid</v>
      </c>
      <c r="T715" t="str">
        <f>IF(Table1[[#This Row],[Age]]&lt;25,"18-24",IF(Table1[[#This Row],[Age]]&lt;30,"25-29",IF(Table1[[#This Row],[Age]]&lt;35,"30-34",IF(Table1[[#This Row],[Age]]&lt;40,"35-39",IF(Table1[[#This Row],[Age]]&lt;50,"40-49","50+")))))</f>
        <v>50+</v>
      </c>
    </row>
    <row r="716" spans="1:20" x14ac:dyDescent="0.35">
      <c r="A716">
        <v>1715</v>
      </c>
      <c r="B716" t="s">
        <v>15</v>
      </c>
      <c r="C716" t="s">
        <v>32</v>
      </c>
      <c r="D716" t="s">
        <v>27</v>
      </c>
      <c r="E716">
        <v>26</v>
      </c>
      <c r="F716" t="s">
        <v>69</v>
      </c>
      <c r="G716" t="s">
        <v>55</v>
      </c>
      <c r="H716" t="s">
        <v>56</v>
      </c>
      <c r="I716" s="1">
        <v>77722</v>
      </c>
      <c r="J716" t="s">
        <v>1730</v>
      </c>
      <c r="K716" t="s">
        <v>21</v>
      </c>
      <c r="L716">
        <v>20</v>
      </c>
      <c r="M716">
        <v>5</v>
      </c>
      <c r="N716" t="s">
        <v>22</v>
      </c>
      <c r="O716" t="s">
        <v>22</v>
      </c>
      <c r="P716" t="s">
        <v>957</v>
      </c>
      <c r="Q716" s="9" t="str">
        <f t="shared" si="23"/>
        <v>Valid</v>
      </c>
      <c r="R716">
        <v>9046040579</v>
      </c>
      <c r="S716" s="7" t="str">
        <f t="shared" si="22"/>
        <v>Valid</v>
      </c>
      <c r="T716" t="str">
        <f>IF(Table1[[#This Row],[Age]]&lt;25,"18-24",IF(Table1[[#This Row],[Age]]&lt;30,"25-29",IF(Table1[[#This Row],[Age]]&lt;35,"30-34",IF(Table1[[#This Row],[Age]]&lt;40,"35-39",IF(Table1[[#This Row],[Age]]&lt;50,"40-49","50+")))))</f>
        <v>25-29</v>
      </c>
    </row>
    <row r="717" spans="1:20" x14ac:dyDescent="0.35">
      <c r="A717">
        <v>1716</v>
      </c>
      <c r="B717" t="s">
        <v>42</v>
      </c>
      <c r="C717" t="s">
        <v>26</v>
      </c>
      <c r="D717" t="s">
        <v>17</v>
      </c>
      <c r="E717">
        <v>29</v>
      </c>
      <c r="F717" t="s">
        <v>62</v>
      </c>
      <c r="G717" t="s">
        <v>77</v>
      </c>
      <c r="H717" t="s">
        <v>28</v>
      </c>
      <c r="I717" s="1">
        <v>75297</v>
      </c>
      <c r="J717" t="s">
        <v>1731</v>
      </c>
      <c r="K717" t="s">
        <v>46</v>
      </c>
      <c r="L717">
        <v>6</v>
      </c>
      <c r="M717">
        <v>5</v>
      </c>
      <c r="N717" t="s">
        <v>23</v>
      </c>
      <c r="O717" t="s">
        <v>22</v>
      </c>
      <c r="P717" t="s">
        <v>958</v>
      </c>
      <c r="Q717" s="9" t="str">
        <f t="shared" si="23"/>
        <v>Valid</v>
      </c>
      <c r="R717">
        <v>9409148189</v>
      </c>
      <c r="S717" s="7" t="str">
        <f t="shared" si="22"/>
        <v>Valid</v>
      </c>
      <c r="T717" t="str">
        <f>IF(Table1[[#This Row],[Age]]&lt;25,"18-24",IF(Table1[[#This Row],[Age]]&lt;30,"25-29",IF(Table1[[#This Row],[Age]]&lt;35,"30-34",IF(Table1[[#This Row],[Age]]&lt;40,"35-39",IF(Table1[[#This Row],[Age]]&lt;50,"40-49","50+")))))</f>
        <v>25-29</v>
      </c>
    </row>
    <row r="718" spans="1:20" x14ac:dyDescent="0.35">
      <c r="A718">
        <v>1717</v>
      </c>
      <c r="B718" t="s">
        <v>15</v>
      </c>
      <c r="C718" t="s">
        <v>16</v>
      </c>
      <c r="D718" t="s">
        <v>17</v>
      </c>
      <c r="E718">
        <v>32</v>
      </c>
      <c r="F718" t="s">
        <v>18</v>
      </c>
      <c r="G718" t="s">
        <v>19</v>
      </c>
      <c r="H718" t="s">
        <v>20</v>
      </c>
      <c r="I718" s="1">
        <v>73849</v>
      </c>
      <c r="J718" t="s">
        <v>1732</v>
      </c>
      <c r="K718" t="s">
        <v>40</v>
      </c>
      <c r="L718">
        <v>16</v>
      </c>
      <c r="M718">
        <v>4</v>
      </c>
      <c r="N718" t="s">
        <v>23</v>
      </c>
      <c r="O718" t="s">
        <v>23</v>
      </c>
      <c r="P718" t="s">
        <v>959</v>
      </c>
      <c r="Q718" s="9" t="str">
        <f t="shared" si="23"/>
        <v>Valid</v>
      </c>
      <c r="R718">
        <v>9954557888</v>
      </c>
      <c r="S718" s="7" t="str">
        <f t="shared" si="22"/>
        <v>Valid</v>
      </c>
      <c r="T718" t="str">
        <f>IF(Table1[[#This Row],[Age]]&lt;25,"18-24",IF(Table1[[#This Row],[Age]]&lt;30,"25-29",IF(Table1[[#This Row],[Age]]&lt;35,"30-34",IF(Table1[[#This Row],[Age]]&lt;40,"35-39",IF(Table1[[#This Row],[Age]]&lt;50,"40-49","50+")))))</f>
        <v>30-34</v>
      </c>
    </row>
    <row r="719" spans="1:20" x14ac:dyDescent="0.35">
      <c r="A719">
        <v>1718</v>
      </c>
      <c r="B719" t="s">
        <v>42</v>
      </c>
      <c r="C719" t="s">
        <v>26</v>
      </c>
      <c r="D719" t="s">
        <v>27</v>
      </c>
      <c r="E719">
        <v>47</v>
      </c>
      <c r="F719" t="s">
        <v>69</v>
      </c>
      <c r="G719" t="s">
        <v>39</v>
      </c>
      <c r="H719" t="s">
        <v>20</v>
      </c>
      <c r="I719" s="1">
        <v>72570</v>
      </c>
      <c r="J719" t="s">
        <v>960</v>
      </c>
      <c r="K719" t="s">
        <v>21</v>
      </c>
      <c r="L719">
        <v>3</v>
      </c>
      <c r="M719">
        <v>5</v>
      </c>
      <c r="N719" t="s">
        <v>22</v>
      </c>
      <c r="O719" t="s">
        <v>23</v>
      </c>
      <c r="P719" t="s">
        <v>961</v>
      </c>
      <c r="Q719" s="9" t="str">
        <f t="shared" si="23"/>
        <v>Valid</v>
      </c>
      <c r="R719">
        <v>9069590731</v>
      </c>
      <c r="S719" s="7" t="str">
        <f t="shared" si="22"/>
        <v>Valid</v>
      </c>
      <c r="T719" t="str">
        <f>IF(Table1[[#This Row],[Age]]&lt;25,"18-24",IF(Table1[[#This Row],[Age]]&lt;30,"25-29",IF(Table1[[#This Row],[Age]]&lt;35,"30-34",IF(Table1[[#This Row],[Age]]&lt;40,"35-39",IF(Table1[[#This Row],[Age]]&lt;50,"40-49","50+")))))</f>
        <v>40-49</v>
      </c>
    </row>
    <row r="720" spans="1:20" x14ac:dyDescent="0.35">
      <c r="A720">
        <v>1719</v>
      </c>
      <c r="B720" t="s">
        <v>42</v>
      </c>
      <c r="C720" t="s">
        <v>61</v>
      </c>
      <c r="D720" t="s">
        <v>27</v>
      </c>
      <c r="E720">
        <v>53</v>
      </c>
      <c r="F720" t="s">
        <v>62</v>
      </c>
      <c r="G720" t="s">
        <v>39</v>
      </c>
      <c r="H720" t="s">
        <v>28</v>
      </c>
      <c r="I720" s="1">
        <v>38387</v>
      </c>
      <c r="J720" t="s">
        <v>1733</v>
      </c>
      <c r="K720" t="s">
        <v>21</v>
      </c>
      <c r="L720">
        <v>12</v>
      </c>
      <c r="M720">
        <v>4</v>
      </c>
      <c r="N720" t="s">
        <v>22</v>
      </c>
      <c r="O720" t="s">
        <v>22</v>
      </c>
      <c r="P720" t="s">
        <v>962</v>
      </c>
      <c r="Q720" s="9" t="str">
        <f t="shared" si="23"/>
        <v>Valid</v>
      </c>
      <c r="R720">
        <v>9700093501</v>
      </c>
      <c r="S720" s="7" t="str">
        <f t="shared" si="22"/>
        <v>Valid</v>
      </c>
      <c r="T720" t="str">
        <f>IF(Table1[[#This Row],[Age]]&lt;25,"18-24",IF(Table1[[#This Row],[Age]]&lt;30,"25-29",IF(Table1[[#This Row],[Age]]&lt;35,"30-34",IF(Table1[[#This Row],[Age]]&lt;40,"35-39",IF(Table1[[#This Row],[Age]]&lt;50,"40-49","50+")))))</f>
        <v>50+</v>
      </c>
    </row>
    <row r="721" spans="1:20" x14ac:dyDescent="0.35">
      <c r="A721">
        <v>1720</v>
      </c>
      <c r="B721" t="s">
        <v>60</v>
      </c>
      <c r="C721" t="s">
        <v>43</v>
      </c>
      <c r="D721" t="s">
        <v>27</v>
      </c>
      <c r="E721">
        <v>37</v>
      </c>
      <c r="F721" t="s">
        <v>33</v>
      </c>
      <c r="G721" t="s">
        <v>77</v>
      </c>
      <c r="H721" t="s">
        <v>56</v>
      </c>
      <c r="I721" s="1">
        <v>113209</v>
      </c>
      <c r="J721" t="s">
        <v>1519</v>
      </c>
      <c r="K721" t="s">
        <v>30</v>
      </c>
      <c r="L721">
        <v>18</v>
      </c>
      <c r="M721">
        <v>4</v>
      </c>
      <c r="N721" t="s">
        <v>23</v>
      </c>
      <c r="O721" t="s">
        <v>23</v>
      </c>
      <c r="P721" t="s">
        <v>963</v>
      </c>
      <c r="Q721" s="9" t="str">
        <f t="shared" si="23"/>
        <v>Valid</v>
      </c>
      <c r="R721">
        <v>9120555610</v>
      </c>
      <c r="S721" s="7" t="str">
        <f t="shared" si="22"/>
        <v>Valid</v>
      </c>
      <c r="T721" t="str">
        <f>IF(Table1[[#This Row],[Age]]&lt;25,"18-24",IF(Table1[[#This Row],[Age]]&lt;30,"25-29",IF(Table1[[#This Row],[Age]]&lt;35,"30-34",IF(Table1[[#This Row],[Age]]&lt;40,"35-39",IF(Table1[[#This Row],[Age]]&lt;50,"40-49","50+")))))</f>
        <v>35-39</v>
      </c>
    </row>
    <row r="722" spans="1:20" x14ac:dyDescent="0.35">
      <c r="A722">
        <v>1721</v>
      </c>
      <c r="B722" t="s">
        <v>25</v>
      </c>
      <c r="C722" t="s">
        <v>43</v>
      </c>
      <c r="D722" t="s">
        <v>17</v>
      </c>
      <c r="E722">
        <v>27</v>
      </c>
      <c r="F722" t="s">
        <v>62</v>
      </c>
      <c r="G722" t="s">
        <v>19</v>
      </c>
      <c r="H722" t="s">
        <v>56</v>
      </c>
      <c r="I722" s="1">
        <v>68677</v>
      </c>
      <c r="J722" t="s">
        <v>1734</v>
      </c>
      <c r="K722" t="s">
        <v>30</v>
      </c>
      <c r="L722">
        <v>21</v>
      </c>
      <c r="M722">
        <v>4</v>
      </c>
      <c r="N722" t="s">
        <v>23</v>
      </c>
      <c r="O722" t="s">
        <v>23</v>
      </c>
      <c r="P722" t="s">
        <v>964</v>
      </c>
      <c r="Q722" s="9" t="str">
        <f t="shared" si="23"/>
        <v>Valid</v>
      </c>
      <c r="R722">
        <v>9732007505</v>
      </c>
      <c r="S722" s="7" t="str">
        <f t="shared" si="22"/>
        <v>Valid</v>
      </c>
      <c r="T722" t="str">
        <f>IF(Table1[[#This Row],[Age]]&lt;25,"18-24",IF(Table1[[#This Row],[Age]]&lt;30,"25-29",IF(Table1[[#This Row],[Age]]&lt;35,"30-34",IF(Table1[[#This Row],[Age]]&lt;40,"35-39",IF(Table1[[#This Row],[Age]]&lt;50,"40-49","50+")))))</f>
        <v>25-29</v>
      </c>
    </row>
    <row r="723" spans="1:20" x14ac:dyDescent="0.35">
      <c r="A723">
        <v>1722</v>
      </c>
      <c r="B723" t="s">
        <v>15</v>
      </c>
      <c r="C723" t="s">
        <v>32</v>
      </c>
      <c r="D723" t="s">
        <v>27</v>
      </c>
      <c r="E723">
        <v>52</v>
      </c>
      <c r="F723" t="s">
        <v>38</v>
      </c>
      <c r="G723" t="s">
        <v>77</v>
      </c>
      <c r="H723" t="s">
        <v>56</v>
      </c>
      <c r="I723" s="1">
        <v>36696</v>
      </c>
      <c r="J723" t="s">
        <v>1735</v>
      </c>
      <c r="K723" t="s">
        <v>46</v>
      </c>
      <c r="L723">
        <v>12</v>
      </c>
      <c r="M723">
        <v>1</v>
      </c>
      <c r="N723" t="s">
        <v>23</v>
      </c>
      <c r="O723" t="s">
        <v>23</v>
      </c>
      <c r="P723" t="s">
        <v>965</v>
      </c>
      <c r="Q723" s="9" t="str">
        <f t="shared" si="23"/>
        <v>Valid</v>
      </c>
      <c r="R723">
        <v>9140762041</v>
      </c>
      <c r="S723" s="7" t="str">
        <f t="shared" si="22"/>
        <v>Valid</v>
      </c>
      <c r="T723" t="str">
        <f>IF(Table1[[#This Row],[Age]]&lt;25,"18-24",IF(Table1[[#This Row],[Age]]&lt;30,"25-29",IF(Table1[[#This Row],[Age]]&lt;35,"30-34",IF(Table1[[#This Row],[Age]]&lt;40,"35-39",IF(Table1[[#This Row],[Age]]&lt;50,"40-49","50+")))))</f>
        <v>50+</v>
      </c>
    </row>
    <row r="724" spans="1:20" x14ac:dyDescent="0.35">
      <c r="A724">
        <v>1723</v>
      </c>
      <c r="B724" t="s">
        <v>64</v>
      </c>
      <c r="C724" t="s">
        <v>61</v>
      </c>
      <c r="D724" t="s">
        <v>27</v>
      </c>
      <c r="E724">
        <v>40</v>
      </c>
      <c r="F724" t="s">
        <v>69</v>
      </c>
      <c r="G724" t="s">
        <v>55</v>
      </c>
      <c r="H724" t="s">
        <v>56</v>
      </c>
      <c r="I724" s="1">
        <v>58109</v>
      </c>
      <c r="J724" t="s">
        <v>1736</v>
      </c>
      <c r="K724" t="s">
        <v>49</v>
      </c>
      <c r="L724">
        <v>19</v>
      </c>
      <c r="M724">
        <v>5</v>
      </c>
      <c r="N724" t="s">
        <v>22</v>
      </c>
      <c r="O724" t="s">
        <v>23</v>
      </c>
      <c r="P724" t="s">
        <v>966</v>
      </c>
      <c r="Q724" s="9" t="str">
        <f t="shared" si="23"/>
        <v>Valid</v>
      </c>
      <c r="R724">
        <v>9879194903</v>
      </c>
      <c r="S724" s="7" t="str">
        <f t="shared" si="22"/>
        <v>Valid</v>
      </c>
      <c r="T724" t="str">
        <f>IF(Table1[[#This Row],[Age]]&lt;25,"18-24",IF(Table1[[#This Row],[Age]]&lt;30,"25-29",IF(Table1[[#This Row],[Age]]&lt;35,"30-34",IF(Table1[[#This Row],[Age]]&lt;40,"35-39",IF(Table1[[#This Row],[Age]]&lt;50,"40-49","50+")))))</f>
        <v>40-49</v>
      </c>
    </row>
    <row r="725" spans="1:20" x14ac:dyDescent="0.35">
      <c r="A725">
        <v>1724</v>
      </c>
      <c r="B725" t="s">
        <v>15</v>
      </c>
      <c r="C725" t="s">
        <v>32</v>
      </c>
      <c r="D725" t="s">
        <v>17</v>
      </c>
      <c r="E725">
        <v>55</v>
      </c>
      <c r="F725" t="s">
        <v>69</v>
      </c>
      <c r="G725" t="s">
        <v>39</v>
      </c>
      <c r="H725" t="s">
        <v>56</v>
      </c>
      <c r="I725" s="1">
        <v>117344</v>
      </c>
      <c r="J725" t="s">
        <v>1737</v>
      </c>
      <c r="K725" t="s">
        <v>49</v>
      </c>
      <c r="L725">
        <v>6</v>
      </c>
      <c r="M725">
        <v>4</v>
      </c>
      <c r="N725" t="s">
        <v>22</v>
      </c>
      <c r="O725" t="s">
        <v>23</v>
      </c>
      <c r="P725" t="s">
        <v>967</v>
      </c>
      <c r="Q725" s="9" t="str">
        <f t="shared" si="23"/>
        <v>Valid</v>
      </c>
      <c r="R725">
        <v>9179636671</v>
      </c>
      <c r="S725" s="7" t="str">
        <f t="shared" si="22"/>
        <v>Valid</v>
      </c>
      <c r="T725" t="str">
        <f>IF(Table1[[#This Row],[Age]]&lt;25,"18-24",IF(Table1[[#This Row],[Age]]&lt;30,"25-29",IF(Table1[[#This Row],[Age]]&lt;35,"30-34",IF(Table1[[#This Row],[Age]]&lt;40,"35-39",IF(Table1[[#This Row],[Age]]&lt;50,"40-49","50+")))))</f>
        <v>50+</v>
      </c>
    </row>
    <row r="726" spans="1:20" x14ac:dyDescent="0.35">
      <c r="A726">
        <v>1725</v>
      </c>
      <c r="B726" t="s">
        <v>25</v>
      </c>
      <c r="C726" t="s">
        <v>32</v>
      </c>
      <c r="D726" t="s">
        <v>27</v>
      </c>
      <c r="E726">
        <v>41</v>
      </c>
      <c r="F726" t="s">
        <v>62</v>
      </c>
      <c r="G726" t="s">
        <v>77</v>
      </c>
      <c r="H726" t="s">
        <v>56</v>
      </c>
      <c r="I726" s="1">
        <v>86183</v>
      </c>
      <c r="J726" t="s">
        <v>968</v>
      </c>
      <c r="K726" t="s">
        <v>40</v>
      </c>
      <c r="L726">
        <v>21</v>
      </c>
      <c r="M726">
        <v>4</v>
      </c>
      <c r="N726" t="s">
        <v>22</v>
      </c>
      <c r="O726" t="s">
        <v>23</v>
      </c>
      <c r="P726" t="s">
        <v>969</v>
      </c>
      <c r="Q726" s="9" t="str">
        <f t="shared" si="23"/>
        <v>Valid</v>
      </c>
      <c r="R726">
        <v>9166800431</v>
      </c>
      <c r="S726" s="7" t="str">
        <f t="shared" si="22"/>
        <v>Valid</v>
      </c>
      <c r="T726" t="str">
        <f>IF(Table1[[#This Row],[Age]]&lt;25,"18-24",IF(Table1[[#This Row],[Age]]&lt;30,"25-29",IF(Table1[[#This Row],[Age]]&lt;35,"30-34",IF(Table1[[#This Row],[Age]]&lt;40,"35-39",IF(Table1[[#This Row],[Age]]&lt;50,"40-49","50+")))))</f>
        <v>40-49</v>
      </c>
    </row>
    <row r="727" spans="1:20" x14ac:dyDescent="0.35">
      <c r="A727">
        <v>1726</v>
      </c>
      <c r="B727" t="s">
        <v>60</v>
      </c>
      <c r="C727" t="s">
        <v>61</v>
      </c>
      <c r="D727" t="s">
        <v>17</v>
      </c>
      <c r="E727">
        <v>37</v>
      </c>
      <c r="F727" t="s">
        <v>18</v>
      </c>
      <c r="G727" t="s">
        <v>39</v>
      </c>
      <c r="H727" t="s">
        <v>56</v>
      </c>
      <c r="I727" s="1">
        <v>32858</v>
      </c>
      <c r="J727" t="s">
        <v>1738</v>
      </c>
      <c r="K727" t="s">
        <v>21</v>
      </c>
      <c r="L727">
        <v>7</v>
      </c>
      <c r="M727">
        <v>1</v>
      </c>
      <c r="N727" t="s">
        <v>23</v>
      </c>
      <c r="O727" t="s">
        <v>23</v>
      </c>
      <c r="P727" t="s">
        <v>970</v>
      </c>
      <c r="Q727" s="9" t="str">
        <f t="shared" si="23"/>
        <v>Valid</v>
      </c>
      <c r="R727">
        <v>9972586069</v>
      </c>
      <c r="S727" s="7" t="str">
        <f t="shared" si="22"/>
        <v>Valid</v>
      </c>
      <c r="T727" t="str">
        <f>IF(Table1[[#This Row],[Age]]&lt;25,"18-24",IF(Table1[[#This Row],[Age]]&lt;30,"25-29",IF(Table1[[#This Row],[Age]]&lt;35,"30-34",IF(Table1[[#This Row],[Age]]&lt;40,"35-39",IF(Table1[[#This Row],[Age]]&lt;50,"40-49","50+")))))</f>
        <v>35-39</v>
      </c>
    </row>
    <row r="728" spans="1:20" x14ac:dyDescent="0.35">
      <c r="A728">
        <v>1727</v>
      </c>
      <c r="B728" t="s">
        <v>67</v>
      </c>
      <c r="C728" t="s">
        <v>16</v>
      </c>
      <c r="D728" t="s">
        <v>17</v>
      </c>
      <c r="E728">
        <v>29</v>
      </c>
      <c r="F728" t="s">
        <v>18</v>
      </c>
      <c r="G728" t="s">
        <v>39</v>
      </c>
      <c r="H728" t="s">
        <v>28</v>
      </c>
      <c r="I728" s="1">
        <v>62465</v>
      </c>
      <c r="J728" t="s">
        <v>1739</v>
      </c>
      <c r="K728" t="s">
        <v>21</v>
      </c>
      <c r="L728">
        <v>4</v>
      </c>
      <c r="M728">
        <v>3</v>
      </c>
      <c r="N728" t="s">
        <v>22</v>
      </c>
      <c r="O728" t="s">
        <v>22</v>
      </c>
      <c r="P728" t="s">
        <v>971</v>
      </c>
      <c r="Q728" s="9" t="str">
        <f t="shared" si="23"/>
        <v>Valid</v>
      </c>
      <c r="R728">
        <v>9128882764</v>
      </c>
      <c r="S728" s="7" t="str">
        <f t="shared" si="22"/>
        <v>Valid</v>
      </c>
      <c r="T728" t="str">
        <f>IF(Table1[[#This Row],[Age]]&lt;25,"18-24",IF(Table1[[#This Row],[Age]]&lt;30,"25-29",IF(Table1[[#This Row],[Age]]&lt;35,"30-34",IF(Table1[[#This Row],[Age]]&lt;40,"35-39",IF(Table1[[#This Row],[Age]]&lt;50,"40-49","50+")))))</f>
        <v>25-29</v>
      </c>
    </row>
    <row r="729" spans="1:20" x14ac:dyDescent="0.35">
      <c r="A729">
        <v>1728</v>
      </c>
      <c r="B729" t="s">
        <v>64</v>
      </c>
      <c r="C729" t="s">
        <v>26</v>
      </c>
      <c r="D729" t="s">
        <v>17</v>
      </c>
      <c r="E729">
        <v>36</v>
      </c>
      <c r="F729" t="s">
        <v>38</v>
      </c>
      <c r="G729" t="s">
        <v>19</v>
      </c>
      <c r="H729" t="s">
        <v>44</v>
      </c>
      <c r="I729" s="1">
        <v>81677</v>
      </c>
      <c r="J729" t="s">
        <v>972</v>
      </c>
      <c r="K729" t="s">
        <v>40</v>
      </c>
      <c r="L729">
        <v>15</v>
      </c>
      <c r="M729">
        <v>3</v>
      </c>
      <c r="N729" t="s">
        <v>23</v>
      </c>
      <c r="O729" t="s">
        <v>22</v>
      </c>
      <c r="P729" t="s">
        <v>973</v>
      </c>
      <c r="Q729" s="9" t="str">
        <f t="shared" si="23"/>
        <v>Valid</v>
      </c>
      <c r="R729">
        <v>9574485932</v>
      </c>
      <c r="S729" s="7" t="str">
        <f t="shared" si="22"/>
        <v>Valid</v>
      </c>
      <c r="T729" t="str">
        <f>IF(Table1[[#This Row],[Age]]&lt;25,"18-24",IF(Table1[[#This Row],[Age]]&lt;30,"25-29",IF(Table1[[#This Row],[Age]]&lt;35,"30-34",IF(Table1[[#This Row],[Age]]&lt;40,"35-39",IF(Table1[[#This Row],[Age]]&lt;50,"40-49","50+")))))</f>
        <v>35-39</v>
      </c>
    </row>
    <row r="730" spans="1:20" x14ac:dyDescent="0.35">
      <c r="A730">
        <v>1729</v>
      </c>
      <c r="B730" t="s">
        <v>54</v>
      </c>
      <c r="C730" t="s">
        <v>16</v>
      </c>
      <c r="D730" t="s">
        <v>27</v>
      </c>
      <c r="E730">
        <v>39</v>
      </c>
      <c r="F730" t="s">
        <v>38</v>
      </c>
      <c r="G730" t="s">
        <v>55</v>
      </c>
      <c r="H730" t="s">
        <v>28</v>
      </c>
      <c r="I730" s="1">
        <v>38076</v>
      </c>
      <c r="J730" t="s">
        <v>974</v>
      </c>
      <c r="K730" t="s">
        <v>49</v>
      </c>
      <c r="L730">
        <v>17</v>
      </c>
      <c r="M730">
        <v>1</v>
      </c>
      <c r="N730" t="s">
        <v>23</v>
      </c>
      <c r="O730" t="s">
        <v>23</v>
      </c>
      <c r="P730" t="s">
        <v>975</v>
      </c>
      <c r="Q730" s="9" t="str">
        <f t="shared" si="23"/>
        <v>Valid</v>
      </c>
      <c r="R730">
        <v>9975969814</v>
      </c>
      <c r="S730" s="7" t="str">
        <f t="shared" si="22"/>
        <v>Valid</v>
      </c>
      <c r="T730" t="str">
        <f>IF(Table1[[#This Row],[Age]]&lt;25,"18-24",IF(Table1[[#This Row],[Age]]&lt;30,"25-29",IF(Table1[[#This Row],[Age]]&lt;35,"30-34",IF(Table1[[#This Row],[Age]]&lt;40,"35-39",IF(Table1[[#This Row],[Age]]&lt;50,"40-49","50+")))))</f>
        <v>35-39</v>
      </c>
    </row>
    <row r="731" spans="1:20" x14ac:dyDescent="0.35">
      <c r="A731">
        <v>1730</v>
      </c>
      <c r="B731" t="s">
        <v>64</v>
      </c>
      <c r="C731" t="s">
        <v>43</v>
      </c>
      <c r="D731" t="s">
        <v>27</v>
      </c>
      <c r="E731">
        <v>57</v>
      </c>
      <c r="F731" t="s">
        <v>69</v>
      </c>
      <c r="G731" t="s">
        <v>34</v>
      </c>
      <c r="H731" t="s">
        <v>28</v>
      </c>
      <c r="I731" s="1">
        <v>71422</v>
      </c>
      <c r="J731" t="s">
        <v>1281</v>
      </c>
      <c r="K731" t="s">
        <v>46</v>
      </c>
      <c r="L731">
        <v>6</v>
      </c>
      <c r="M731">
        <v>3</v>
      </c>
      <c r="N731" t="s">
        <v>22</v>
      </c>
      <c r="O731" t="s">
        <v>22</v>
      </c>
      <c r="P731" t="s">
        <v>976</v>
      </c>
      <c r="Q731" s="9" t="str">
        <f t="shared" si="23"/>
        <v>Valid</v>
      </c>
      <c r="R731">
        <v>9188117462</v>
      </c>
      <c r="S731" s="7" t="str">
        <f t="shared" si="22"/>
        <v>Valid</v>
      </c>
      <c r="T731" t="str">
        <f>IF(Table1[[#This Row],[Age]]&lt;25,"18-24",IF(Table1[[#This Row],[Age]]&lt;30,"25-29",IF(Table1[[#This Row],[Age]]&lt;35,"30-34",IF(Table1[[#This Row],[Age]]&lt;40,"35-39",IF(Table1[[#This Row],[Age]]&lt;50,"40-49","50+")))))</f>
        <v>50+</v>
      </c>
    </row>
    <row r="732" spans="1:20" x14ac:dyDescent="0.35">
      <c r="A732">
        <v>1731</v>
      </c>
      <c r="B732" t="s">
        <v>25</v>
      </c>
      <c r="C732" t="s">
        <v>26</v>
      </c>
      <c r="D732" t="s">
        <v>17</v>
      </c>
      <c r="E732">
        <v>56</v>
      </c>
      <c r="F732" t="s">
        <v>62</v>
      </c>
      <c r="G732" t="s">
        <v>19</v>
      </c>
      <c r="H732" t="s">
        <v>56</v>
      </c>
      <c r="I732" s="1">
        <v>118417</v>
      </c>
      <c r="J732" t="s">
        <v>413</v>
      </c>
      <c r="K732" t="s">
        <v>21</v>
      </c>
      <c r="L732">
        <v>22</v>
      </c>
      <c r="M732">
        <v>5</v>
      </c>
      <c r="N732" t="s">
        <v>23</v>
      </c>
      <c r="O732" t="s">
        <v>22</v>
      </c>
      <c r="P732" t="s">
        <v>977</v>
      </c>
      <c r="Q732" s="9" t="str">
        <f t="shared" si="23"/>
        <v>Valid</v>
      </c>
      <c r="R732">
        <v>9572435352</v>
      </c>
      <c r="S732" s="7" t="str">
        <f t="shared" si="22"/>
        <v>Valid</v>
      </c>
      <c r="T732" t="str">
        <f>IF(Table1[[#This Row],[Age]]&lt;25,"18-24",IF(Table1[[#This Row],[Age]]&lt;30,"25-29",IF(Table1[[#This Row],[Age]]&lt;35,"30-34",IF(Table1[[#This Row],[Age]]&lt;40,"35-39",IF(Table1[[#This Row],[Age]]&lt;50,"40-49","50+")))))</f>
        <v>50+</v>
      </c>
    </row>
    <row r="733" spans="1:20" x14ac:dyDescent="0.35">
      <c r="A733">
        <v>1732</v>
      </c>
      <c r="B733" t="s">
        <v>64</v>
      </c>
      <c r="C733" t="s">
        <v>32</v>
      </c>
      <c r="D733" t="s">
        <v>17</v>
      </c>
      <c r="E733">
        <v>38</v>
      </c>
      <c r="F733" t="s">
        <v>18</v>
      </c>
      <c r="G733" t="s">
        <v>39</v>
      </c>
      <c r="H733" t="s">
        <v>44</v>
      </c>
      <c r="I733" s="1">
        <v>95953</v>
      </c>
      <c r="J733" t="s">
        <v>1740</v>
      </c>
      <c r="K733" t="s">
        <v>21</v>
      </c>
      <c r="L733">
        <v>8</v>
      </c>
      <c r="M733">
        <v>2</v>
      </c>
      <c r="N733" t="s">
        <v>23</v>
      </c>
      <c r="O733" t="s">
        <v>22</v>
      </c>
      <c r="P733" t="s">
        <v>978</v>
      </c>
      <c r="Q733" s="9" t="str">
        <f t="shared" si="23"/>
        <v>Valid</v>
      </c>
      <c r="R733">
        <v>9940541425</v>
      </c>
      <c r="S733" s="7" t="str">
        <f t="shared" si="22"/>
        <v>Valid</v>
      </c>
      <c r="T733" t="str">
        <f>IF(Table1[[#This Row],[Age]]&lt;25,"18-24",IF(Table1[[#This Row],[Age]]&lt;30,"25-29",IF(Table1[[#This Row],[Age]]&lt;35,"30-34",IF(Table1[[#This Row],[Age]]&lt;40,"35-39",IF(Table1[[#This Row],[Age]]&lt;50,"40-49","50+")))))</f>
        <v>35-39</v>
      </c>
    </row>
    <row r="734" spans="1:20" x14ac:dyDescent="0.35">
      <c r="A734">
        <v>1733</v>
      </c>
      <c r="B734" t="s">
        <v>37</v>
      </c>
      <c r="C734" t="s">
        <v>61</v>
      </c>
      <c r="D734" t="s">
        <v>17</v>
      </c>
      <c r="E734">
        <v>58</v>
      </c>
      <c r="F734" t="s">
        <v>33</v>
      </c>
      <c r="G734" t="s">
        <v>55</v>
      </c>
      <c r="H734" t="s">
        <v>44</v>
      </c>
      <c r="I734" s="1">
        <v>68389</v>
      </c>
      <c r="J734" t="s">
        <v>979</v>
      </c>
      <c r="K734" t="s">
        <v>30</v>
      </c>
      <c r="L734">
        <v>10</v>
      </c>
      <c r="M734">
        <v>3</v>
      </c>
      <c r="N734" t="s">
        <v>23</v>
      </c>
      <c r="O734" t="s">
        <v>23</v>
      </c>
      <c r="P734" t="s">
        <v>980</v>
      </c>
      <c r="Q734" s="9" t="str">
        <f t="shared" si="23"/>
        <v>Valid</v>
      </c>
      <c r="R734">
        <v>9479087301</v>
      </c>
      <c r="S734" s="7" t="str">
        <f t="shared" si="22"/>
        <v>Valid</v>
      </c>
      <c r="T734" t="str">
        <f>IF(Table1[[#This Row],[Age]]&lt;25,"18-24",IF(Table1[[#This Row],[Age]]&lt;30,"25-29",IF(Table1[[#This Row],[Age]]&lt;35,"30-34",IF(Table1[[#This Row],[Age]]&lt;40,"35-39",IF(Table1[[#This Row],[Age]]&lt;50,"40-49","50+")))))</f>
        <v>50+</v>
      </c>
    </row>
    <row r="735" spans="1:20" x14ac:dyDescent="0.35">
      <c r="A735">
        <v>1734</v>
      </c>
      <c r="B735" t="s">
        <v>25</v>
      </c>
      <c r="C735" t="s">
        <v>43</v>
      </c>
      <c r="D735" t="s">
        <v>17</v>
      </c>
      <c r="E735">
        <v>35</v>
      </c>
      <c r="F735" t="s">
        <v>69</v>
      </c>
      <c r="G735" t="s">
        <v>39</v>
      </c>
      <c r="H735" t="s">
        <v>20</v>
      </c>
      <c r="I735" s="1">
        <v>78652</v>
      </c>
      <c r="J735" t="s">
        <v>981</v>
      </c>
      <c r="K735" t="s">
        <v>40</v>
      </c>
      <c r="L735">
        <v>1</v>
      </c>
      <c r="M735">
        <v>5</v>
      </c>
      <c r="N735" t="s">
        <v>23</v>
      </c>
      <c r="O735" t="s">
        <v>22</v>
      </c>
      <c r="P735" t="s">
        <v>982</v>
      </c>
      <c r="Q735" s="9" t="str">
        <f t="shared" si="23"/>
        <v>Valid</v>
      </c>
      <c r="R735">
        <v>9999234809</v>
      </c>
      <c r="S735" s="7" t="str">
        <f t="shared" si="22"/>
        <v>Valid</v>
      </c>
      <c r="T735" t="str">
        <f>IF(Table1[[#This Row],[Age]]&lt;25,"18-24",IF(Table1[[#This Row],[Age]]&lt;30,"25-29",IF(Table1[[#This Row],[Age]]&lt;35,"30-34",IF(Table1[[#This Row],[Age]]&lt;40,"35-39",IF(Table1[[#This Row],[Age]]&lt;50,"40-49","50+")))))</f>
        <v>35-39</v>
      </c>
    </row>
    <row r="736" spans="1:20" x14ac:dyDescent="0.35">
      <c r="A736">
        <v>1735</v>
      </c>
      <c r="B736" t="s">
        <v>60</v>
      </c>
      <c r="C736" t="s">
        <v>43</v>
      </c>
      <c r="D736" t="s">
        <v>27</v>
      </c>
      <c r="E736">
        <v>35</v>
      </c>
      <c r="F736" t="s">
        <v>18</v>
      </c>
      <c r="G736" t="s">
        <v>19</v>
      </c>
      <c r="H736" t="s">
        <v>28</v>
      </c>
      <c r="I736" s="1">
        <v>110625</v>
      </c>
      <c r="J736" t="s">
        <v>1741</v>
      </c>
      <c r="K736" t="s">
        <v>40</v>
      </c>
      <c r="L736">
        <v>12</v>
      </c>
      <c r="M736">
        <v>2</v>
      </c>
      <c r="N736" t="s">
        <v>23</v>
      </c>
      <c r="O736" t="s">
        <v>23</v>
      </c>
      <c r="P736" t="s">
        <v>983</v>
      </c>
      <c r="Q736" s="9" t="str">
        <f t="shared" si="23"/>
        <v>Valid</v>
      </c>
      <c r="R736">
        <v>9463542650</v>
      </c>
      <c r="S736" s="7" t="str">
        <f t="shared" si="22"/>
        <v>Valid</v>
      </c>
      <c r="T736" t="str">
        <f>IF(Table1[[#This Row],[Age]]&lt;25,"18-24",IF(Table1[[#This Row],[Age]]&lt;30,"25-29",IF(Table1[[#This Row],[Age]]&lt;35,"30-34",IF(Table1[[#This Row],[Age]]&lt;40,"35-39",IF(Table1[[#This Row],[Age]]&lt;50,"40-49","50+")))))</f>
        <v>35-39</v>
      </c>
    </row>
    <row r="737" spans="1:20" x14ac:dyDescent="0.35">
      <c r="A737">
        <v>1736</v>
      </c>
      <c r="B737" t="s">
        <v>60</v>
      </c>
      <c r="C737" t="s">
        <v>43</v>
      </c>
      <c r="D737" t="s">
        <v>17</v>
      </c>
      <c r="E737">
        <v>43</v>
      </c>
      <c r="F737" t="s">
        <v>33</v>
      </c>
      <c r="G737" t="s">
        <v>19</v>
      </c>
      <c r="H737" t="s">
        <v>20</v>
      </c>
      <c r="I737" s="1">
        <v>62471</v>
      </c>
      <c r="J737" t="s">
        <v>1742</v>
      </c>
      <c r="K737" t="s">
        <v>46</v>
      </c>
      <c r="L737">
        <v>11</v>
      </c>
      <c r="M737">
        <v>3</v>
      </c>
      <c r="N737" t="s">
        <v>22</v>
      </c>
      <c r="O737" t="s">
        <v>23</v>
      </c>
      <c r="P737" t="s">
        <v>984</v>
      </c>
      <c r="Q737" s="9" t="str">
        <f t="shared" si="23"/>
        <v>Valid</v>
      </c>
      <c r="R737">
        <v>9755228187</v>
      </c>
      <c r="S737" s="7" t="str">
        <f t="shared" si="22"/>
        <v>Valid</v>
      </c>
      <c r="T737" t="str">
        <f>IF(Table1[[#This Row],[Age]]&lt;25,"18-24",IF(Table1[[#This Row],[Age]]&lt;30,"25-29",IF(Table1[[#This Row],[Age]]&lt;35,"30-34",IF(Table1[[#This Row],[Age]]&lt;40,"35-39",IF(Table1[[#This Row],[Age]]&lt;50,"40-49","50+")))))</f>
        <v>40-49</v>
      </c>
    </row>
    <row r="738" spans="1:20" x14ac:dyDescent="0.35">
      <c r="A738">
        <v>1737</v>
      </c>
      <c r="B738" t="s">
        <v>60</v>
      </c>
      <c r="C738" t="s">
        <v>26</v>
      </c>
      <c r="D738" t="s">
        <v>17</v>
      </c>
      <c r="E738">
        <v>54</v>
      </c>
      <c r="F738" t="s">
        <v>33</v>
      </c>
      <c r="G738" t="s">
        <v>39</v>
      </c>
      <c r="H738" t="s">
        <v>35</v>
      </c>
      <c r="I738" s="1">
        <v>80656</v>
      </c>
      <c r="J738" t="s">
        <v>1743</v>
      </c>
      <c r="K738" t="s">
        <v>21</v>
      </c>
      <c r="L738">
        <v>18</v>
      </c>
      <c r="M738">
        <v>3</v>
      </c>
      <c r="N738" t="s">
        <v>22</v>
      </c>
      <c r="O738" t="s">
        <v>22</v>
      </c>
      <c r="P738" t="s">
        <v>985</v>
      </c>
      <c r="Q738" s="9" t="str">
        <f t="shared" si="23"/>
        <v>Valid</v>
      </c>
      <c r="R738">
        <v>9888655499</v>
      </c>
      <c r="S738" s="7" t="str">
        <f t="shared" si="22"/>
        <v>Valid</v>
      </c>
      <c r="T738" t="str">
        <f>IF(Table1[[#This Row],[Age]]&lt;25,"18-24",IF(Table1[[#This Row],[Age]]&lt;30,"25-29",IF(Table1[[#This Row],[Age]]&lt;35,"30-34",IF(Table1[[#This Row],[Age]]&lt;40,"35-39",IF(Table1[[#This Row],[Age]]&lt;50,"40-49","50+")))))</f>
        <v>50+</v>
      </c>
    </row>
    <row r="739" spans="1:20" x14ac:dyDescent="0.35">
      <c r="A739">
        <v>1738</v>
      </c>
      <c r="B739" t="s">
        <v>67</v>
      </c>
      <c r="C739" t="s">
        <v>61</v>
      </c>
      <c r="D739" t="s">
        <v>17</v>
      </c>
      <c r="E739">
        <v>56</v>
      </c>
      <c r="F739" t="s">
        <v>33</v>
      </c>
      <c r="G739" t="s">
        <v>19</v>
      </c>
      <c r="H739" t="s">
        <v>56</v>
      </c>
      <c r="I739" s="1">
        <v>88837</v>
      </c>
      <c r="J739" t="s">
        <v>1744</v>
      </c>
      <c r="K739" t="s">
        <v>21</v>
      </c>
      <c r="L739">
        <v>4</v>
      </c>
      <c r="M739">
        <v>3</v>
      </c>
      <c r="N739" t="s">
        <v>23</v>
      </c>
      <c r="O739" t="s">
        <v>23</v>
      </c>
      <c r="P739" t="s">
        <v>986</v>
      </c>
      <c r="Q739" s="9" t="str">
        <f t="shared" si="23"/>
        <v>Valid</v>
      </c>
      <c r="R739">
        <v>9342171171</v>
      </c>
      <c r="S739" s="7" t="str">
        <f t="shared" si="22"/>
        <v>Valid</v>
      </c>
      <c r="T739" t="str">
        <f>IF(Table1[[#This Row],[Age]]&lt;25,"18-24",IF(Table1[[#This Row],[Age]]&lt;30,"25-29",IF(Table1[[#This Row],[Age]]&lt;35,"30-34",IF(Table1[[#This Row],[Age]]&lt;40,"35-39",IF(Table1[[#This Row],[Age]]&lt;50,"40-49","50+")))))</f>
        <v>50+</v>
      </c>
    </row>
    <row r="740" spans="1:20" x14ac:dyDescent="0.35">
      <c r="A740">
        <v>1739</v>
      </c>
      <c r="B740" t="s">
        <v>42</v>
      </c>
      <c r="C740" t="s">
        <v>43</v>
      </c>
      <c r="D740" t="s">
        <v>27</v>
      </c>
      <c r="E740">
        <v>58</v>
      </c>
      <c r="F740" t="s">
        <v>33</v>
      </c>
      <c r="G740" t="s">
        <v>77</v>
      </c>
      <c r="H740" t="s">
        <v>20</v>
      </c>
      <c r="I740" s="1">
        <v>94519</v>
      </c>
      <c r="J740" t="s">
        <v>987</v>
      </c>
      <c r="K740" t="s">
        <v>49</v>
      </c>
      <c r="L740">
        <v>15</v>
      </c>
      <c r="M740">
        <v>3</v>
      </c>
      <c r="N740" t="s">
        <v>23</v>
      </c>
      <c r="O740" t="s">
        <v>23</v>
      </c>
      <c r="P740" t="s">
        <v>988</v>
      </c>
      <c r="Q740" s="9" t="str">
        <f t="shared" si="23"/>
        <v>Valid</v>
      </c>
      <c r="R740">
        <v>9908557748</v>
      </c>
      <c r="S740" s="7" t="str">
        <f t="shared" si="22"/>
        <v>Valid</v>
      </c>
      <c r="T740" t="str">
        <f>IF(Table1[[#This Row],[Age]]&lt;25,"18-24",IF(Table1[[#This Row],[Age]]&lt;30,"25-29",IF(Table1[[#This Row],[Age]]&lt;35,"30-34",IF(Table1[[#This Row],[Age]]&lt;40,"35-39",IF(Table1[[#This Row],[Age]]&lt;50,"40-49","50+")))))</f>
        <v>50+</v>
      </c>
    </row>
    <row r="741" spans="1:20" x14ac:dyDescent="0.35">
      <c r="A741">
        <v>1740</v>
      </c>
      <c r="B741" t="s">
        <v>54</v>
      </c>
      <c r="C741" t="s">
        <v>16</v>
      </c>
      <c r="D741" t="s">
        <v>27</v>
      </c>
      <c r="E741">
        <v>23</v>
      </c>
      <c r="F741" t="s">
        <v>18</v>
      </c>
      <c r="G741" t="s">
        <v>55</v>
      </c>
      <c r="H741" t="s">
        <v>56</v>
      </c>
      <c r="I741" s="1">
        <v>69844</v>
      </c>
      <c r="J741" t="s">
        <v>1745</v>
      </c>
      <c r="K741" t="s">
        <v>21</v>
      </c>
      <c r="L741">
        <v>18</v>
      </c>
      <c r="M741">
        <v>1</v>
      </c>
      <c r="N741" t="s">
        <v>22</v>
      </c>
      <c r="O741" t="s">
        <v>23</v>
      </c>
      <c r="P741" t="s">
        <v>989</v>
      </c>
      <c r="Q741" s="9" t="str">
        <f t="shared" si="23"/>
        <v>Invalid</v>
      </c>
      <c r="R741">
        <v>9255657994</v>
      </c>
      <c r="S741" s="7" t="str">
        <f t="shared" si="22"/>
        <v>Valid</v>
      </c>
      <c r="T741" t="str">
        <f>IF(Table1[[#This Row],[Age]]&lt;25,"18-24",IF(Table1[[#This Row],[Age]]&lt;30,"25-29",IF(Table1[[#This Row],[Age]]&lt;35,"30-34",IF(Table1[[#This Row],[Age]]&lt;40,"35-39",IF(Table1[[#This Row],[Age]]&lt;50,"40-49","50+")))))</f>
        <v>18-24</v>
      </c>
    </row>
    <row r="742" spans="1:20" x14ac:dyDescent="0.35">
      <c r="A742">
        <v>1741</v>
      </c>
      <c r="B742" t="s">
        <v>67</v>
      </c>
      <c r="C742" t="s">
        <v>26</v>
      </c>
      <c r="D742" t="s">
        <v>17</v>
      </c>
      <c r="E742">
        <v>49</v>
      </c>
      <c r="F742" t="s">
        <v>38</v>
      </c>
      <c r="G742" t="s">
        <v>55</v>
      </c>
      <c r="H742" t="s">
        <v>56</v>
      </c>
      <c r="I742" s="1">
        <v>100154</v>
      </c>
      <c r="J742" t="s">
        <v>1746</v>
      </c>
      <c r="K742" t="s">
        <v>30</v>
      </c>
      <c r="L742">
        <v>10</v>
      </c>
      <c r="M742">
        <v>2</v>
      </c>
      <c r="N742" t="s">
        <v>23</v>
      </c>
      <c r="O742" t="s">
        <v>23</v>
      </c>
      <c r="P742" t="s">
        <v>990</v>
      </c>
      <c r="Q742" s="9" t="str">
        <f t="shared" si="23"/>
        <v>Valid</v>
      </c>
      <c r="R742">
        <v>9492776027</v>
      </c>
      <c r="S742" s="7" t="str">
        <f t="shared" si="22"/>
        <v>Valid</v>
      </c>
      <c r="T742" t="str">
        <f>IF(Table1[[#This Row],[Age]]&lt;25,"18-24",IF(Table1[[#This Row],[Age]]&lt;30,"25-29",IF(Table1[[#This Row],[Age]]&lt;35,"30-34",IF(Table1[[#This Row],[Age]]&lt;40,"35-39",IF(Table1[[#This Row],[Age]]&lt;50,"40-49","50+")))))</f>
        <v>40-49</v>
      </c>
    </row>
    <row r="743" spans="1:20" x14ac:dyDescent="0.35">
      <c r="A743">
        <v>1742</v>
      </c>
      <c r="B743" t="s">
        <v>64</v>
      </c>
      <c r="C743" t="s">
        <v>32</v>
      </c>
      <c r="D743" t="s">
        <v>27</v>
      </c>
      <c r="E743">
        <v>50</v>
      </c>
      <c r="F743" t="s">
        <v>33</v>
      </c>
      <c r="G743" t="s">
        <v>39</v>
      </c>
      <c r="H743" t="s">
        <v>35</v>
      </c>
      <c r="I743" s="1">
        <v>89537</v>
      </c>
      <c r="J743" t="s">
        <v>1747</v>
      </c>
      <c r="K743" t="s">
        <v>21</v>
      </c>
      <c r="L743">
        <v>6</v>
      </c>
      <c r="M743">
        <v>5</v>
      </c>
      <c r="N743" t="s">
        <v>23</v>
      </c>
      <c r="O743" t="s">
        <v>23</v>
      </c>
      <c r="P743" s="3" t="s">
        <v>1318</v>
      </c>
      <c r="Q743" s="9" t="str">
        <f t="shared" si="23"/>
        <v>Invalid</v>
      </c>
      <c r="R743">
        <v>9664736671</v>
      </c>
      <c r="S743" s="7" t="str">
        <f t="shared" si="22"/>
        <v>Valid</v>
      </c>
      <c r="T743" t="str">
        <f>IF(Table1[[#This Row],[Age]]&lt;25,"18-24",IF(Table1[[#This Row],[Age]]&lt;30,"25-29",IF(Table1[[#This Row],[Age]]&lt;35,"30-34",IF(Table1[[#This Row],[Age]]&lt;40,"35-39",IF(Table1[[#This Row],[Age]]&lt;50,"40-49","50+")))))</f>
        <v>50+</v>
      </c>
    </row>
    <row r="744" spans="1:20" x14ac:dyDescent="0.35">
      <c r="A744">
        <v>1743</v>
      </c>
      <c r="B744" t="s">
        <v>25</v>
      </c>
      <c r="C744" t="s">
        <v>26</v>
      </c>
      <c r="D744" t="s">
        <v>17</v>
      </c>
      <c r="E744">
        <v>54</v>
      </c>
      <c r="F744" t="s">
        <v>33</v>
      </c>
      <c r="G744" t="s">
        <v>55</v>
      </c>
      <c r="H744" t="s">
        <v>44</v>
      </c>
      <c r="I744" s="1">
        <v>39204</v>
      </c>
      <c r="J744" t="s">
        <v>991</v>
      </c>
      <c r="K744" t="s">
        <v>49</v>
      </c>
      <c r="L744">
        <v>13</v>
      </c>
      <c r="M744">
        <v>3</v>
      </c>
      <c r="N744" t="s">
        <v>22</v>
      </c>
      <c r="O744" t="s">
        <v>23</v>
      </c>
      <c r="P744" t="s">
        <v>992</v>
      </c>
      <c r="Q744" s="9" t="str">
        <f t="shared" si="23"/>
        <v>Valid</v>
      </c>
      <c r="R744">
        <v>9666717797</v>
      </c>
      <c r="S744" s="7" t="str">
        <f t="shared" si="22"/>
        <v>Valid</v>
      </c>
      <c r="T744" t="str">
        <f>IF(Table1[[#This Row],[Age]]&lt;25,"18-24",IF(Table1[[#This Row],[Age]]&lt;30,"25-29",IF(Table1[[#This Row],[Age]]&lt;35,"30-34",IF(Table1[[#This Row],[Age]]&lt;40,"35-39",IF(Table1[[#This Row],[Age]]&lt;50,"40-49","50+")))))</f>
        <v>50+</v>
      </c>
    </row>
    <row r="745" spans="1:20" x14ac:dyDescent="0.35">
      <c r="A745">
        <v>1744</v>
      </c>
      <c r="B745" t="s">
        <v>67</v>
      </c>
      <c r="C745" t="s">
        <v>32</v>
      </c>
      <c r="D745" t="s">
        <v>27</v>
      </c>
      <c r="E745">
        <v>44</v>
      </c>
      <c r="F745" t="s">
        <v>33</v>
      </c>
      <c r="G745" t="s">
        <v>39</v>
      </c>
      <c r="H745" t="s">
        <v>35</v>
      </c>
      <c r="I745" s="2" t="s">
        <v>1316</v>
      </c>
      <c r="J745" t="s">
        <v>1748</v>
      </c>
      <c r="K745" t="s">
        <v>49</v>
      </c>
      <c r="L745">
        <v>19</v>
      </c>
      <c r="M745">
        <v>5</v>
      </c>
      <c r="N745" t="s">
        <v>23</v>
      </c>
      <c r="O745" t="s">
        <v>22</v>
      </c>
      <c r="P745" t="s">
        <v>993</v>
      </c>
      <c r="Q745" s="9" t="str">
        <f t="shared" si="23"/>
        <v>Valid</v>
      </c>
      <c r="R745">
        <v>9847614442</v>
      </c>
      <c r="S745" s="7" t="str">
        <f t="shared" si="22"/>
        <v>Valid</v>
      </c>
      <c r="T745" t="str">
        <f>IF(Table1[[#This Row],[Age]]&lt;25,"18-24",IF(Table1[[#This Row],[Age]]&lt;30,"25-29",IF(Table1[[#This Row],[Age]]&lt;35,"30-34",IF(Table1[[#This Row],[Age]]&lt;40,"35-39",IF(Table1[[#This Row],[Age]]&lt;50,"40-49","50+")))))</f>
        <v>40-49</v>
      </c>
    </row>
    <row r="746" spans="1:20" x14ac:dyDescent="0.35">
      <c r="A746">
        <v>1745</v>
      </c>
      <c r="B746" t="s">
        <v>15</v>
      </c>
      <c r="C746" t="s">
        <v>26</v>
      </c>
      <c r="D746" t="s">
        <v>27</v>
      </c>
      <c r="E746">
        <v>41</v>
      </c>
      <c r="F746" t="s">
        <v>62</v>
      </c>
      <c r="G746" t="s">
        <v>55</v>
      </c>
      <c r="H746" t="s">
        <v>35</v>
      </c>
      <c r="I746" s="1">
        <v>31641</v>
      </c>
      <c r="J746" t="s">
        <v>1749</v>
      </c>
      <c r="K746" t="s">
        <v>46</v>
      </c>
      <c r="L746">
        <v>11</v>
      </c>
      <c r="M746">
        <v>2</v>
      </c>
      <c r="N746" t="s">
        <v>22</v>
      </c>
      <c r="O746" t="s">
        <v>22</v>
      </c>
      <c r="P746" t="s">
        <v>994</v>
      </c>
      <c r="Q746" s="9" t="str">
        <f t="shared" si="23"/>
        <v>Valid</v>
      </c>
      <c r="R746">
        <v>9035617686</v>
      </c>
      <c r="S746" s="7" t="str">
        <f t="shared" si="22"/>
        <v>Valid</v>
      </c>
      <c r="T746" t="str">
        <f>IF(Table1[[#This Row],[Age]]&lt;25,"18-24",IF(Table1[[#This Row],[Age]]&lt;30,"25-29",IF(Table1[[#This Row],[Age]]&lt;35,"30-34",IF(Table1[[#This Row],[Age]]&lt;40,"35-39",IF(Table1[[#This Row],[Age]]&lt;50,"40-49","50+")))))</f>
        <v>40-49</v>
      </c>
    </row>
    <row r="747" spans="1:20" x14ac:dyDescent="0.35">
      <c r="A747">
        <v>1746</v>
      </c>
      <c r="B747" t="s">
        <v>54</v>
      </c>
      <c r="C747" t="s">
        <v>26</v>
      </c>
      <c r="D747" t="s">
        <v>27</v>
      </c>
      <c r="E747">
        <v>55</v>
      </c>
      <c r="F747" t="s">
        <v>69</v>
      </c>
      <c r="G747" t="s">
        <v>77</v>
      </c>
      <c r="H747" t="s">
        <v>44</v>
      </c>
      <c r="I747" s="1">
        <v>28054</v>
      </c>
      <c r="J747" t="s">
        <v>1750</v>
      </c>
      <c r="K747" t="s">
        <v>30</v>
      </c>
      <c r="L747">
        <v>7</v>
      </c>
      <c r="M747">
        <v>3</v>
      </c>
      <c r="N747" t="s">
        <v>22</v>
      </c>
      <c r="O747" t="s">
        <v>23</v>
      </c>
      <c r="P747" t="s">
        <v>995</v>
      </c>
      <c r="Q747" s="9" t="str">
        <f t="shared" si="23"/>
        <v>Valid</v>
      </c>
      <c r="R747">
        <v>9397305760</v>
      </c>
      <c r="S747" s="7" t="str">
        <f t="shared" si="22"/>
        <v>Valid</v>
      </c>
      <c r="T747" t="str">
        <f>IF(Table1[[#This Row],[Age]]&lt;25,"18-24",IF(Table1[[#This Row],[Age]]&lt;30,"25-29",IF(Table1[[#This Row],[Age]]&lt;35,"30-34",IF(Table1[[#This Row],[Age]]&lt;40,"35-39",IF(Table1[[#This Row],[Age]]&lt;50,"40-49","50+")))))</f>
        <v>50+</v>
      </c>
    </row>
    <row r="748" spans="1:20" x14ac:dyDescent="0.35">
      <c r="A748">
        <v>1747</v>
      </c>
      <c r="B748" t="s">
        <v>67</v>
      </c>
      <c r="C748" t="s">
        <v>26</v>
      </c>
      <c r="D748" t="s">
        <v>27</v>
      </c>
      <c r="E748">
        <v>40</v>
      </c>
      <c r="F748" t="s">
        <v>18</v>
      </c>
      <c r="G748" t="s">
        <v>77</v>
      </c>
      <c r="H748" t="s">
        <v>20</v>
      </c>
      <c r="I748" s="1">
        <v>91377</v>
      </c>
      <c r="J748" t="s">
        <v>996</v>
      </c>
      <c r="K748" t="s">
        <v>21</v>
      </c>
      <c r="L748">
        <v>14</v>
      </c>
      <c r="M748">
        <v>4</v>
      </c>
      <c r="N748" t="s">
        <v>22</v>
      </c>
      <c r="O748" t="s">
        <v>22</v>
      </c>
      <c r="P748" t="s">
        <v>997</v>
      </c>
      <c r="Q748" s="9" t="str">
        <f t="shared" si="23"/>
        <v>Valid</v>
      </c>
      <c r="R748">
        <v>9121929643</v>
      </c>
      <c r="S748" s="7" t="str">
        <f t="shared" si="22"/>
        <v>Valid</v>
      </c>
      <c r="T748" t="str">
        <f>IF(Table1[[#This Row],[Age]]&lt;25,"18-24",IF(Table1[[#This Row],[Age]]&lt;30,"25-29",IF(Table1[[#This Row],[Age]]&lt;35,"30-34",IF(Table1[[#This Row],[Age]]&lt;40,"35-39",IF(Table1[[#This Row],[Age]]&lt;50,"40-49","50+")))))</f>
        <v>40-49</v>
      </c>
    </row>
    <row r="749" spans="1:20" x14ac:dyDescent="0.35">
      <c r="A749">
        <v>1748</v>
      </c>
      <c r="B749" t="s">
        <v>15</v>
      </c>
      <c r="C749" t="s">
        <v>32</v>
      </c>
      <c r="D749" t="s">
        <v>17</v>
      </c>
      <c r="E749">
        <v>26</v>
      </c>
      <c r="F749" t="s">
        <v>69</v>
      </c>
      <c r="G749" t="s">
        <v>55</v>
      </c>
      <c r="H749" t="s">
        <v>28</v>
      </c>
      <c r="I749" s="1">
        <v>25564</v>
      </c>
      <c r="J749" t="s">
        <v>1751</v>
      </c>
      <c r="K749" t="s">
        <v>46</v>
      </c>
      <c r="L749">
        <v>21</v>
      </c>
      <c r="M749">
        <v>5</v>
      </c>
      <c r="N749" t="s">
        <v>23</v>
      </c>
      <c r="O749" t="s">
        <v>22</v>
      </c>
      <c r="P749" t="s">
        <v>998</v>
      </c>
      <c r="Q749" s="9" t="str">
        <f t="shared" si="23"/>
        <v>Valid</v>
      </c>
      <c r="R749">
        <v>9092185430</v>
      </c>
      <c r="S749" s="7" t="str">
        <f t="shared" si="22"/>
        <v>Valid</v>
      </c>
      <c r="T749" t="str">
        <f>IF(Table1[[#This Row],[Age]]&lt;25,"18-24",IF(Table1[[#This Row],[Age]]&lt;30,"25-29",IF(Table1[[#This Row],[Age]]&lt;35,"30-34",IF(Table1[[#This Row],[Age]]&lt;40,"35-39",IF(Table1[[#This Row],[Age]]&lt;50,"40-49","50+")))))</f>
        <v>25-29</v>
      </c>
    </row>
    <row r="750" spans="1:20" x14ac:dyDescent="0.35">
      <c r="A750">
        <v>1749</v>
      </c>
      <c r="B750" t="s">
        <v>82</v>
      </c>
      <c r="C750" t="s">
        <v>16</v>
      </c>
      <c r="D750" t="s">
        <v>27</v>
      </c>
      <c r="E750">
        <v>31</v>
      </c>
      <c r="F750" t="s">
        <v>33</v>
      </c>
      <c r="G750" t="s">
        <v>19</v>
      </c>
      <c r="H750" t="s">
        <v>44</v>
      </c>
      <c r="I750" s="1">
        <v>104979</v>
      </c>
      <c r="J750" t="s">
        <v>1752</v>
      </c>
      <c r="K750" t="s">
        <v>21</v>
      </c>
      <c r="L750">
        <v>16</v>
      </c>
      <c r="M750">
        <v>5</v>
      </c>
      <c r="N750" t="s">
        <v>23</v>
      </c>
      <c r="O750" t="s">
        <v>23</v>
      </c>
      <c r="P750" t="s">
        <v>999</v>
      </c>
      <c r="Q750" s="9" t="str">
        <f t="shared" si="23"/>
        <v>Invalid</v>
      </c>
      <c r="R750">
        <v>9416094229</v>
      </c>
      <c r="S750" s="7" t="str">
        <f t="shared" si="22"/>
        <v>Valid</v>
      </c>
      <c r="T750" t="str">
        <f>IF(Table1[[#This Row],[Age]]&lt;25,"18-24",IF(Table1[[#This Row],[Age]]&lt;30,"25-29",IF(Table1[[#This Row],[Age]]&lt;35,"30-34",IF(Table1[[#This Row],[Age]]&lt;40,"35-39",IF(Table1[[#This Row],[Age]]&lt;50,"40-49","50+")))))</f>
        <v>30-34</v>
      </c>
    </row>
    <row r="751" spans="1:20" x14ac:dyDescent="0.35">
      <c r="A751">
        <v>1750</v>
      </c>
      <c r="B751" t="s">
        <v>82</v>
      </c>
      <c r="C751" t="s">
        <v>26</v>
      </c>
      <c r="D751" t="s">
        <v>17</v>
      </c>
      <c r="E751">
        <v>40</v>
      </c>
      <c r="F751" t="s">
        <v>18</v>
      </c>
      <c r="G751" t="s">
        <v>34</v>
      </c>
      <c r="H751" t="s">
        <v>56</v>
      </c>
      <c r="I751" s="1">
        <v>77835</v>
      </c>
      <c r="J751" t="s">
        <v>1753</v>
      </c>
      <c r="K751" t="s">
        <v>30</v>
      </c>
      <c r="L751">
        <v>4</v>
      </c>
      <c r="M751">
        <v>1</v>
      </c>
      <c r="N751" t="s">
        <v>23</v>
      </c>
      <c r="O751" t="s">
        <v>22</v>
      </c>
      <c r="P751" t="s">
        <v>1000</v>
      </c>
      <c r="Q751" s="9" t="str">
        <f t="shared" si="23"/>
        <v>Valid</v>
      </c>
      <c r="R751">
        <v>9795048940</v>
      </c>
      <c r="S751" s="7" t="str">
        <f t="shared" si="22"/>
        <v>Valid</v>
      </c>
      <c r="T751" t="str">
        <f>IF(Table1[[#This Row],[Age]]&lt;25,"18-24",IF(Table1[[#This Row],[Age]]&lt;30,"25-29",IF(Table1[[#This Row],[Age]]&lt;35,"30-34",IF(Table1[[#This Row],[Age]]&lt;40,"35-39",IF(Table1[[#This Row],[Age]]&lt;50,"40-49","50+")))))</f>
        <v>40-49</v>
      </c>
    </row>
    <row r="752" spans="1:20" x14ac:dyDescent="0.35">
      <c r="A752">
        <v>1751</v>
      </c>
      <c r="B752" t="s">
        <v>60</v>
      </c>
      <c r="C752" t="s">
        <v>16</v>
      </c>
      <c r="D752" t="s">
        <v>27</v>
      </c>
      <c r="E752">
        <v>29</v>
      </c>
      <c r="F752" t="s">
        <v>38</v>
      </c>
      <c r="G752" t="s">
        <v>77</v>
      </c>
      <c r="H752" t="s">
        <v>44</v>
      </c>
      <c r="I752" s="1">
        <v>68482</v>
      </c>
      <c r="J752" t="s">
        <v>1001</v>
      </c>
      <c r="K752" t="s">
        <v>30</v>
      </c>
      <c r="L752">
        <v>2</v>
      </c>
      <c r="M752">
        <v>2</v>
      </c>
      <c r="N752" t="s">
        <v>22</v>
      </c>
      <c r="O752" t="s">
        <v>22</v>
      </c>
      <c r="P752" t="s">
        <v>1002</v>
      </c>
      <c r="Q752" s="9" t="str">
        <f t="shared" si="23"/>
        <v>Invalid</v>
      </c>
      <c r="R752">
        <v>9784687935</v>
      </c>
      <c r="S752" s="7" t="str">
        <f t="shared" si="22"/>
        <v>Valid</v>
      </c>
      <c r="T752" t="str">
        <f>IF(Table1[[#This Row],[Age]]&lt;25,"18-24",IF(Table1[[#This Row],[Age]]&lt;30,"25-29",IF(Table1[[#This Row],[Age]]&lt;35,"30-34",IF(Table1[[#This Row],[Age]]&lt;40,"35-39",IF(Table1[[#This Row],[Age]]&lt;50,"40-49","50+")))))</f>
        <v>25-29</v>
      </c>
    </row>
    <row r="753" spans="1:20" x14ac:dyDescent="0.35">
      <c r="A753">
        <v>1752</v>
      </c>
      <c r="B753" t="s">
        <v>42</v>
      </c>
      <c r="C753" t="s">
        <v>32</v>
      </c>
      <c r="D753" t="s">
        <v>17</v>
      </c>
      <c r="E753">
        <v>32</v>
      </c>
      <c r="F753" t="s">
        <v>38</v>
      </c>
      <c r="G753" t="s">
        <v>55</v>
      </c>
      <c r="H753" t="s">
        <v>35</v>
      </c>
      <c r="I753" s="1">
        <v>101174</v>
      </c>
      <c r="J753" t="s">
        <v>1003</v>
      </c>
      <c r="K753" t="s">
        <v>49</v>
      </c>
      <c r="L753">
        <v>9</v>
      </c>
      <c r="M753">
        <v>5</v>
      </c>
      <c r="N753" t="s">
        <v>22</v>
      </c>
      <c r="O753" t="s">
        <v>23</v>
      </c>
      <c r="P753" t="s">
        <v>1004</v>
      </c>
      <c r="Q753" s="9" t="str">
        <f t="shared" si="23"/>
        <v>Valid</v>
      </c>
      <c r="R753">
        <v>9778297830</v>
      </c>
      <c r="S753" s="7" t="str">
        <f t="shared" si="22"/>
        <v>Valid</v>
      </c>
      <c r="T753" t="str">
        <f>IF(Table1[[#This Row],[Age]]&lt;25,"18-24",IF(Table1[[#This Row],[Age]]&lt;30,"25-29",IF(Table1[[#This Row],[Age]]&lt;35,"30-34",IF(Table1[[#This Row],[Age]]&lt;40,"35-39",IF(Table1[[#This Row],[Age]]&lt;50,"40-49","50+")))))</f>
        <v>30-34</v>
      </c>
    </row>
    <row r="754" spans="1:20" x14ac:dyDescent="0.35">
      <c r="A754">
        <v>1753</v>
      </c>
      <c r="B754" t="s">
        <v>82</v>
      </c>
      <c r="C754" t="s">
        <v>26</v>
      </c>
      <c r="D754" t="s">
        <v>17</v>
      </c>
      <c r="E754">
        <v>25</v>
      </c>
      <c r="F754" t="s">
        <v>38</v>
      </c>
      <c r="G754" t="s">
        <v>77</v>
      </c>
      <c r="H754" t="s">
        <v>28</v>
      </c>
      <c r="I754" s="1">
        <v>115275</v>
      </c>
      <c r="J754" t="s">
        <v>1754</v>
      </c>
      <c r="K754" t="s">
        <v>30</v>
      </c>
      <c r="L754">
        <v>9</v>
      </c>
      <c r="M754">
        <v>3</v>
      </c>
      <c r="N754" t="s">
        <v>22</v>
      </c>
      <c r="O754" t="s">
        <v>23</v>
      </c>
      <c r="P754" t="s">
        <v>1005</v>
      </c>
      <c r="Q754" s="9" t="str">
        <f t="shared" si="23"/>
        <v>Valid</v>
      </c>
      <c r="R754">
        <v>9806311666</v>
      </c>
      <c r="S754" s="7" t="str">
        <f t="shared" si="22"/>
        <v>Valid</v>
      </c>
      <c r="T754" t="str">
        <f>IF(Table1[[#This Row],[Age]]&lt;25,"18-24",IF(Table1[[#This Row],[Age]]&lt;30,"25-29",IF(Table1[[#This Row],[Age]]&lt;35,"30-34",IF(Table1[[#This Row],[Age]]&lt;40,"35-39",IF(Table1[[#This Row],[Age]]&lt;50,"40-49","50+")))))</f>
        <v>25-29</v>
      </c>
    </row>
    <row r="755" spans="1:20" x14ac:dyDescent="0.35">
      <c r="A755">
        <v>1754</v>
      </c>
      <c r="B755" t="s">
        <v>67</v>
      </c>
      <c r="C755" t="s">
        <v>43</v>
      </c>
      <c r="D755" t="s">
        <v>27</v>
      </c>
      <c r="E755">
        <v>29</v>
      </c>
      <c r="F755" t="s">
        <v>62</v>
      </c>
      <c r="G755" t="s">
        <v>55</v>
      </c>
      <c r="H755" t="s">
        <v>28</v>
      </c>
      <c r="I755" s="1">
        <v>82510</v>
      </c>
      <c r="J755" t="s">
        <v>1612</v>
      </c>
      <c r="K755" t="s">
        <v>40</v>
      </c>
      <c r="L755">
        <v>21</v>
      </c>
      <c r="M755">
        <v>2</v>
      </c>
      <c r="N755" t="s">
        <v>22</v>
      </c>
      <c r="O755" t="s">
        <v>23</v>
      </c>
      <c r="P755" t="s">
        <v>1006</v>
      </c>
      <c r="Q755" s="9" t="str">
        <f t="shared" si="23"/>
        <v>Valid</v>
      </c>
      <c r="R755">
        <v>9280797328</v>
      </c>
      <c r="S755" s="7" t="str">
        <f t="shared" si="22"/>
        <v>Valid</v>
      </c>
      <c r="T755" t="str">
        <f>IF(Table1[[#This Row],[Age]]&lt;25,"18-24",IF(Table1[[#This Row],[Age]]&lt;30,"25-29",IF(Table1[[#This Row],[Age]]&lt;35,"30-34",IF(Table1[[#This Row],[Age]]&lt;40,"35-39",IF(Table1[[#This Row],[Age]]&lt;50,"40-49","50+")))))</f>
        <v>25-29</v>
      </c>
    </row>
    <row r="756" spans="1:20" x14ac:dyDescent="0.35">
      <c r="A756">
        <v>1755</v>
      </c>
      <c r="B756" t="s">
        <v>15</v>
      </c>
      <c r="C756" t="s">
        <v>16</v>
      </c>
      <c r="D756" t="s">
        <v>27</v>
      </c>
      <c r="E756">
        <v>38</v>
      </c>
      <c r="F756" t="s">
        <v>69</v>
      </c>
      <c r="G756" t="s">
        <v>19</v>
      </c>
      <c r="H756" t="s">
        <v>20</v>
      </c>
      <c r="I756" s="1">
        <v>46354</v>
      </c>
      <c r="J756" t="s">
        <v>582</v>
      </c>
      <c r="K756" t="s">
        <v>49</v>
      </c>
      <c r="L756">
        <v>24</v>
      </c>
      <c r="M756">
        <v>3</v>
      </c>
      <c r="N756" t="s">
        <v>22</v>
      </c>
      <c r="O756" t="s">
        <v>22</v>
      </c>
      <c r="P756" t="s">
        <v>1007</v>
      </c>
      <c r="Q756" s="9" t="str">
        <f t="shared" si="23"/>
        <v>Valid</v>
      </c>
      <c r="R756">
        <v>9139879142</v>
      </c>
      <c r="S756" s="7" t="str">
        <f t="shared" si="22"/>
        <v>Valid</v>
      </c>
      <c r="T756" t="str">
        <f>IF(Table1[[#This Row],[Age]]&lt;25,"18-24",IF(Table1[[#This Row],[Age]]&lt;30,"25-29",IF(Table1[[#This Row],[Age]]&lt;35,"30-34",IF(Table1[[#This Row],[Age]]&lt;40,"35-39",IF(Table1[[#This Row],[Age]]&lt;50,"40-49","50+")))))</f>
        <v>35-39</v>
      </c>
    </row>
    <row r="757" spans="1:20" x14ac:dyDescent="0.35">
      <c r="A757">
        <v>1756</v>
      </c>
      <c r="B757" t="s">
        <v>60</v>
      </c>
      <c r="C757" t="s">
        <v>16</v>
      </c>
      <c r="D757" t="s">
        <v>27</v>
      </c>
      <c r="E757">
        <v>51</v>
      </c>
      <c r="F757" t="s">
        <v>69</v>
      </c>
      <c r="G757" t="s">
        <v>39</v>
      </c>
      <c r="H757" t="s">
        <v>28</v>
      </c>
      <c r="I757" s="1">
        <v>45595</v>
      </c>
      <c r="J757" t="s">
        <v>1755</v>
      </c>
      <c r="K757" t="s">
        <v>49</v>
      </c>
      <c r="L757">
        <v>11</v>
      </c>
      <c r="M757">
        <v>4</v>
      </c>
      <c r="N757" t="s">
        <v>23</v>
      </c>
      <c r="O757" t="s">
        <v>23</v>
      </c>
      <c r="P757" t="s">
        <v>1008</v>
      </c>
      <c r="Q757" s="9" t="str">
        <f t="shared" si="23"/>
        <v>Invalid</v>
      </c>
      <c r="R757">
        <v>9111369599</v>
      </c>
      <c r="S757" s="7" t="str">
        <f t="shared" si="22"/>
        <v>Valid</v>
      </c>
      <c r="T757" t="str">
        <f>IF(Table1[[#This Row],[Age]]&lt;25,"18-24",IF(Table1[[#This Row],[Age]]&lt;30,"25-29",IF(Table1[[#This Row],[Age]]&lt;35,"30-34",IF(Table1[[#This Row],[Age]]&lt;40,"35-39",IF(Table1[[#This Row],[Age]]&lt;50,"40-49","50+")))))</f>
        <v>50+</v>
      </c>
    </row>
    <row r="758" spans="1:20" x14ac:dyDescent="0.35">
      <c r="A758">
        <v>1757</v>
      </c>
      <c r="B758" t="s">
        <v>37</v>
      </c>
      <c r="C758" t="s">
        <v>16</v>
      </c>
      <c r="D758" t="s">
        <v>17</v>
      </c>
      <c r="E758">
        <v>27</v>
      </c>
      <c r="F758" t="s">
        <v>38</v>
      </c>
      <c r="G758" t="s">
        <v>55</v>
      </c>
      <c r="H758" t="s">
        <v>56</v>
      </c>
      <c r="I758" s="1">
        <v>-82594</v>
      </c>
      <c r="J758" t="s">
        <v>1257</v>
      </c>
      <c r="K758" t="s">
        <v>40</v>
      </c>
      <c r="L758">
        <v>12</v>
      </c>
      <c r="M758">
        <v>2</v>
      </c>
      <c r="N758" t="s">
        <v>23</v>
      </c>
      <c r="O758" t="s">
        <v>23</v>
      </c>
      <c r="P758" t="s">
        <v>1009</v>
      </c>
      <c r="Q758" s="9" t="str">
        <f t="shared" si="23"/>
        <v>Valid</v>
      </c>
      <c r="R758">
        <v>9822211936</v>
      </c>
      <c r="S758" s="7" t="str">
        <f t="shared" si="22"/>
        <v>Valid</v>
      </c>
      <c r="T758" t="str">
        <f>IF(Table1[[#This Row],[Age]]&lt;25,"18-24",IF(Table1[[#This Row],[Age]]&lt;30,"25-29",IF(Table1[[#This Row],[Age]]&lt;35,"30-34",IF(Table1[[#This Row],[Age]]&lt;40,"35-39",IF(Table1[[#This Row],[Age]]&lt;50,"40-49","50+")))))</f>
        <v>25-29</v>
      </c>
    </row>
    <row r="759" spans="1:20" x14ac:dyDescent="0.35">
      <c r="A759">
        <v>1758</v>
      </c>
      <c r="B759" t="s">
        <v>37</v>
      </c>
      <c r="C759" t="s">
        <v>32</v>
      </c>
      <c r="D759" t="s">
        <v>27</v>
      </c>
      <c r="E759">
        <v>49</v>
      </c>
      <c r="F759" t="s">
        <v>38</v>
      </c>
      <c r="G759" t="s">
        <v>55</v>
      </c>
      <c r="H759" t="s">
        <v>56</v>
      </c>
      <c r="I759" s="1">
        <v>75582</v>
      </c>
      <c r="J759" t="s">
        <v>1756</v>
      </c>
      <c r="K759" t="s">
        <v>49</v>
      </c>
      <c r="L759">
        <v>11</v>
      </c>
      <c r="M759">
        <v>3</v>
      </c>
      <c r="N759" t="s">
        <v>23</v>
      </c>
      <c r="O759" t="s">
        <v>22</v>
      </c>
      <c r="P759" t="s">
        <v>1010</v>
      </c>
      <c r="Q759" s="9" t="str">
        <f t="shared" si="23"/>
        <v>Valid</v>
      </c>
      <c r="R759">
        <v>9573438039</v>
      </c>
      <c r="S759" s="7" t="str">
        <f t="shared" si="22"/>
        <v>Valid</v>
      </c>
      <c r="T759" t="str">
        <f>IF(Table1[[#This Row],[Age]]&lt;25,"18-24",IF(Table1[[#This Row],[Age]]&lt;30,"25-29",IF(Table1[[#This Row],[Age]]&lt;35,"30-34",IF(Table1[[#This Row],[Age]]&lt;40,"35-39",IF(Table1[[#This Row],[Age]]&lt;50,"40-49","50+")))))</f>
        <v>40-49</v>
      </c>
    </row>
    <row r="760" spans="1:20" x14ac:dyDescent="0.35">
      <c r="A760">
        <v>1759</v>
      </c>
      <c r="B760" t="s">
        <v>37</v>
      </c>
      <c r="C760" t="s">
        <v>32</v>
      </c>
      <c r="D760" t="s">
        <v>17</v>
      </c>
      <c r="E760">
        <v>53</v>
      </c>
      <c r="F760" t="s">
        <v>18</v>
      </c>
      <c r="G760" t="s">
        <v>39</v>
      </c>
      <c r="H760" t="s">
        <v>44</v>
      </c>
      <c r="I760" s="1">
        <v>55496</v>
      </c>
      <c r="J760" t="s">
        <v>1475</v>
      </c>
      <c r="K760" t="s">
        <v>40</v>
      </c>
      <c r="L760">
        <v>12</v>
      </c>
      <c r="M760">
        <v>2</v>
      </c>
      <c r="N760" t="s">
        <v>23</v>
      </c>
      <c r="O760" t="s">
        <v>23</v>
      </c>
      <c r="P760" t="s">
        <v>1011</v>
      </c>
      <c r="Q760" s="9" t="str">
        <f t="shared" si="23"/>
        <v>Invalid</v>
      </c>
      <c r="R760">
        <v>9346491214</v>
      </c>
      <c r="S760" s="7" t="str">
        <f t="shared" si="22"/>
        <v>Valid</v>
      </c>
      <c r="T760" t="str">
        <f>IF(Table1[[#This Row],[Age]]&lt;25,"18-24",IF(Table1[[#This Row],[Age]]&lt;30,"25-29",IF(Table1[[#This Row],[Age]]&lt;35,"30-34",IF(Table1[[#This Row],[Age]]&lt;40,"35-39",IF(Table1[[#This Row],[Age]]&lt;50,"40-49","50+")))))</f>
        <v>50+</v>
      </c>
    </row>
    <row r="761" spans="1:20" x14ac:dyDescent="0.35">
      <c r="A761">
        <v>1760</v>
      </c>
      <c r="B761" t="s">
        <v>42</v>
      </c>
      <c r="C761" t="s">
        <v>16</v>
      </c>
      <c r="D761" t="s">
        <v>17</v>
      </c>
      <c r="E761">
        <v>31</v>
      </c>
      <c r="F761" t="s">
        <v>69</v>
      </c>
      <c r="G761" t="s">
        <v>77</v>
      </c>
      <c r="H761" t="s">
        <v>44</v>
      </c>
      <c r="I761" s="1">
        <v>49852</v>
      </c>
      <c r="J761" t="s">
        <v>1218</v>
      </c>
      <c r="K761" t="s">
        <v>46</v>
      </c>
      <c r="L761">
        <v>9</v>
      </c>
      <c r="M761">
        <v>1</v>
      </c>
      <c r="N761" t="s">
        <v>23</v>
      </c>
      <c r="O761" t="s">
        <v>22</v>
      </c>
      <c r="P761" t="s">
        <v>1012</v>
      </c>
      <c r="Q761" s="9" t="str">
        <f t="shared" si="23"/>
        <v>Valid</v>
      </c>
      <c r="R761">
        <v>9511496882</v>
      </c>
      <c r="S761" s="7" t="str">
        <f t="shared" si="22"/>
        <v>Valid</v>
      </c>
      <c r="T761" t="str">
        <f>IF(Table1[[#This Row],[Age]]&lt;25,"18-24",IF(Table1[[#This Row],[Age]]&lt;30,"25-29",IF(Table1[[#This Row],[Age]]&lt;35,"30-34",IF(Table1[[#This Row],[Age]]&lt;40,"35-39",IF(Table1[[#This Row],[Age]]&lt;50,"40-49","50+")))))</f>
        <v>30-34</v>
      </c>
    </row>
    <row r="762" spans="1:20" x14ac:dyDescent="0.35">
      <c r="A762">
        <v>1761</v>
      </c>
      <c r="B762" t="s">
        <v>82</v>
      </c>
      <c r="C762" t="s">
        <v>43</v>
      </c>
      <c r="D762" t="s">
        <v>17</v>
      </c>
      <c r="E762">
        <v>22</v>
      </c>
      <c r="F762" t="s">
        <v>69</v>
      </c>
      <c r="G762" t="s">
        <v>55</v>
      </c>
      <c r="H762" t="s">
        <v>35</v>
      </c>
      <c r="I762" s="1">
        <v>78985</v>
      </c>
      <c r="J762" t="s">
        <v>1757</v>
      </c>
      <c r="K762" t="s">
        <v>46</v>
      </c>
      <c r="L762">
        <v>22</v>
      </c>
      <c r="M762">
        <v>4</v>
      </c>
      <c r="N762" t="s">
        <v>22</v>
      </c>
      <c r="O762" t="s">
        <v>22</v>
      </c>
      <c r="P762" t="s">
        <v>1013</v>
      </c>
      <c r="Q762" s="9" t="str">
        <f t="shared" si="23"/>
        <v>Valid</v>
      </c>
      <c r="R762">
        <v>9616789431</v>
      </c>
      <c r="S762" s="7" t="str">
        <f t="shared" si="22"/>
        <v>Valid</v>
      </c>
      <c r="T762" t="str">
        <f>IF(Table1[[#This Row],[Age]]&lt;25,"18-24",IF(Table1[[#This Row],[Age]]&lt;30,"25-29",IF(Table1[[#This Row],[Age]]&lt;35,"30-34",IF(Table1[[#This Row],[Age]]&lt;40,"35-39",IF(Table1[[#This Row],[Age]]&lt;50,"40-49","50+")))))</f>
        <v>18-24</v>
      </c>
    </row>
    <row r="763" spans="1:20" x14ac:dyDescent="0.35">
      <c r="A763">
        <v>1762</v>
      </c>
      <c r="B763" t="s">
        <v>67</v>
      </c>
      <c r="C763" t="s">
        <v>32</v>
      </c>
      <c r="D763" t="s">
        <v>17</v>
      </c>
      <c r="E763">
        <v>41</v>
      </c>
      <c r="F763" t="s">
        <v>33</v>
      </c>
      <c r="G763" t="s">
        <v>77</v>
      </c>
      <c r="H763" t="s">
        <v>44</v>
      </c>
      <c r="I763" s="1">
        <v>76209</v>
      </c>
      <c r="J763" t="s">
        <v>443</v>
      </c>
      <c r="K763" t="s">
        <v>21</v>
      </c>
      <c r="L763">
        <v>11</v>
      </c>
      <c r="M763">
        <v>4</v>
      </c>
      <c r="N763" t="s">
        <v>23</v>
      </c>
      <c r="O763" t="s">
        <v>23</v>
      </c>
      <c r="P763" t="s">
        <v>1014</v>
      </c>
      <c r="Q763" s="9" t="str">
        <f t="shared" si="23"/>
        <v>Valid</v>
      </c>
      <c r="R763">
        <v>98130824</v>
      </c>
      <c r="S763" s="7" t="str">
        <f t="shared" si="22"/>
        <v>Invalid</v>
      </c>
      <c r="T763" t="str">
        <f>IF(Table1[[#This Row],[Age]]&lt;25,"18-24",IF(Table1[[#This Row],[Age]]&lt;30,"25-29",IF(Table1[[#This Row],[Age]]&lt;35,"30-34",IF(Table1[[#This Row],[Age]]&lt;40,"35-39",IF(Table1[[#This Row],[Age]]&lt;50,"40-49","50+")))))</f>
        <v>40-49</v>
      </c>
    </row>
    <row r="764" spans="1:20" x14ac:dyDescent="0.35">
      <c r="A764">
        <v>1763</v>
      </c>
      <c r="B764" t="s">
        <v>54</v>
      </c>
      <c r="C764" t="s">
        <v>26</v>
      </c>
      <c r="D764" t="s">
        <v>27</v>
      </c>
      <c r="E764">
        <v>23</v>
      </c>
      <c r="F764" t="s">
        <v>33</v>
      </c>
      <c r="G764" t="s">
        <v>55</v>
      </c>
      <c r="H764" t="s">
        <v>20</v>
      </c>
      <c r="I764" s="1">
        <v>111817</v>
      </c>
      <c r="J764" t="s">
        <v>1758</v>
      </c>
      <c r="K764" t="s">
        <v>21</v>
      </c>
      <c r="L764">
        <v>3</v>
      </c>
      <c r="M764">
        <v>1</v>
      </c>
      <c r="N764" t="s">
        <v>23</v>
      </c>
      <c r="O764" t="s">
        <v>23</v>
      </c>
      <c r="P764" t="s">
        <v>1015</v>
      </c>
      <c r="Q764" s="9" t="str">
        <f t="shared" si="23"/>
        <v>Valid</v>
      </c>
      <c r="R764">
        <v>9398921692</v>
      </c>
      <c r="S764" s="7" t="str">
        <f t="shared" si="22"/>
        <v>Valid</v>
      </c>
      <c r="T764" t="str">
        <f>IF(Table1[[#This Row],[Age]]&lt;25,"18-24",IF(Table1[[#This Row],[Age]]&lt;30,"25-29",IF(Table1[[#This Row],[Age]]&lt;35,"30-34",IF(Table1[[#This Row],[Age]]&lt;40,"35-39",IF(Table1[[#This Row],[Age]]&lt;50,"40-49","50+")))))</f>
        <v>18-24</v>
      </c>
    </row>
    <row r="765" spans="1:20" x14ac:dyDescent="0.35">
      <c r="A765">
        <v>1764</v>
      </c>
      <c r="B765" t="s">
        <v>25</v>
      </c>
      <c r="C765" t="s">
        <v>61</v>
      </c>
      <c r="D765" t="s">
        <v>27</v>
      </c>
      <c r="E765">
        <v>43</v>
      </c>
      <c r="F765" t="s">
        <v>62</v>
      </c>
      <c r="G765" t="s">
        <v>34</v>
      </c>
      <c r="H765" t="s">
        <v>35</v>
      </c>
      <c r="I765" s="1">
        <v>48553</v>
      </c>
      <c r="J765" t="s">
        <v>1759</v>
      </c>
      <c r="K765" t="s">
        <v>40</v>
      </c>
      <c r="L765">
        <v>23</v>
      </c>
      <c r="M765">
        <v>4</v>
      </c>
      <c r="N765" t="s">
        <v>23</v>
      </c>
      <c r="O765" t="s">
        <v>23</v>
      </c>
      <c r="P765" t="s">
        <v>1016</v>
      </c>
      <c r="Q765" s="9" t="str">
        <f t="shared" si="23"/>
        <v>Valid</v>
      </c>
      <c r="R765">
        <v>9920778426</v>
      </c>
      <c r="S765" s="7" t="str">
        <f t="shared" si="22"/>
        <v>Valid</v>
      </c>
      <c r="T765" t="str">
        <f>IF(Table1[[#This Row],[Age]]&lt;25,"18-24",IF(Table1[[#This Row],[Age]]&lt;30,"25-29",IF(Table1[[#This Row],[Age]]&lt;35,"30-34",IF(Table1[[#This Row],[Age]]&lt;40,"35-39",IF(Table1[[#This Row],[Age]]&lt;50,"40-49","50+")))))</f>
        <v>40-49</v>
      </c>
    </row>
    <row r="766" spans="1:20" x14ac:dyDescent="0.35">
      <c r="A766">
        <v>1765</v>
      </c>
      <c r="B766" t="s">
        <v>82</v>
      </c>
      <c r="C766" t="s">
        <v>16</v>
      </c>
      <c r="D766" t="s">
        <v>17</v>
      </c>
      <c r="E766">
        <v>57</v>
      </c>
      <c r="F766" t="s">
        <v>69</v>
      </c>
      <c r="G766" t="s">
        <v>19</v>
      </c>
      <c r="H766" t="s">
        <v>20</v>
      </c>
      <c r="I766" s="1">
        <v>115860</v>
      </c>
      <c r="J766" t="s">
        <v>1760</v>
      </c>
      <c r="K766" t="s">
        <v>40</v>
      </c>
      <c r="L766">
        <v>4</v>
      </c>
      <c r="M766">
        <v>2</v>
      </c>
      <c r="N766" t="s">
        <v>22</v>
      </c>
      <c r="O766" t="s">
        <v>22</v>
      </c>
      <c r="P766" t="s">
        <v>1017</v>
      </c>
      <c r="Q766" s="9" t="str">
        <f t="shared" si="23"/>
        <v>Valid</v>
      </c>
      <c r="R766">
        <v>9867041321</v>
      </c>
      <c r="S766" s="7" t="str">
        <f t="shared" si="22"/>
        <v>Valid</v>
      </c>
      <c r="T766" t="str">
        <f>IF(Table1[[#This Row],[Age]]&lt;25,"18-24",IF(Table1[[#This Row],[Age]]&lt;30,"25-29",IF(Table1[[#This Row],[Age]]&lt;35,"30-34",IF(Table1[[#This Row],[Age]]&lt;40,"35-39",IF(Table1[[#This Row],[Age]]&lt;50,"40-49","50+")))))</f>
        <v>50+</v>
      </c>
    </row>
    <row r="767" spans="1:20" x14ac:dyDescent="0.35">
      <c r="A767">
        <v>1766</v>
      </c>
      <c r="B767" t="s">
        <v>42</v>
      </c>
      <c r="C767" t="s">
        <v>32</v>
      </c>
      <c r="D767" t="s">
        <v>27</v>
      </c>
      <c r="E767">
        <v>28</v>
      </c>
      <c r="F767" t="s">
        <v>38</v>
      </c>
      <c r="G767" t="s">
        <v>34</v>
      </c>
      <c r="H767" t="s">
        <v>35</v>
      </c>
      <c r="I767" s="1">
        <v>98783</v>
      </c>
      <c r="J767" t="s">
        <v>1761</v>
      </c>
      <c r="K767" t="s">
        <v>49</v>
      </c>
      <c r="L767">
        <v>10</v>
      </c>
      <c r="M767">
        <v>4</v>
      </c>
      <c r="N767" t="s">
        <v>22</v>
      </c>
      <c r="O767" t="s">
        <v>22</v>
      </c>
      <c r="P767" t="s">
        <v>1018</v>
      </c>
      <c r="Q767" s="9" t="str">
        <f t="shared" si="23"/>
        <v>Valid</v>
      </c>
      <c r="R767">
        <v>9785390860</v>
      </c>
      <c r="S767" s="7" t="str">
        <f t="shared" si="22"/>
        <v>Valid</v>
      </c>
      <c r="T767" t="str">
        <f>IF(Table1[[#This Row],[Age]]&lt;25,"18-24",IF(Table1[[#This Row],[Age]]&lt;30,"25-29",IF(Table1[[#This Row],[Age]]&lt;35,"30-34",IF(Table1[[#This Row],[Age]]&lt;40,"35-39",IF(Table1[[#This Row],[Age]]&lt;50,"40-49","50+")))))</f>
        <v>25-29</v>
      </c>
    </row>
    <row r="768" spans="1:20" x14ac:dyDescent="0.35">
      <c r="A768">
        <v>1767</v>
      </c>
      <c r="B768" t="s">
        <v>15</v>
      </c>
      <c r="C768" t="s">
        <v>26</v>
      </c>
      <c r="D768" t="s">
        <v>17</v>
      </c>
      <c r="E768">
        <v>52</v>
      </c>
      <c r="F768" t="s">
        <v>33</v>
      </c>
      <c r="G768" t="s">
        <v>34</v>
      </c>
      <c r="H768" t="s">
        <v>20</v>
      </c>
      <c r="I768" s="1">
        <v>46004</v>
      </c>
      <c r="J768" t="s">
        <v>1762</v>
      </c>
      <c r="K768" t="s">
        <v>49</v>
      </c>
      <c r="L768">
        <v>9</v>
      </c>
      <c r="M768">
        <v>1</v>
      </c>
      <c r="N768" t="s">
        <v>23</v>
      </c>
      <c r="O768" t="s">
        <v>23</v>
      </c>
      <c r="P768" t="s">
        <v>1019</v>
      </c>
      <c r="Q768" s="9" t="str">
        <f t="shared" si="23"/>
        <v>Valid</v>
      </c>
      <c r="R768">
        <v>9932242068</v>
      </c>
      <c r="S768" s="7" t="str">
        <f t="shared" si="22"/>
        <v>Valid</v>
      </c>
      <c r="T768" t="str">
        <f>IF(Table1[[#This Row],[Age]]&lt;25,"18-24",IF(Table1[[#This Row],[Age]]&lt;30,"25-29",IF(Table1[[#This Row],[Age]]&lt;35,"30-34",IF(Table1[[#This Row],[Age]]&lt;40,"35-39",IF(Table1[[#This Row],[Age]]&lt;50,"40-49","50+")))))</f>
        <v>50+</v>
      </c>
    </row>
    <row r="769" spans="1:20" x14ac:dyDescent="0.35">
      <c r="A769">
        <v>1768</v>
      </c>
      <c r="B769" t="s">
        <v>60</v>
      </c>
      <c r="C769" t="s">
        <v>43</v>
      </c>
      <c r="D769" t="s">
        <v>17</v>
      </c>
      <c r="E769">
        <v>31</v>
      </c>
      <c r="F769" t="s">
        <v>18</v>
      </c>
      <c r="G769" t="s">
        <v>34</v>
      </c>
      <c r="H769" t="s">
        <v>28</v>
      </c>
      <c r="I769" s="1">
        <v>93604</v>
      </c>
      <c r="J769" t="s">
        <v>1020</v>
      </c>
      <c r="K769" t="s">
        <v>49</v>
      </c>
      <c r="L769">
        <v>15</v>
      </c>
      <c r="M769">
        <v>4</v>
      </c>
      <c r="N769" t="s">
        <v>23</v>
      </c>
      <c r="O769" t="s">
        <v>22</v>
      </c>
      <c r="P769" t="s">
        <v>1021</v>
      </c>
      <c r="Q769" s="9" t="str">
        <f t="shared" si="23"/>
        <v>Valid</v>
      </c>
      <c r="R769">
        <v>9769133052</v>
      </c>
      <c r="S769" s="7" t="str">
        <f t="shared" si="22"/>
        <v>Valid</v>
      </c>
      <c r="T769" t="str">
        <f>IF(Table1[[#This Row],[Age]]&lt;25,"18-24",IF(Table1[[#This Row],[Age]]&lt;30,"25-29",IF(Table1[[#This Row],[Age]]&lt;35,"30-34",IF(Table1[[#This Row],[Age]]&lt;40,"35-39",IF(Table1[[#This Row],[Age]]&lt;50,"40-49","50+")))))</f>
        <v>30-34</v>
      </c>
    </row>
    <row r="770" spans="1:20" x14ac:dyDescent="0.35">
      <c r="A770">
        <v>1769</v>
      </c>
      <c r="B770" t="s">
        <v>25</v>
      </c>
      <c r="C770" t="s">
        <v>26</v>
      </c>
      <c r="D770" t="s">
        <v>17</v>
      </c>
      <c r="E770">
        <v>34</v>
      </c>
      <c r="F770" t="s">
        <v>69</v>
      </c>
      <c r="G770" t="s">
        <v>77</v>
      </c>
      <c r="H770" t="s">
        <v>56</v>
      </c>
      <c r="I770" s="1">
        <v>106927</v>
      </c>
      <c r="J770" t="s">
        <v>1763</v>
      </c>
      <c r="K770" t="s">
        <v>30</v>
      </c>
      <c r="L770">
        <v>15</v>
      </c>
      <c r="M770">
        <v>3</v>
      </c>
      <c r="N770" t="s">
        <v>23</v>
      </c>
      <c r="O770" t="s">
        <v>23</v>
      </c>
      <c r="P770" t="s">
        <v>1022</v>
      </c>
      <c r="Q770" s="9" t="str">
        <f t="shared" si="23"/>
        <v>Valid</v>
      </c>
      <c r="R770">
        <v>9203039404</v>
      </c>
      <c r="S770" s="7" t="str">
        <f t="shared" ref="S770:S833" si="24">IF(AND(ISNUMBER(R770),LEN(R770)=10),"Valid","Invalid")</f>
        <v>Valid</v>
      </c>
      <c r="T770" t="str">
        <f>IF(Table1[[#This Row],[Age]]&lt;25,"18-24",IF(Table1[[#This Row],[Age]]&lt;30,"25-29",IF(Table1[[#This Row],[Age]]&lt;35,"30-34",IF(Table1[[#This Row],[Age]]&lt;40,"35-39",IF(Table1[[#This Row],[Age]]&lt;50,"40-49","50+")))))</f>
        <v>30-34</v>
      </c>
    </row>
    <row r="771" spans="1:20" x14ac:dyDescent="0.35">
      <c r="A771">
        <v>1770</v>
      </c>
      <c r="B771" t="s">
        <v>60</v>
      </c>
      <c r="C771" t="s">
        <v>61</v>
      </c>
      <c r="D771" t="s">
        <v>17</v>
      </c>
      <c r="E771">
        <v>41</v>
      </c>
      <c r="F771" t="s">
        <v>38</v>
      </c>
      <c r="G771" t="s">
        <v>39</v>
      </c>
      <c r="H771" t="s">
        <v>28</v>
      </c>
      <c r="I771" s="1">
        <v>56717</v>
      </c>
      <c r="J771" t="s">
        <v>1764</v>
      </c>
      <c r="K771" t="s">
        <v>49</v>
      </c>
      <c r="L771">
        <v>6</v>
      </c>
      <c r="M771">
        <v>3</v>
      </c>
      <c r="N771" t="s">
        <v>22</v>
      </c>
      <c r="O771" t="s">
        <v>22</v>
      </c>
      <c r="P771" t="s">
        <v>1023</v>
      </c>
      <c r="Q771" s="9" t="str">
        <f t="shared" ref="Q771:Q834" si="25">IF(AND(ISNUMBER(SEARCH("@",P771)),ISNUMBER(SEARCH(".",P771))),"Valid","Invalid")</f>
        <v>Valid</v>
      </c>
      <c r="R771">
        <v>9893207822</v>
      </c>
      <c r="S771" s="7" t="str">
        <f t="shared" si="24"/>
        <v>Valid</v>
      </c>
      <c r="T771" t="str">
        <f>IF(Table1[[#This Row],[Age]]&lt;25,"18-24",IF(Table1[[#This Row],[Age]]&lt;30,"25-29",IF(Table1[[#This Row],[Age]]&lt;35,"30-34",IF(Table1[[#This Row],[Age]]&lt;40,"35-39",IF(Table1[[#This Row],[Age]]&lt;50,"40-49","50+")))))</f>
        <v>40-49</v>
      </c>
    </row>
    <row r="772" spans="1:20" x14ac:dyDescent="0.35">
      <c r="A772">
        <v>1771</v>
      </c>
      <c r="B772" t="s">
        <v>42</v>
      </c>
      <c r="C772" t="s">
        <v>16</v>
      </c>
      <c r="D772" t="s">
        <v>27</v>
      </c>
      <c r="E772">
        <v>66</v>
      </c>
      <c r="F772" t="s">
        <v>69</v>
      </c>
      <c r="G772" t="s">
        <v>39</v>
      </c>
      <c r="H772" t="s">
        <v>28</v>
      </c>
      <c r="I772" s="1">
        <v>48472</v>
      </c>
      <c r="J772" t="s">
        <v>1765</v>
      </c>
      <c r="K772" t="s">
        <v>46</v>
      </c>
      <c r="L772">
        <v>11</v>
      </c>
      <c r="M772">
        <v>3</v>
      </c>
      <c r="N772" t="s">
        <v>22</v>
      </c>
      <c r="O772" t="s">
        <v>22</v>
      </c>
      <c r="P772" s="3" t="s">
        <v>1318</v>
      </c>
      <c r="Q772" s="9" t="str">
        <f t="shared" si="25"/>
        <v>Invalid</v>
      </c>
      <c r="R772">
        <v>9081039122</v>
      </c>
      <c r="S772" s="7" t="str">
        <f t="shared" si="24"/>
        <v>Valid</v>
      </c>
      <c r="T772" t="str">
        <f>IF(Table1[[#This Row],[Age]]&lt;25,"18-24",IF(Table1[[#This Row],[Age]]&lt;30,"25-29",IF(Table1[[#This Row],[Age]]&lt;35,"30-34",IF(Table1[[#This Row],[Age]]&lt;40,"35-39",IF(Table1[[#This Row],[Age]]&lt;50,"40-49","50+")))))</f>
        <v>50+</v>
      </c>
    </row>
    <row r="773" spans="1:20" x14ac:dyDescent="0.35">
      <c r="A773">
        <v>1772</v>
      </c>
      <c r="B773" t="s">
        <v>25</v>
      </c>
      <c r="C773" t="s">
        <v>43</v>
      </c>
      <c r="D773" t="s">
        <v>27</v>
      </c>
      <c r="E773">
        <v>26</v>
      </c>
      <c r="F773" t="s">
        <v>69</v>
      </c>
      <c r="G773" t="s">
        <v>77</v>
      </c>
      <c r="H773" t="s">
        <v>35</v>
      </c>
      <c r="I773" s="1">
        <v>118280</v>
      </c>
      <c r="J773" t="s">
        <v>1766</v>
      </c>
      <c r="K773" t="s">
        <v>30</v>
      </c>
      <c r="L773">
        <v>11</v>
      </c>
      <c r="M773">
        <v>1</v>
      </c>
      <c r="N773" t="s">
        <v>22</v>
      </c>
      <c r="O773" t="s">
        <v>22</v>
      </c>
      <c r="P773" t="s">
        <v>1024</v>
      </c>
      <c r="Q773" s="9" t="str">
        <f t="shared" si="25"/>
        <v>Valid</v>
      </c>
      <c r="R773">
        <v>9017478412</v>
      </c>
      <c r="S773" s="7" t="str">
        <f t="shared" si="24"/>
        <v>Valid</v>
      </c>
      <c r="T773" t="str">
        <f>IF(Table1[[#This Row],[Age]]&lt;25,"18-24",IF(Table1[[#This Row],[Age]]&lt;30,"25-29",IF(Table1[[#This Row],[Age]]&lt;35,"30-34",IF(Table1[[#This Row],[Age]]&lt;40,"35-39",IF(Table1[[#This Row],[Age]]&lt;50,"40-49","50+")))))</f>
        <v>25-29</v>
      </c>
    </row>
    <row r="774" spans="1:20" x14ac:dyDescent="0.35">
      <c r="A774">
        <v>1773</v>
      </c>
      <c r="B774" t="s">
        <v>54</v>
      </c>
      <c r="C774" t="s">
        <v>43</v>
      </c>
      <c r="D774" t="s">
        <v>17</v>
      </c>
      <c r="E774">
        <v>53</v>
      </c>
      <c r="F774" t="s">
        <v>62</v>
      </c>
      <c r="G774" t="s">
        <v>39</v>
      </c>
      <c r="H774" t="s">
        <v>35</v>
      </c>
      <c r="I774" s="1">
        <v>57988</v>
      </c>
      <c r="J774" t="s">
        <v>1767</v>
      </c>
      <c r="K774" t="s">
        <v>40</v>
      </c>
      <c r="L774">
        <v>13</v>
      </c>
      <c r="M774">
        <v>4</v>
      </c>
      <c r="N774" t="s">
        <v>22</v>
      </c>
      <c r="O774" t="s">
        <v>22</v>
      </c>
      <c r="P774" t="s">
        <v>1025</v>
      </c>
      <c r="Q774" s="9" t="str">
        <f t="shared" si="25"/>
        <v>Valid</v>
      </c>
      <c r="R774">
        <v>9090473164</v>
      </c>
      <c r="S774" s="7" t="str">
        <f t="shared" si="24"/>
        <v>Valid</v>
      </c>
      <c r="T774" t="str">
        <f>IF(Table1[[#This Row],[Age]]&lt;25,"18-24",IF(Table1[[#This Row],[Age]]&lt;30,"25-29",IF(Table1[[#This Row],[Age]]&lt;35,"30-34",IF(Table1[[#This Row],[Age]]&lt;40,"35-39",IF(Table1[[#This Row],[Age]]&lt;50,"40-49","50+")))))</f>
        <v>50+</v>
      </c>
    </row>
    <row r="775" spans="1:20" x14ac:dyDescent="0.35">
      <c r="A775">
        <v>1774</v>
      </c>
      <c r="B775" t="s">
        <v>58</v>
      </c>
      <c r="C775" t="s">
        <v>61</v>
      </c>
      <c r="D775" t="s">
        <v>17</v>
      </c>
      <c r="E775">
        <v>51</v>
      </c>
      <c r="F775" t="s">
        <v>69</v>
      </c>
      <c r="G775" t="s">
        <v>39</v>
      </c>
      <c r="H775" t="s">
        <v>35</v>
      </c>
      <c r="I775" s="1">
        <v>96842</v>
      </c>
      <c r="J775" t="s">
        <v>1768</v>
      </c>
      <c r="K775" t="s">
        <v>46</v>
      </c>
      <c r="L775">
        <v>4</v>
      </c>
      <c r="M775">
        <v>3</v>
      </c>
      <c r="N775" t="s">
        <v>22</v>
      </c>
      <c r="O775" t="s">
        <v>22</v>
      </c>
      <c r="P775" t="s">
        <v>1026</v>
      </c>
      <c r="Q775" s="9" t="str">
        <f t="shared" si="25"/>
        <v>Valid</v>
      </c>
      <c r="R775">
        <v>9537081448</v>
      </c>
      <c r="S775" s="7" t="str">
        <f t="shared" si="24"/>
        <v>Valid</v>
      </c>
      <c r="T775" t="str">
        <f>IF(Table1[[#This Row],[Age]]&lt;25,"18-24",IF(Table1[[#This Row],[Age]]&lt;30,"25-29",IF(Table1[[#This Row],[Age]]&lt;35,"30-34",IF(Table1[[#This Row],[Age]]&lt;40,"35-39",IF(Table1[[#This Row],[Age]]&lt;50,"40-49","50+")))))</f>
        <v>50+</v>
      </c>
    </row>
    <row r="776" spans="1:20" x14ac:dyDescent="0.35">
      <c r="A776">
        <v>1775</v>
      </c>
      <c r="B776" t="s">
        <v>58</v>
      </c>
      <c r="C776" t="s">
        <v>61</v>
      </c>
      <c r="D776" t="s">
        <v>27</v>
      </c>
      <c r="E776">
        <v>55</v>
      </c>
      <c r="F776" t="s">
        <v>38</v>
      </c>
      <c r="G776" t="s">
        <v>34</v>
      </c>
      <c r="H776" t="s">
        <v>56</v>
      </c>
      <c r="I776" s="1">
        <v>41943</v>
      </c>
      <c r="J776" t="s">
        <v>1027</v>
      </c>
      <c r="K776" t="s">
        <v>40</v>
      </c>
      <c r="L776">
        <v>13</v>
      </c>
      <c r="M776">
        <v>5</v>
      </c>
      <c r="N776" t="s">
        <v>22</v>
      </c>
      <c r="O776" t="s">
        <v>22</v>
      </c>
      <c r="P776" t="s">
        <v>1028</v>
      </c>
      <c r="Q776" s="9" t="str">
        <f t="shared" si="25"/>
        <v>Valid</v>
      </c>
      <c r="R776">
        <v>9010923911</v>
      </c>
      <c r="S776" s="7" t="str">
        <f t="shared" si="24"/>
        <v>Valid</v>
      </c>
      <c r="T776" t="str">
        <f>IF(Table1[[#This Row],[Age]]&lt;25,"18-24",IF(Table1[[#This Row],[Age]]&lt;30,"25-29",IF(Table1[[#This Row],[Age]]&lt;35,"30-34",IF(Table1[[#This Row],[Age]]&lt;40,"35-39",IF(Table1[[#This Row],[Age]]&lt;50,"40-49","50+")))))</f>
        <v>50+</v>
      </c>
    </row>
    <row r="777" spans="1:20" x14ac:dyDescent="0.35">
      <c r="A777">
        <v>1776</v>
      </c>
      <c r="B777" t="s">
        <v>25</v>
      </c>
      <c r="C777" t="s">
        <v>61</v>
      </c>
      <c r="D777" t="s">
        <v>27</v>
      </c>
      <c r="E777">
        <v>23</v>
      </c>
      <c r="F777" t="s">
        <v>62</v>
      </c>
      <c r="G777" t="s">
        <v>19</v>
      </c>
      <c r="H777" t="s">
        <v>20</v>
      </c>
      <c r="I777" s="1">
        <v>33066</v>
      </c>
      <c r="J777" t="s">
        <v>1029</v>
      </c>
      <c r="K777" t="s">
        <v>30</v>
      </c>
      <c r="L777">
        <v>23</v>
      </c>
      <c r="M777">
        <v>3</v>
      </c>
      <c r="N777" t="s">
        <v>22</v>
      </c>
      <c r="O777" t="s">
        <v>23</v>
      </c>
      <c r="P777" t="s">
        <v>1030</v>
      </c>
      <c r="Q777" s="9" t="str">
        <f t="shared" si="25"/>
        <v>Valid</v>
      </c>
      <c r="R777">
        <v>9832907725</v>
      </c>
      <c r="S777" s="7" t="str">
        <f t="shared" si="24"/>
        <v>Valid</v>
      </c>
      <c r="T777" t="str">
        <f>IF(Table1[[#This Row],[Age]]&lt;25,"18-24",IF(Table1[[#This Row],[Age]]&lt;30,"25-29",IF(Table1[[#This Row],[Age]]&lt;35,"30-34",IF(Table1[[#This Row],[Age]]&lt;40,"35-39",IF(Table1[[#This Row],[Age]]&lt;50,"40-49","50+")))))</f>
        <v>18-24</v>
      </c>
    </row>
    <row r="778" spans="1:20" x14ac:dyDescent="0.35">
      <c r="A778">
        <v>1777</v>
      </c>
      <c r="B778" t="s">
        <v>64</v>
      </c>
      <c r="C778" t="s">
        <v>16</v>
      </c>
      <c r="D778" t="s">
        <v>27</v>
      </c>
      <c r="E778">
        <v>49</v>
      </c>
      <c r="F778" t="s">
        <v>62</v>
      </c>
      <c r="G778" t="s">
        <v>19</v>
      </c>
      <c r="H778" t="s">
        <v>35</v>
      </c>
      <c r="I778" s="1">
        <v>56535</v>
      </c>
      <c r="J778" t="s">
        <v>1769</v>
      </c>
      <c r="K778" t="s">
        <v>30</v>
      </c>
      <c r="L778">
        <v>13</v>
      </c>
      <c r="M778">
        <v>1</v>
      </c>
      <c r="N778" t="s">
        <v>23</v>
      </c>
      <c r="O778" t="s">
        <v>23</v>
      </c>
      <c r="P778" t="s">
        <v>1031</v>
      </c>
      <c r="Q778" s="9" t="str">
        <f t="shared" si="25"/>
        <v>Valid</v>
      </c>
      <c r="R778">
        <v>9111613666</v>
      </c>
      <c r="S778" s="7" t="str">
        <f t="shared" si="24"/>
        <v>Valid</v>
      </c>
      <c r="T778" t="str">
        <f>IF(Table1[[#This Row],[Age]]&lt;25,"18-24",IF(Table1[[#This Row],[Age]]&lt;30,"25-29",IF(Table1[[#This Row],[Age]]&lt;35,"30-34",IF(Table1[[#This Row],[Age]]&lt;40,"35-39",IF(Table1[[#This Row],[Age]]&lt;50,"40-49","50+")))))</f>
        <v>40-49</v>
      </c>
    </row>
    <row r="779" spans="1:20" x14ac:dyDescent="0.35">
      <c r="A779">
        <v>1778</v>
      </c>
      <c r="B779" t="s">
        <v>25</v>
      </c>
      <c r="C779" t="s">
        <v>16</v>
      </c>
      <c r="D779" t="s">
        <v>27</v>
      </c>
      <c r="E779">
        <v>28</v>
      </c>
      <c r="F779" t="s">
        <v>62</v>
      </c>
      <c r="G779" t="s">
        <v>39</v>
      </c>
      <c r="H779" t="s">
        <v>35</v>
      </c>
      <c r="I779" s="1">
        <v>104930</v>
      </c>
      <c r="J779" t="s">
        <v>1770</v>
      </c>
      <c r="K779" t="s">
        <v>49</v>
      </c>
      <c r="L779">
        <v>23</v>
      </c>
      <c r="M779">
        <v>4</v>
      </c>
      <c r="N779" t="s">
        <v>23</v>
      </c>
      <c r="O779" t="s">
        <v>23</v>
      </c>
      <c r="P779" t="s">
        <v>1032</v>
      </c>
      <c r="Q779" s="9" t="str">
        <f t="shared" si="25"/>
        <v>Valid</v>
      </c>
      <c r="R779">
        <v>9818697104</v>
      </c>
      <c r="S779" s="7" t="str">
        <f t="shared" si="24"/>
        <v>Valid</v>
      </c>
      <c r="T779" t="str">
        <f>IF(Table1[[#This Row],[Age]]&lt;25,"18-24",IF(Table1[[#This Row],[Age]]&lt;30,"25-29",IF(Table1[[#This Row],[Age]]&lt;35,"30-34",IF(Table1[[#This Row],[Age]]&lt;40,"35-39",IF(Table1[[#This Row],[Age]]&lt;50,"40-49","50+")))))</f>
        <v>25-29</v>
      </c>
    </row>
    <row r="780" spans="1:20" x14ac:dyDescent="0.35">
      <c r="A780">
        <v>1779</v>
      </c>
      <c r="B780" t="s">
        <v>42</v>
      </c>
      <c r="C780" t="s">
        <v>43</v>
      </c>
      <c r="D780" t="s">
        <v>27</v>
      </c>
      <c r="E780">
        <v>35</v>
      </c>
      <c r="F780" t="s">
        <v>62</v>
      </c>
      <c r="G780" t="s">
        <v>55</v>
      </c>
      <c r="H780" t="s">
        <v>20</v>
      </c>
      <c r="I780" s="1">
        <v>26588</v>
      </c>
      <c r="J780" t="s">
        <v>1033</v>
      </c>
      <c r="K780" t="s">
        <v>40</v>
      </c>
      <c r="L780">
        <v>17</v>
      </c>
      <c r="M780">
        <v>5</v>
      </c>
      <c r="N780" t="s">
        <v>23</v>
      </c>
      <c r="O780" t="s">
        <v>23</v>
      </c>
      <c r="P780" t="s">
        <v>1034</v>
      </c>
      <c r="Q780" s="9" t="str">
        <f t="shared" si="25"/>
        <v>Valid</v>
      </c>
      <c r="R780">
        <v>9903897429</v>
      </c>
      <c r="S780" s="7" t="str">
        <f t="shared" si="24"/>
        <v>Valid</v>
      </c>
      <c r="T780" t="str">
        <f>IF(Table1[[#This Row],[Age]]&lt;25,"18-24",IF(Table1[[#This Row],[Age]]&lt;30,"25-29",IF(Table1[[#This Row],[Age]]&lt;35,"30-34",IF(Table1[[#This Row],[Age]]&lt;40,"35-39",IF(Table1[[#This Row],[Age]]&lt;50,"40-49","50+")))))</f>
        <v>35-39</v>
      </c>
    </row>
    <row r="781" spans="1:20" x14ac:dyDescent="0.35">
      <c r="A781">
        <v>1780</v>
      </c>
      <c r="B781" t="s">
        <v>15</v>
      </c>
      <c r="C781" t="s">
        <v>43</v>
      </c>
      <c r="D781" t="s">
        <v>27</v>
      </c>
      <c r="E781">
        <v>34</v>
      </c>
      <c r="F781" t="s">
        <v>69</v>
      </c>
      <c r="G781" t="s">
        <v>19</v>
      </c>
      <c r="H781" t="s">
        <v>56</v>
      </c>
      <c r="I781" s="1">
        <v>32626</v>
      </c>
      <c r="J781" t="s">
        <v>461</v>
      </c>
      <c r="K781" t="s">
        <v>21</v>
      </c>
      <c r="L781">
        <v>20</v>
      </c>
      <c r="M781">
        <v>2</v>
      </c>
      <c r="N781" t="s">
        <v>23</v>
      </c>
      <c r="O781" t="s">
        <v>22</v>
      </c>
      <c r="P781" s="3" t="s">
        <v>1318</v>
      </c>
      <c r="Q781" s="9" t="str">
        <f t="shared" si="25"/>
        <v>Invalid</v>
      </c>
      <c r="R781">
        <v>94188120</v>
      </c>
      <c r="S781" s="7" t="str">
        <f t="shared" si="24"/>
        <v>Invalid</v>
      </c>
      <c r="T781" t="str">
        <f>IF(Table1[[#This Row],[Age]]&lt;25,"18-24",IF(Table1[[#This Row],[Age]]&lt;30,"25-29",IF(Table1[[#This Row],[Age]]&lt;35,"30-34",IF(Table1[[#This Row],[Age]]&lt;40,"35-39",IF(Table1[[#This Row],[Age]]&lt;50,"40-49","50+")))))</f>
        <v>30-34</v>
      </c>
    </row>
    <row r="782" spans="1:20" x14ac:dyDescent="0.35">
      <c r="A782">
        <v>1781</v>
      </c>
      <c r="B782" t="s">
        <v>54</v>
      </c>
      <c r="C782" t="s">
        <v>26</v>
      </c>
      <c r="D782" t="s">
        <v>27</v>
      </c>
      <c r="E782">
        <v>33</v>
      </c>
      <c r="F782" t="s">
        <v>62</v>
      </c>
      <c r="G782" t="s">
        <v>34</v>
      </c>
      <c r="H782" t="s">
        <v>56</v>
      </c>
      <c r="I782" s="1">
        <v>25323</v>
      </c>
      <c r="J782" t="s">
        <v>1771</v>
      </c>
      <c r="K782" t="s">
        <v>49</v>
      </c>
      <c r="L782">
        <v>24</v>
      </c>
      <c r="M782">
        <v>5</v>
      </c>
      <c r="N782" t="s">
        <v>22</v>
      </c>
      <c r="O782" t="s">
        <v>22</v>
      </c>
      <c r="P782" t="s">
        <v>1035</v>
      </c>
      <c r="Q782" s="9" t="str">
        <f t="shared" si="25"/>
        <v>Valid</v>
      </c>
      <c r="R782">
        <v>9510055045</v>
      </c>
      <c r="S782" s="7" t="str">
        <f t="shared" si="24"/>
        <v>Valid</v>
      </c>
      <c r="T782" t="str">
        <f>IF(Table1[[#This Row],[Age]]&lt;25,"18-24",IF(Table1[[#This Row],[Age]]&lt;30,"25-29",IF(Table1[[#This Row],[Age]]&lt;35,"30-34",IF(Table1[[#This Row],[Age]]&lt;40,"35-39",IF(Table1[[#This Row],[Age]]&lt;50,"40-49","50+")))))</f>
        <v>30-34</v>
      </c>
    </row>
    <row r="783" spans="1:20" x14ac:dyDescent="0.35">
      <c r="A783">
        <v>1782</v>
      </c>
      <c r="B783" t="s">
        <v>54</v>
      </c>
      <c r="C783" t="s">
        <v>43</v>
      </c>
      <c r="D783" t="s">
        <v>17</v>
      </c>
      <c r="E783">
        <v>55</v>
      </c>
      <c r="F783" t="s">
        <v>33</v>
      </c>
      <c r="G783" t="s">
        <v>77</v>
      </c>
      <c r="H783" t="s">
        <v>35</v>
      </c>
      <c r="I783" s="1">
        <v>64846</v>
      </c>
      <c r="J783" t="s">
        <v>1772</v>
      </c>
      <c r="K783" t="s">
        <v>40</v>
      </c>
      <c r="L783">
        <v>19</v>
      </c>
      <c r="M783">
        <v>5</v>
      </c>
      <c r="N783" t="s">
        <v>22</v>
      </c>
      <c r="O783" t="s">
        <v>22</v>
      </c>
      <c r="P783" t="s">
        <v>1036</v>
      </c>
      <c r="Q783" s="9" t="str">
        <f t="shared" si="25"/>
        <v>Valid</v>
      </c>
      <c r="R783">
        <v>9258403515</v>
      </c>
      <c r="S783" s="7" t="str">
        <f t="shared" si="24"/>
        <v>Valid</v>
      </c>
      <c r="T783" t="str">
        <f>IF(Table1[[#This Row],[Age]]&lt;25,"18-24",IF(Table1[[#This Row],[Age]]&lt;30,"25-29",IF(Table1[[#This Row],[Age]]&lt;35,"30-34",IF(Table1[[#This Row],[Age]]&lt;40,"35-39",IF(Table1[[#This Row],[Age]]&lt;50,"40-49","50+")))))</f>
        <v>50+</v>
      </c>
    </row>
    <row r="784" spans="1:20" x14ac:dyDescent="0.35">
      <c r="A784">
        <v>1783</v>
      </c>
      <c r="B784" t="s">
        <v>60</v>
      </c>
      <c r="C784" t="s">
        <v>61</v>
      </c>
      <c r="D784" t="s">
        <v>27</v>
      </c>
      <c r="E784">
        <v>32</v>
      </c>
      <c r="F784" t="s">
        <v>38</v>
      </c>
      <c r="G784" t="s">
        <v>34</v>
      </c>
      <c r="H784" t="s">
        <v>35</v>
      </c>
      <c r="I784" s="1">
        <v>76937</v>
      </c>
      <c r="J784" t="s">
        <v>1773</v>
      </c>
      <c r="K784" t="s">
        <v>40</v>
      </c>
      <c r="L784">
        <v>12</v>
      </c>
      <c r="M784">
        <v>5</v>
      </c>
      <c r="N784" t="s">
        <v>22</v>
      </c>
      <c r="O784" t="s">
        <v>22</v>
      </c>
      <c r="P784" t="s">
        <v>1037</v>
      </c>
      <c r="Q784" s="9" t="str">
        <f t="shared" si="25"/>
        <v>Valid</v>
      </c>
      <c r="R784">
        <v>9188501111</v>
      </c>
      <c r="S784" s="7" t="str">
        <f t="shared" si="24"/>
        <v>Valid</v>
      </c>
      <c r="T784" t="str">
        <f>IF(Table1[[#This Row],[Age]]&lt;25,"18-24",IF(Table1[[#This Row],[Age]]&lt;30,"25-29",IF(Table1[[#This Row],[Age]]&lt;35,"30-34",IF(Table1[[#This Row],[Age]]&lt;40,"35-39",IF(Table1[[#This Row],[Age]]&lt;50,"40-49","50+")))))</f>
        <v>30-34</v>
      </c>
    </row>
    <row r="785" spans="1:20" x14ac:dyDescent="0.35">
      <c r="A785">
        <v>1784</v>
      </c>
      <c r="B785" t="s">
        <v>42</v>
      </c>
      <c r="C785" t="s">
        <v>16</v>
      </c>
      <c r="D785" t="s">
        <v>17</v>
      </c>
      <c r="E785">
        <v>43</v>
      </c>
      <c r="F785" t="s">
        <v>69</v>
      </c>
      <c r="G785" t="s">
        <v>39</v>
      </c>
      <c r="H785" t="s">
        <v>44</v>
      </c>
      <c r="I785" s="2" t="s">
        <v>1316</v>
      </c>
      <c r="J785" t="s">
        <v>480</v>
      </c>
      <c r="K785" t="s">
        <v>40</v>
      </c>
      <c r="L785">
        <v>15</v>
      </c>
      <c r="M785">
        <v>1</v>
      </c>
      <c r="N785" t="s">
        <v>23</v>
      </c>
      <c r="O785" t="s">
        <v>22</v>
      </c>
      <c r="P785" t="s">
        <v>1038</v>
      </c>
      <c r="Q785" s="9" t="str">
        <f t="shared" si="25"/>
        <v>Valid</v>
      </c>
      <c r="R785">
        <v>9537601507</v>
      </c>
      <c r="S785" s="7" t="str">
        <f t="shared" si="24"/>
        <v>Valid</v>
      </c>
      <c r="T785" t="str">
        <f>IF(Table1[[#This Row],[Age]]&lt;25,"18-24",IF(Table1[[#This Row],[Age]]&lt;30,"25-29",IF(Table1[[#This Row],[Age]]&lt;35,"30-34",IF(Table1[[#This Row],[Age]]&lt;40,"35-39",IF(Table1[[#This Row],[Age]]&lt;50,"40-49","50+")))))</f>
        <v>40-49</v>
      </c>
    </row>
    <row r="786" spans="1:20" x14ac:dyDescent="0.35">
      <c r="A786">
        <v>1785</v>
      </c>
      <c r="B786" t="s">
        <v>82</v>
      </c>
      <c r="C786" t="s">
        <v>43</v>
      </c>
      <c r="D786" t="s">
        <v>17</v>
      </c>
      <c r="E786">
        <v>49</v>
      </c>
      <c r="F786" t="s">
        <v>62</v>
      </c>
      <c r="G786" t="s">
        <v>19</v>
      </c>
      <c r="H786" t="s">
        <v>35</v>
      </c>
      <c r="I786" s="1">
        <v>92939</v>
      </c>
      <c r="J786" t="s">
        <v>1039</v>
      </c>
      <c r="K786" t="s">
        <v>46</v>
      </c>
      <c r="L786">
        <v>10</v>
      </c>
      <c r="M786">
        <v>2</v>
      </c>
      <c r="N786" t="s">
        <v>22</v>
      </c>
      <c r="O786" t="s">
        <v>22</v>
      </c>
      <c r="P786" t="s">
        <v>1040</v>
      </c>
      <c r="Q786" s="9" t="str">
        <f t="shared" si="25"/>
        <v>Valid</v>
      </c>
      <c r="R786">
        <v>9066128754</v>
      </c>
      <c r="S786" s="7" t="str">
        <f t="shared" si="24"/>
        <v>Valid</v>
      </c>
      <c r="T786" t="str">
        <f>IF(Table1[[#This Row],[Age]]&lt;25,"18-24",IF(Table1[[#This Row],[Age]]&lt;30,"25-29",IF(Table1[[#This Row],[Age]]&lt;35,"30-34",IF(Table1[[#This Row],[Age]]&lt;40,"35-39",IF(Table1[[#This Row],[Age]]&lt;50,"40-49","50+")))))</f>
        <v>40-49</v>
      </c>
    </row>
    <row r="787" spans="1:20" x14ac:dyDescent="0.35">
      <c r="A787">
        <v>1786</v>
      </c>
      <c r="B787" t="s">
        <v>58</v>
      </c>
      <c r="C787" t="s">
        <v>61</v>
      </c>
      <c r="D787" t="s">
        <v>27</v>
      </c>
      <c r="E787">
        <v>44</v>
      </c>
      <c r="F787" t="s">
        <v>18</v>
      </c>
      <c r="G787" t="s">
        <v>34</v>
      </c>
      <c r="H787" t="s">
        <v>44</v>
      </c>
      <c r="I787" s="1">
        <v>52144</v>
      </c>
      <c r="J787" t="s">
        <v>935</v>
      </c>
      <c r="K787" t="s">
        <v>21</v>
      </c>
      <c r="L787">
        <v>16</v>
      </c>
      <c r="M787">
        <v>1</v>
      </c>
      <c r="N787" t="s">
        <v>23</v>
      </c>
      <c r="O787" t="s">
        <v>22</v>
      </c>
      <c r="P787" t="s">
        <v>1041</v>
      </c>
      <c r="Q787" s="9" t="str">
        <f t="shared" si="25"/>
        <v>Valid</v>
      </c>
      <c r="R787">
        <v>9825168921</v>
      </c>
      <c r="S787" s="7" t="str">
        <f t="shared" si="24"/>
        <v>Valid</v>
      </c>
      <c r="T787" t="str">
        <f>IF(Table1[[#This Row],[Age]]&lt;25,"18-24",IF(Table1[[#This Row],[Age]]&lt;30,"25-29",IF(Table1[[#This Row],[Age]]&lt;35,"30-34",IF(Table1[[#This Row],[Age]]&lt;40,"35-39",IF(Table1[[#This Row],[Age]]&lt;50,"40-49","50+")))))</f>
        <v>40-49</v>
      </c>
    </row>
    <row r="788" spans="1:20" x14ac:dyDescent="0.35">
      <c r="A788">
        <v>1787</v>
      </c>
      <c r="B788" t="s">
        <v>82</v>
      </c>
      <c r="C788" t="s">
        <v>26</v>
      </c>
      <c r="D788" t="s">
        <v>27</v>
      </c>
      <c r="E788">
        <v>36</v>
      </c>
      <c r="F788" t="s">
        <v>62</v>
      </c>
      <c r="G788" t="s">
        <v>19</v>
      </c>
      <c r="H788" t="s">
        <v>56</v>
      </c>
      <c r="I788" s="1">
        <v>101598</v>
      </c>
      <c r="J788" t="s">
        <v>1774</v>
      </c>
      <c r="K788" t="s">
        <v>46</v>
      </c>
      <c r="L788">
        <v>21</v>
      </c>
      <c r="M788">
        <v>2</v>
      </c>
      <c r="N788" t="s">
        <v>22</v>
      </c>
      <c r="O788" t="s">
        <v>22</v>
      </c>
      <c r="P788" s="3" t="s">
        <v>1318</v>
      </c>
      <c r="Q788" s="9" t="str">
        <f t="shared" si="25"/>
        <v>Invalid</v>
      </c>
      <c r="R788">
        <v>9710003867</v>
      </c>
      <c r="S788" s="7" t="str">
        <f t="shared" si="24"/>
        <v>Valid</v>
      </c>
      <c r="T788" t="str">
        <f>IF(Table1[[#This Row],[Age]]&lt;25,"18-24",IF(Table1[[#This Row],[Age]]&lt;30,"25-29",IF(Table1[[#This Row],[Age]]&lt;35,"30-34",IF(Table1[[#This Row],[Age]]&lt;40,"35-39",IF(Table1[[#This Row],[Age]]&lt;50,"40-49","50+")))))</f>
        <v>35-39</v>
      </c>
    </row>
    <row r="789" spans="1:20" x14ac:dyDescent="0.35">
      <c r="A789">
        <v>1788</v>
      </c>
      <c r="B789" t="s">
        <v>54</v>
      </c>
      <c r="C789" t="s">
        <v>61</v>
      </c>
      <c r="D789" t="s">
        <v>17</v>
      </c>
      <c r="E789">
        <v>36</v>
      </c>
      <c r="F789" t="s">
        <v>69</v>
      </c>
      <c r="G789" t="s">
        <v>39</v>
      </c>
      <c r="H789" t="s">
        <v>20</v>
      </c>
      <c r="I789" s="1">
        <v>31997</v>
      </c>
      <c r="J789" t="s">
        <v>1042</v>
      </c>
      <c r="K789" t="s">
        <v>49</v>
      </c>
      <c r="L789">
        <v>24</v>
      </c>
      <c r="M789">
        <v>5</v>
      </c>
      <c r="N789" t="s">
        <v>22</v>
      </c>
      <c r="O789" t="s">
        <v>23</v>
      </c>
      <c r="P789" t="s">
        <v>1043</v>
      </c>
      <c r="Q789" s="9" t="str">
        <f t="shared" si="25"/>
        <v>Valid</v>
      </c>
      <c r="R789">
        <v>9633712405</v>
      </c>
      <c r="S789" s="7" t="str">
        <f t="shared" si="24"/>
        <v>Valid</v>
      </c>
      <c r="T789" t="str">
        <f>IF(Table1[[#This Row],[Age]]&lt;25,"18-24",IF(Table1[[#This Row],[Age]]&lt;30,"25-29",IF(Table1[[#This Row],[Age]]&lt;35,"30-34",IF(Table1[[#This Row],[Age]]&lt;40,"35-39",IF(Table1[[#This Row],[Age]]&lt;50,"40-49","50+")))))</f>
        <v>35-39</v>
      </c>
    </row>
    <row r="790" spans="1:20" x14ac:dyDescent="0.35">
      <c r="A790">
        <v>1789</v>
      </c>
      <c r="B790" t="s">
        <v>67</v>
      </c>
      <c r="C790" t="s">
        <v>16</v>
      </c>
      <c r="D790" t="s">
        <v>17</v>
      </c>
      <c r="E790">
        <v>38</v>
      </c>
      <c r="F790" t="s">
        <v>69</v>
      </c>
      <c r="G790" t="s">
        <v>34</v>
      </c>
      <c r="H790" t="s">
        <v>28</v>
      </c>
      <c r="I790" s="1">
        <v>52398</v>
      </c>
      <c r="J790" t="s">
        <v>1775</v>
      </c>
      <c r="K790" t="s">
        <v>46</v>
      </c>
      <c r="L790">
        <v>20</v>
      </c>
      <c r="M790">
        <v>3</v>
      </c>
      <c r="N790" t="s">
        <v>22</v>
      </c>
      <c r="O790" t="s">
        <v>22</v>
      </c>
      <c r="P790" t="s">
        <v>1044</v>
      </c>
      <c r="Q790" s="9" t="str">
        <f t="shared" si="25"/>
        <v>Valid</v>
      </c>
      <c r="R790">
        <v>9252016592</v>
      </c>
      <c r="S790" s="7" t="str">
        <f t="shared" si="24"/>
        <v>Valid</v>
      </c>
      <c r="T790" t="str">
        <f>IF(Table1[[#This Row],[Age]]&lt;25,"18-24",IF(Table1[[#This Row],[Age]]&lt;30,"25-29",IF(Table1[[#This Row],[Age]]&lt;35,"30-34",IF(Table1[[#This Row],[Age]]&lt;40,"35-39",IF(Table1[[#This Row],[Age]]&lt;50,"40-49","50+")))))</f>
        <v>35-39</v>
      </c>
    </row>
    <row r="791" spans="1:20" x14ac:dyDescent="0.35">
      <c r="A791">
        <v>1790</v>
      </c>
      <c r="B791" t="s">
        <v>82</v>
      </c>
      <c r="C791" t="s">
        <v>32</v>
      </c>
      <c r="D791" t="s">
        <v>27</v>
      </c>
      <c r="E791">
        <v>40</v>
      </c>
      <c r="F791" t="s">
        <v>18</v>
      </c>
      <c r="G791" t="s">
        <v>55</v>
      </c>
      <c r="H791" t="s">
        <v>28</v>
      </c>
      <c r="I791" s="1">
        <v>107965</v>
      </c>
      <c r="J791" t="s">
        <v>1776</v>
      </c>
      <c r="K791" t="s">
        <v>46</v>
      </c>
      <c r="L791">
        <v>16</v>
      </c>
      <c r="M791">
        <v>4</v>
      </c>
      <c r="N791" t="s">
        <v>22</v>
      </c>
      <c r="O791" t="s">
        <v>23</v>
      </c>
      <c r="P791" t="s">
        <v>1045</v>
      </c>
      <c r="Q791" s="9" t="str">
        <f t="shared" si="25"/>
        <v>Valid</v>
      </c>
      <c r="R791">
        <v>9445377139</v>
      </c>
      <c r="S791" s="7" t="str">
        <f t="shared" si="24"/>
        <v>Valid</v>
      </c>
      <c r="T791" t="str">
        <f>IF(Table1[[#This Row],[Age]]&lt;25,"18-24",IF(Table1[[#This Row],[Age]]&lt;30,"25-29",IF(Table1[[#This Row],[Age]]&lt;35,"30-34",IF(Table1[[#This Row],[Age]]&lt;40,"35-39",IF(Table1[[#This Row],[Age]]&lt;50,"40-49","50+")))))</f>
        <v>40-49</v>
      </c>
    </row>
    <row r="792" spans="1:20" x14ac:dyDescent="0.35">
      <c r="A792">
        <v>1791</v>
      </c>
      <c r="B792" t="s">
        <v>58</v>
      </c>
      <c r="C792" t="s">
        <v>26</v>
      </c>
      <c r="D792" t="s">
        <v>17</v>
      </c>
      <c r="E792">
        <v>55</v>
      </c>
      <c r="F792" t="s">
        <v>38</v>
      </c>
      <c r="G792" t="s">
        <v>55</v>
      </c>
      <c r="H792" t="s">
        <v>28</v>
      </c>
      <c r="I792" s="1">
        <v>95049</v>
      </c>
      <c r="J792" t="s">
        <v>1352</v>
      </c>
      <c r="K792" t="s">
        <v>46</v>
      </c>
      <c r="L792">
        <v>9</v>
      </c>
      <c r="M792">
        <v>4</v>
      </c>
      <c r="N792" t="s">
        <v>23</v>
      </c>
      <c r="O792" t="s">
        <v>23</v>
      </c>
      <c r="P792" t="s">
        <v>1046</v>
      </c>
      <c r="Q792" s="9" t="str">
        <f t="shared" si="25"/>
        <v>Valid</v>
      </c>
      <c r="R792">
        <v>9130561277</v>
      </c>
      <c r="S792" s="7" t="str">
        <f t="shared" si="24"/>
        <v>Valid</v>
      </c>
      <c r="T792" t="str">
        <f>IF(Table1[[#This Row],[Age]]&lt;25,"18-24",IF(Table1[[#This Row],[Age]]&lt;30,"25-29",IF(Table1[[#This Row],[Age]]&lt;35,"30-34",IF(Table1[[#This Row],[Age]]&lt;40,"35-39",IF(Table1[[#This Row],[Age]]&lt;50,"40-49","50+")))))</f>
        <v>50+</v>
      </c>
    </row>
    <row r="793" spans="1:20" x14ac:dyDescent="0.35">
      <c r="A793">
        <v>1792</v>
      </c>
      <c r="B793" t="s">
        <v>37</v>
      </c>
      <c r="C793" t="s">
        <v>32</v>
      </c>
      <c r="D793" t="s">
        <v>17</v>
      </c>
      <c r="E793">
        <v>46</v>
      </c>
      <c r="F793" t="s">
        <v>62</v>
      </c>
      <c r="G793" t="s">
        <v>39</v>
      </c>
      <c r="H793" t="s">
        <v>35</v>
      </c>
      <c r="I793" s="1">
        <v>78255</v>
      </c>
      <c r="J793" t="s">
        <v>1339</v>
      </c>
      <c r="K793" t="s">
        <v>40</v>
      </c>
      <c r="L793">
        <v>19</v>
      </c>
      <c r="M793">
        <v>5</v>
      </c>
      <c r="N793" t="s">
        <v>22</v>
      </c>
      <c r="O793" t="s">
        <v>23</v>
      </c>
      <c r="P793" t="s">
        <v>1047</v>
      </c>
      <c r="Q793" s="9" t="str">
        <f t="shared" si="25"/>
        <v>Valid</v>
      </c>
      <c r="R793">
        <v>9046737752</v>
      </c>
      <c r="S793" s="7" t="str">
        <f t="shared" si="24"/>
        <v>Valid</v>
      </c>
      <c r="T793" t="str">
        <f>IF(Table1[[#This Row],[Age]]&lt;25,"18-24",IF(Table1[[#This Row],[Age]]&lt;30,"25-29",IF(Table1[[#This Row],[Age]]&lt;35,"30-34",IF(Table1[[#This Row],[Age]]&lt;40,"35-39",IF(Table1[[#This Row],[Age]]&lt;50,"40-49","50+")))))</f>
        <v>40-49</v>
      </c>
    </row>
    <row r="794" spans="1:20" x14ac:dyDescent="0.35">
      <c r="A794">
        <v>1793</v>
      </c>
      <c r="B794" t="s">
        <v>15</v>
      </c>
      <c r="C794" t="s">
        <v>26</v>
      </c>
      <c r="D794" t="s">
        <v>17</v>
      </c>
      <c r="E794">
        <v>43</v>
      </c>
      <c r="F794" t="s">
        <v>33</v>
      </c>
      <c r="G794" t="s">
        <v>55</v>
      </c>
      <c r="H794" t="s">
        <v>44</v>
      </c>
      <c r="I794" s="1">
        <v>87077</v>
      </c>
      <c r="J794" t="s">
        <v>1060</v>
      </c>
      <c r="K794" t="s">
        <v>49</v>
      </c>
      <c r="L794">
        <v>5</v>
      </c>
      <c r="M794">
        <v>3</v>
      </c>
      <c r="N794" t="s">
        <v>22</v>
      </c>
      <c r="O794" t="s">
        <v>23</v>
      </c>
      <c r="P794" t="s">
        <v>1048</v>
      </c>
      <c r="Q794" s="9" t="str">
        <f t="shared" si="25"/>
        <v>Invalid</v>
      </c>
      <c r="R794">
        <v>9093003898</v>
      </c>
      <c r="S794" s="7" t="str">
        <f t="shared" si="24"/>
        <v>Valid</v>
      </c>
      <c r="T794" t="str">
        <f>IF(Table1[[#This Row],[Age]]&lt;25,"18-24",IF(Table1[[#This Row],[Age]]&lt;30,"25-29",IF(Table1[[#This Row],[Age]]&lt;35,"30-34",IF(Table1[[#This Row],[Age]]&lt;40,"35-39",IF(Table1[[#This Row],[Age]]&lt;50,"40-49","50+")))))</f>
        <v>40-49</v>
      </c>
    </row>
    <row r="795" spans="1:20" x14ac:dyDescent="0.35">
      <c r="A795">
        <v>1794</v>
      </c>
      <c r="B795" t="s">
        <v>67</v>
      </c>
      <c r="C795" t="s">
        <v>32</v>
      </c>
      <c r="D795" t="s">
        <v>17</v>
      </c>
      <c r="E795">
        <v>47</v>
      </c>
      <c r="F795" t="s">
        <v>38</v>
      </c>
      <c r="G795" t="s">
        <v>55</v>
      </c>
      <c r="H795" t="s">
        <v>35</v>
      </c>
      <c r="I795" s="1">
        <v>32197</v>
      </c>
      <c r="J795" t="s">
        <v>1777</v>
      </c>
      <c r="K795" t="s">
        <v>21</v>
      </c>
      <c r="L795">
        <v>1</v>
      </c>
      <c r="M795">
        <v>1</v>
      </c>
      <c r="N795" t="s">
        <v>23</v>
      </c>
      <c r="O795" t="s">
        <v>23</v>
      </c>
      <c r="P795" t="s">
        <v>1049</v>
      </c>
      <c r="Q795" s="9" t="str">
        <f t="shared" si="25"/>
        <v>Valid</v>
      </c>
      <c r="R795">
        <v>91100429</v>
      </c>
      <c r="S795" s="7" t="str">
        <f t="shared" si="24"/>
        <v>Invalid</v>
      </c>
      <c r="T795" t="str">
        <f>IF(Table1[[#This Row],[Age]]&lt;25,"18-24",IF(Table1[[#This Row],[Age]]&lt;30,"25-29",IF(Table1[[#This Row],[Age]]&lt;35,"30-34",IF(Table1[[#This Row],[Age]]&lt;40,"35-39",IF(Table1[[#This Row],[Age]]&lt;50,"40-49","50+")))))</f>
        <v>40-49</v>
      </c>
    </row>
    <row r="796" spans="1:20" x14ac:dyDescent="0.35">
      <c r="A796">
        <v>1795</v>
      </c>
      <c r="B796" t="s">
        <v>58</v>
      </c>
      <c r="C796" t="s">
        <v>32</v>
      </c>
      <c r="D796" t="s">
        <v>17</v>
      </c>
      <c r="E796">
        <v>29</v>
      </c>
      <c r="F796" t="s">
        <v>18</v>
      </c>
      <c r="G796" t="s">
        <v>34</v>
      </c>
      <c r="H796" t="s">
        <v>44</v>
      </c>
      <c r="I796" s="1">
        <v>66068</v>
      </c>
      <c r="J796" t="s">
        <v>1778</v>
      </c>
      <c r="K796" t="s">
        <v>30</v>
      </c>
      <c r="L796">
        <v>13</v>
      </c>
      <c r="M796">
        <v>2</v>
      </c>
      <c r="N796" t="s">
        <v>22</v>
      </c>
      <c r="O796" t="s">
        <v>23</v>
      </c>
      <c r="P796" s="3" t="s">
        <v>1318</v>
      </c>
      <c r="Q796" s="9" t="str">
        <f t="shared" si="25"/>
        <v>Invalid</v>
      </c>
      <c r="R796">
        <v>9809215533</v>
      </c>
      <c r="S796" s="7" t="str">
        <f t="shared" si="24"/>
        <v>Valid</v>
      </c>
      <c r="T796" t="str">
        <f>IF(Table1[[#This Row],[Age]]&lt;25,"18-24",IF(Table1[[#This Row],[Age]]&lt;30,"25-29",IF(Table1[[#This Row],[Age]]&lt;35,"30-34",IF(Table1[[#This Row],[Age]]&lt;40,"35-39",IF(Table1[[#This Row],[Age]]&lt;50,"40-49","50+")))))</f>
        <v>25-29</v>
      </c>
    </row>
    <row r="797" spans="1:20" x14ac:dyDescent="0.35">
      <c r="A797">
        <v>1796</v>
      </c>
      <c r="B797" t="s">
        <v>37</v>
      </c>
      <c r="C797" t="s">
        <v>43</v>
      </c>
      <c r="D797" t="s">
        <v>27</v>
      </c>
      <c r="E797">
        <v>36</v>
      </c>
      <c r="F797" t="s">
        <v>69</v>
      </c>
      <c r="G797" t="s">
        <v>55</v>
      </c>
      <c r="H797" t="s">
        <v>20</v>
      </c>
      <c r="I797" s="1">
        <v>92449</v>
      </c>
      <c r="J797" t="s">
        <v>1050</v>
      </c>
      <c r="K797" t="s">
        <v>40</v>
      </c>
      <c r="L797">
        <v>19</v>
      </c>
      <c r="M797">
        <v>5</v>
      </c>
      <c r="N797" t="s">
        <v>22</v>
      </c>
      <c r="O797" t="s">
        <v>23</v>
      </c>
      <c r="P797" t="s">
        <v>1051</v>
      </c>
      <c r="Q797" s="9" t="str">
        <f t="shared" si="25"/>
        <v>Valid</v>
      </c>
      <c r="R797">
        <v>9081462606</v>
      </c>
      <c r="S797" s="7" t="str">
        <f t="shared" si="24"/>
        <v>Valid</v>
      </c>
      <c r="T797" t="str">
        <f>IF(Table1[[#This Row],[Age]]&lt;25,"18-24",IF(Table1[[#This Row],[Age]]&lt;30,"25-29",IF(Table1[[#This Row],[Age]]&lt;35,"30-34",IF(Table1[[#This Row],[Age]]&lt;40,"35-39",IF(Table1[[#This Row],[Age]]&lt;50,"40-49","50+")))))</f>
        <v>35-39</v>
      </c>
    </row>
    <row r="798" spans="1:20" x14ac:dyDescent="0.35">
      <c r="A798">
        <v>1797</v>
      </c>
      <c r="B798" t="s">
        <v>64</v>
      </c>
      <c r="C798" t="s">
        <v>61</v>
      </c>
      <c r="D798" t="s">
        <v>27</v>
      </c>
      <c r="E798">
        <v>40</v>
      </c>
      <c r="F798" t="s">
        <v>33</v>
      </c>
      <c r="G798" t="s">
        <v>39</v>
      </c>
      <c r="H798" t="s">
        <v>44</v>
      </c>
      <c r="I798" s="1">
        <v>98298</v>
      </c>
      <c r="J798" t="s">
        <v>1779</v>
      </c>
      <c r="K798" t="s">
        <v>46</v>
      </c>
      <c r="L798">
        <v>18</v>
      </c>
      <c r="M798">
        <v>5</v>
      </c>
      <c r="N798" t="s">
        <v>22</v>
      </c>
      <c r="O798" t="s">
        <v>23</v>
      </c>
      <c r="P798" t="s">
        <v>1052</v>
      </c>
      <c r="Q798" s="9" t="str">
        <f t="shared" si="25"/>
        <v>Valid</v>
      </c>
      <c r="R798">
        <v>94567708</v>
      </c>
      <c r="S798" s="7" t="str">
        <f t="shared" si="24"/>
        <v>Invalid</v>
      </c>
      <c r="T798" t="str">
        <f>IF(Table1[[#This Row],[Age]]&lt;25,"18-24",IF(Table1[[#This Row],[Age]]&lt;30,"25-29",IF(Table1[[#This Row],[Age]]&lt;35,"30-34",IF(Table1[[#This Row],[Age]]&lt;40,"35-39",IF(Table1[[#This Row],[Age]]&lt;50,"40-49","50+")))))</f>
        <v>40-49</v>
      </c>
    </row>
    <row r="799" spans="1:20" x14ac:dyDescent="0.35">
      <c r="A799">
        <v>1798</v>
      </c>
      <c r="B799" t="s">
        <v>15</v>
      </c>
      <c r="C799" t="s">
        <v>32</v>
      </c>
      <c r="D799" t="s">
        <v>17</v>
      </c>
      <c r="E799">
        <v>50</v>
      </c>
      <c r="F799" t="s">
        <v>62</v>
      </c>
      <c r="G799" t="s">
        <v>19</v>
      </c>
      <c r="H799" t="s">
        <v>56</v>
      </c>
      <c r="I799" s="1">
        <v>97291</v>
      </c>
      <c r="J799" t="s">
        <v>1492</v>
      </c>
      <c r="K799" t="s">
        <v>21</v>
      </c>
      <c r="L799">
        <v>23</v>
      </c>
      <c r="M799">
        <v>2</v>
      </c>
      <c r="N799" t="s">
        <v>23</v>
      </c>
      <c r="O799" t="s">
        <v>22</v>
      </c>
      <c r="P799" t="s">
        <v>1053</v>
      </c>
      <c r="Q799" s="9" t="str">
        <f t="shared" si="25"/>
        <v>Valid</v>
      </c>
      <c r="R799">
        <v>9101373646</v>
      </c>
      <c r="S799" s="7" t="str">
        <f t="shared" si="24"/>
        <v>Valid</v>
      </c>
      <c r="T799" t="str">
        <f>IF(Table1[[#This Row],[Age]]&lt;25,"18-24",IF(Table1[[#This Row],[Age]]&lt;30,"25-29",IF(Table1[[#This Row],[Age]]&lt;35,"30-34",IF(Table1[[#This Row],[Age]]&lt;40,"35-39",IF(Table1[[#This Row],[Age]]&lt;50,"40-49","50+")))))</f>
        <v>50+</v>
      </c>
    </row>
    <row r="800" spans="1:20" x14ac:dyDescent="0.35">
      <c r="A800">
        <v>1799</v>
      </c>
      <c r="B800" t="s">
        <v>37</v>
      </c>
      <c r="C800" t="s">
        <v>16</v>
      </c>
      <c r="D800" t="s">
        <v>27</v>
      </c>
      <c r="E800">
        <v>43</v>
      </c>
      <c r="F800" t="s">
        <v>33</v>
      </c>
      <c r="G800" t="s">
        <v>55</v>
      </c>
      <c r="H800" t="s">
        <v>35</v>
      </c>
      <c r="I800" s="1">
        <v>70136</v>
      </c>
      <c r="J800" t="s">
        <v>1054</v>
      </c>
      <c r="K800" t="s">
        <v>49</v>
      </c>
      <c r="L800">
        <v>23</v>
      </c>
      <c r="M800">
        <v>5</v>
      </c>
      <c r="N800" t="s">
        <v>22</v>
      </c>
      <c r="O800" t="s">
        <v>22</v>
      </c>
      <c r="P800" t="s">
        <v>1055</v>
      </c>
      <c r="Q800" s="9" t="str">
        <f t="shared" si="25"/>
        <v>Valid</v>
      </c>
      <c r="R800">
        <v>9886592504</v>
      </c>
      <c r="S800" s="7" t="str">
        <f t="shared" si="24"/>
        <v>Valid</v>
      </c>
      <c r="T800" t="str">
        <f>IF(Table1[[#This Row],[Age]]&lt;25,"18-24",IF(Table1[[#This Row],[Age]]&lt;30,"25-29",IF(Table1[[#This Row],[Age]]&lt;35,"30-34",IF(Table1[[#This Row],[Age]]&lt;40,"35-39",IF(Table1[[#This Row],[Age]]&lt;50,"40-49","50+")))))</f>
        <v>40-49</v>
      </c>
    </row>
    <row r="801" spans="1:20" x14ac:dyDescent="0.35">
      <c r="A801">
        <v>1800</v>
      </c>
      <c r="B801" t="s">
        <v>54</v>
      </c>
      <c r="C801" t="s">
        <v>43</v>
      </c>
      <c r="D801" t="s">
        <v>17</v>
      </c>
      <c r="E801">
        <v>32</v>
      </c>
      <c r="F801" t="s">
        <v>69</v>
      </c>
      <c r="G801" t="s">
        <v>55</v>
      </c>
      <c r="H801" t="s">
        <v>35</v>
      </c>
      <c r="I801" s="1">
        <v>42341</v>
      </c>
      <c r="J801" t="s">
        <v>1056</v>
      </c>
      <c r="K801" t="s">
        <v>46</v>
      </c>
      <c r="L801">
        <v>17</v>
      </c>
      <c r="M801">
        <v>4</v>
      </c>
      <c r="N801" t="s">
        <v>23</v>
      </c>
      <c r="O801" t="s">
        <v>23</v>
      </c>
      <c r="P801" t="s">
        <v>1057</v>
      </c>
      <c r="Q801" s="9" t="str">
        <f t="shared" si="25"/>
        <v>Valid</v>
      </c>
      <c r="R801">
        <v>9408002353</v>
      </c>
      <c r="S801" s="7" t="str">
        <f t="shared" si="24"/>
        <v>Valid</v>
      </c>
      <c r="T801" t="str">
        <f>IF(Table1[[#This Row],[Age]]&lt;25,"18-24",IF(Table1[[#This Row],[Age]]&lt;30,"25-29",IF(Table1[[#This Row],[Age]]&lt;35,"30-34",IF(Table1[[#This Row],[Age]]&lt;40,"35-39",IF(Table1[[#This Row],[Age]]&lt;50,"40-49","50+")))))</f>
        <v>30-34</v>
      </c>
    </row>
    <row r="802" spans="1:20" x14ac:dyDescent="0.35">
      <c r="A802">
        <v>1801</v>
      </c>
      <c r="B802" t="s">
        <v>42</v>
      </c>
      <c r="C802" t="s">
        <v>43</v>
      </c>
      <c r="D802" t="s">
        <v>27</v>
      </c>
      <c r="E802">
        <v>50</v>
      </c>
      <c r="F802" t="s">
        <v>62</v>
      </c>
      <c r="G802" t="s">
        <v>39</v>
      </c>
      <c r="H802" t="s">
        <v>28</v>
      </c>
      <c r="I802" s="1">
        <v>114680</v>
      </c>
      <c r="J802" t="s">
        <v>1780</v>
      </c>
      <c r="K802" t="s">
        <v>49</v>
      </c>
      <c r="L802">
        <v>11</v>
      </c>
      <c r="M802">
        <v>5</v>
      </c>
      <c r="N802" t="s">
        <v>23</v>
      </c>
      <c r="O802" t="s">
        <v>22</v>
      </c>
      <c r="P802" t="s">
        <v>1058</v>
      </c>
      <c r="Q802" s="9" t="str">
        <f t="shared" si="25"/>
        <v>Valid</v>
      </c>
      <c r="R802">
        <v>9427046534</v>
      </c>
      <c r="S802" s="7" t="str">
        <f t="shared" si="24"/>
        <v>Valid</v>
      </c>
      <c r="T802" t="str">
        <f>IF(Table1[[#This Row],[Age]]&lt;25,"18-24",IF(Table1[[#This Row],[Age]]&lt;30,"25-29",IF(Table1[[#This Row],[Age]]&lt;35,"30-34",IF(Table1[[#This Row],[Age]]&lt;40,"35-39",IF(Table1[[#This Row],[Age]]&lt;50,"40-49","50+")))))</f>
        <v>50+</v>
      </c>
    </row>
    <row r="803" spans="1:20" x14ac:dyDescent="0.35">
      <c r="A803">
        <v>1802</v>
      </c>
      <c r="B803" t="s">
        <v>82</v>
      </c>
      <c r="C803" t="s">
        <v>32</v>
      </c>
      <c r="D803" t="s">
        <v>27</v>
      </c>
      <c r="E803">
        <v>28</v>
      </c>
      <c r="F803" t="s">
        <v>33</v>
      </c>
      <c r="G803" t="s">
        <v>19</v>
      </c>
      <c r="H803" t="s">
        <v>44</v>
      </c>
      <c r="I803" s="1">
        <v>98172</v>
      </c>
      <c r="J803" t="s">
        <v>1781</v>
      </c>
      <c r="K803" t="s">
        <v>30</v>
      </c>
      <c r="L803">
        <v>25</v>
      </c>
      <c r="M803">
        <v>4</v>
      </c>
      <c r="N803" t="s">
        <v>22</v>
      </c>
      <c r="O803" t="s">
        <v>22</v>
      </c>
      <c r="P803" t="s">
        <v>1059</v>
      </c>
      <c r="Q803" s="9" t="str">
        <f t="shared" si="25"/>
        <v>Valid</v>
      </c>
      <c r="R803">
        <v>9277113065</v>
      </c>
      <c r="S803" s="7" t="str">
        <f t="shared" si="24"/>
        <v>Valid</v>
      </c>
      <c r="T803" t="str">
        <f>IF(Table1[[#This Row],[Age]]&lt;25,"18-24",IF(Table1[[#This Row],[Age]]&lt;30,"25-29",IF(Table1[[#This Row],[Age]]&lt;35,"30-34",IF(Table1[[#This Row],[Age]]&lt;40,"35-39",IF(Table1[[#This Row],[Age]]&lt;50,"40-49","50+")))))</f>
        <v>25-29</v>
      </c>
    </row>
    <row r="804" spans="1:20" x14ac:dyDescent="0.35">
      <c r="A804">
        <v>1803</v>
      </c>
      <c r="B804" t="s">
        <v>60</v>
      </c>
      <c r="C804" t="s">
        <v>32</v>
      </c>
      <c r="D804" t="s">
        <v>27</v>
      </c>
      <c r="E804">
        <v>32</v>
      </c>
      <c r="F804" t="s">
        <v>69</v>
      </c>
      <c r="G804" t="s">
        <v>77</v>
      </c>
      <c r="H804" t="s">
        <v>20</v>
      </c>
      <c r="I804" s="1">
        <v>107795</v>
      </c>
      <c r="J804" t="s">
        <v>1060</v>
      </c>
      <c r="K804" t="s">
        <v>21</v>
      </c>
      <c r="L804">
        <v>17</v>
      </c>
      <c r="M804">
        <v>4</v>
      </c>
      <c r="N804" t="s">
        <v>22</v>
      </c>
      <c r="O804" t="s">
        <v>23</v>
      </c>
      <c r="P804" t="s">
        <v>1061</v>
      </c>
      <c r="Q804" s="9" t="str">
        <f t="shared" si="25"/>
        <v>Valid</v>
      </c>
      <c r="R804">
        <v>9073418262</v>
      </c>
      <c r="S804" s="7" t="str">
        <f t="shared" si="24"/>
        <v>Valid</v>
      </c>
      <c r="T804" t="str">
        <f>IF(Table1[[#This Row],[Age]]&lt;25,"18-24",IF(Table1[[#This Row],[Age]]&lt;30,"25-29",IF(Table1[[#This Row],[Age]]&lt;35,"30-34",IF(Table1[[#This Row],[Age]]&lt;40,"35-39",IF(Table1[[#This Row],[Age]]&lt;50,"40-49","50+")))))</f>
        <v>30-34</v>
      </c>
    </row>
    <row r="805" spans="1:20" x14ac:dyDescent="0.35">
      <c r="A805">
        <v>1804</v>
      </c>
      <c r="B805" t="s">
        <v>64</v>
      </c>
      <c r="C805" t="s">
        <v>16</v>
      </c>
      <c r="D805" t="s">
        <v>17</v>
      </c>
      <c r="E805">
        <v>45</v>
      </c>
      <c r="F805" t="s">
        <v>38</v>
      </c>
      <c r="G805" t="s">
        <v>39</v>
      </c>
      <c r="H805" t="s">
        <v>35</v>
      </c>
      <c r="I805" s="2" t="s">
        <v>1316</v>
      </c>
      <c r="J805" t="s">
        <v>1782</v>
      </c>
      <c r="K805" t="s">
        <v>21</v>
      </c>
      <c r="L805">
        <v>0</v>
      </c>
      <c r="M805">
        <v>2</v>
      </c>
      <c r="N805" t="s">
        <v>23</v>
      </c>
      <c r="O805" t="s">
        <v>23</v>
      </c>
      <c r="P805" t="s">
        <v>1062</v>
      </c>
      <c r="Q805" s="9" t="str">
        <f t="shared" si="25"/>
        <v>Valid</v>
      </c>
      <c r="R805">
        <v>9416484757</v>
      </c>
      <c r="S805" s="7" t="str">
        <f t="shared" si="24"/>
        <v>Valid</v>
      </c>
      <c r="T805" t="str">
        <f>IF(Table1[[#This Row],[Age]]&lt;25,"18-24",IF(Table1[[#This Row],[Age]]&lt;30,"25-29",IF(Table1[[#This Row],[Age]]&lt;35,"30-34",IF(Table1[[#This Row],[Age]]&lt;40,"35-39",IF(Table1[[#This Row],[Age]]&lt;50,"40-49","50+")))))</f>
        <v>40-49</v>
      </c>
    </row>
    <row r="806" spans="1:20" x14ac:dyDescent="0.35">
      <c r="A806">
        <v>1805</v>
      </c>
      <c r="B806" t="s">
        <v>82</v>
      </c>
      <c r="C806" t="s">
        <v>61</v>
      </c>
      <c r="D806" t="s">
        <v>27</v>
      </c>
      <c r="E806">
        <v>23</v>
      </c>
      <c r="F806" t="s">
        <v>69</v>
      </c>
      <c r="G806" t="s">
        <v>77</v>
      </c>
      <c r="H806" t="s">
        <v>20</v>
      </c>
      <c r="I806" s="1">
        <v>118993</v>
      </c>
      <c r="J806" t="s">
        <v>1641</v>
      </c>
      <c r="K806" t="s">
        <v>40</v>
      </c>
      <c r="L806">
        <v>6</v>
      </c>
      <c r="M806">
        <v>2</v>
      </c>
      <c r="N806" t="s">
        <v>22</v>
      </c>
      <c r="O806" t="s">
        <v>23</v>
      </c>
      <c r="P806" t="s">
        <v>1063</v>
      </c>
      <c r="Q806" s="9" t="str">
        <f t="shared" si="25"/>
        <v>Valid</v>
      </c>
      <c r="R806">
        <v>9461516335</v>
      </c>
      <c r="S806" s="7" t="str">
        <f t="shared" si="24"/>
        <v>Valid</v>
      </c>
      <c r="T806" t="str">
        <f>IF(Table1[[#This Row],[Age]]&lt;25,"18-24",IF(Table1[[#This Row],[Age]]&lt;30,"25-29",IF(Table1[[#This Row],[Age]]&lt;35,"30-34",IF(Table1[[#This Row],[Age]]&lt;40,"35-39",IF(Table1[[#This Row],[Age]]&lt;50,"40-49","50+")))))</f>
        <v>18-24</v>
      </c>
    </row>
    <row r="807" spans="1:20" x14ac:dyDescent="0.35">
      <c r="A807">
        <v>1806</v>
      </c>
      <c r="B807" t="s">
        <v>37</v>
      </c>
      <c r="C807" t="s">
        <v>43</v>
      </c>
      <c r="D807" t="s">
        <v>27</v>
      </c>
      <c r="E807">
        <v>58</v>
      </c>
      <c r="F807" t="s">
        <v>33</v>
      </c>
      <c r="G807" t="s">
        <v>77</v>
      </c>
      <c r="H807" t="s">
        <v>20</v>
      </c>
      <c r="I807" s="1">
        <v>51229</v>
      </c>
      <c r="J807" t="s">
        <v>1740</v>
      </c>
      <c r="K807" t="s">
        <v>49</v>
      </c>
      <c r="L807">
        <v>15</v>
      </c>
      <c r="M807">
        <v>1</v>
      </c>
      <c r="N807" t="s">
        <v>22</v>
      </c>
      <c r="O807" t="s">
        <v>23</v>
      </c>
      <c r="P807" t="s">
        <v>1064</v>
      </c>
      <c r="Q807" s="9" t="str">
        <f t="shared" si="25"/>
        <v>Valid</v>
      </c>
      <c r="R807">
        <v>9868624370</v>
      </c>
      <c r="S807" s="7" t="str">
        <f t="shared" si="24"/>
        <v>Valid</v>
      </c>
      <c r="T807" t="str">
        <f>IF(Table1[[#This Row],[Age]]&lt;25,"18-24",IF(Table1[[#This Row],[Age]]&lt;30,"25-29",IF(Table1[[#This Row],[Age]]&lt;35,"30-34",IF(Table1[[#This Row],[Age]]&lt;40,"35-39",IF(Table1[[#This Row],[Age]]&lt;50,"40-49","50+")))))</f>
        <v>50+</v>
      </c>
    </row>
    <row r="808" spans="1:20" x14ac:dyDescent="0.35">
      <c r="A808">
        <v>1807</v>
      </c>
      <c r="B808" t="s">
        <v>42</v>
      </c>
      <c r="C808" t="s">
        <v>26</v>
      </c>
      <c r="D808" t="s">
        <v>27</v>
      </c>
      <c r="E808">
        <v>57</v>
      </c>
      <c r="F808" t="s">
        <v>69</v>
      </c>
      <c r="G808" t="s">
        <v>55</v>
      </c>
      <c r="H808" t="s">
        <v>20</v>
      </c>
      <c r="I808" s="1">
        <v>60506</v>
      </c>
      <c r="J808" t="s">
        <v>1783</v>
      </c>
      <c r="K808" t="s">
        <v>21</v>
      </c>
      <c r="L808">
        <v>17</v>
      </c>
      <c r="M808">
        <v>4</v>
      </c>
      <c r="N808" t="s">
        <v>23</v>
      </c>
      <c r="O808" t="s">
        <v>22</v>
      </c>
      <c r="P808" t="s">
        <v>1065</v>
      </c>
      <c r="Q808" s="9" t="str">
        <f t="shared" si="25"/>
        <v>Valid</v>
      </c>
      <c r="R808">
        <v>9899068205</v>
      </c>
      <c r="S808" s="7" t="str">
        <f t="shared" si="24"/>
        <v>Valid</v>
      </c>
      <c r="T808" t="str">
        <f>IF(Table1[[#This Row],[Age]]&lt;25,"18-24",IF(Table1[[#This Row],[Age]]&lt;30,"25-29",IF(Table1[[#This Row],[Age]]&lt;35,"30-34",IF(Table1[[#This Row],[Age]]&lt;40,"35-39",IF(Table1[[#This Row],[Age]]&lt;50,"40-49","50+")))))</f>
        <v>50+</v>
      </c>
    </row>
    <row r="809" spans="1:20" x14ac:dyDescent="0.35">
      <c r="A809">
        <v>1808</v>
      </c>
      <c r="B809" t="s">
        <v>25</v>
      </c>
      <c r="C809" t="s">
        <v>26</v>
      </c>
      <c r="D809" t="s">
        <v>17</v>
      </c>
      <c r="E809">
        <v>25</v>
      </c>
      <c r="F809" t="s">
        <v>62</v>
      </c>
      <c r="G809" t="s">
        <v>55</v>
      </c>
      <c r="H809" t="s">
        <v>44</v>
      </c>
      <c r="I809" s="1">
        <v>116685</v>
      </c>
      <c r="J809" t="s">
        <v>1066</v>
      </c>
      <c r="K809" t="s">
        <v>49</v>
      </c>
      <c r="L809">
        <v>2</v>
      </c>
      <c r="M809">
        <v>5</v>
      </c>
      <c r="N809" t="s">
        <v>22</v>
      </c>
      <c r="O809" t="s">
        <v>23</v>
      </c>
      <c r="P809" t="s">
        <v>1067</v>
      </c>
      <c r="Q809" s="9" t="str">
        <f t="shared" si="25"/>
        <v>Valid</v>
      </c>
      <c r="R809">
        <v>9645334428</v>
      </c>
      <c r="S809" s="7" t="str">
        <f t="shared" si="24"/>
        <v>Valid</v>
      </c>
      <c r="T809" t="str">
        <f>IF(Table1[[#This Row],[Age]]&lt;25,"18-24",IF(Table1[[#This Row],[Age]]&lt;30,"25-29",IF(Table1[[#This Row],[Age]]&lt;35,"30-34",IF(Table1[[#This Row],[Age]]&lt;40,"35-39",IF(Table1[[#This Row],[Age]]&lt;50,"40-49","50+")))))</f>
        <v>25-29</v>
      </c>
    </row>
    <row r="810" spans="1:20" x14ac:dyDescent="0.35">
      <c r="A810">
        <v>1809</v>
      </c>
      <c r="B810" t="s">
        <v>25</v>
      </c>
      <c r="C810" t="s">
        <v>61</v>
      </c>
      <c r="D810" t="s">
        <v>17</v>
      </c>
      <c r="E810">
        <v>25</v>
      </c>
      <c r="F810" t="s">
        <v>38</v>
      </c>
      <c r="G810" t="s">
        <v>39</v>
      </c>
      <c r="H810" t="s">
        <v>56</v>
      </c>
      <c r="I810" s="1">
        <v>57650</v>
      </c>
      <c r="J810" t="s">
        <v>1784</v>
      </c>
      <c r="K810" t="s">
        <v>30</v>
      </c>
      <c r="L810">
        <v>18</v>
      </c>
      <c r="M810">
        <v>2</v>
      </c>
      <c r="N810" t="s">
        <v>22</v>
      </c>
      <c r="O810" t="s">
        <v>22</v>
      </c>
      <c r="P810" t="s">
        <v>1068</v>
      </c>
      <c r="Q810" s="9" t="str">
        <f t="shared" si="25"/>
        <v>Valid</v>
      </c>
      <c r="R810">
        <v>9261345159</v>
      </c>
      <c r="S810" s="7" t="str">
        <f t="shared" si="24"/>
        <v>Valid</v>
      </c>
      <c r="T810" t="str">
        <f>IF(Table1[[#This Row],[Age]]&lt;25,"18-24",IF(Table1[[#This Row],[Age]]&lt;30,"25-29",IF(Table1[[#This Row],[Age]]&lt;35,"30-34",IF(Table1[[#This Row],[Age]]&lt;40,"35-39",IF(Table1[[#This Row],[Age]]&lt;50,"40-49","50+")))))</f>
        <v>25-29</v>
      </c>
    </row>
    <row r="811" spans="1:20" x14ac:dyDescent="0.35">
      <c r="A811">
        <v>1810</v>
      </c>
      <c r="B811" t="s">
        <v>64</v>
      </c>
      <c r="C811" t="s">
        <v>16</v>
      </c>
      <c r="D811" t="s">
        <v>27</v>
      </c>
      <c r="E811">
        <v>38</v>
      </c>
      <c r="F811" t="s">
        <v>69</v>
      </c>
      <c r="G811" t="s">
        <v>55</v>
      </c>
      <c r="H811" t="s">
        <v>56</v>
      </c>
      <c r="I811" s="1">
        <v>77882</v>
      </c>
      <c r="J811" t="s">
        <v>1785</v>
      </c>
      <c r="K811" t="s">
        <v>21</v>
      </c>
      <c r="L811">
        <v>17</v>
      </c>
      <c r="M811">
        <v>3</v>
      </c>
      <c r="N811" t="s">
        <v>23</v>
      </c>
      <c r="O811" t="s">
        <v>22</v>
      </c>
      <c r="P811" t="s">
        <v>1069</v>
      </c>
      <c r="Q811" s="9" t="str">
        <f t="shared" si="25"/>
        <v>Valid</v>
      </c>
      <c r="R811">
        <v>9396412842</v>
      </c>
      <c r="S811" s="7" t="str">
        <f t="shared" si="24"/>
        <v>Valid</v>
      </c>
      <c r="T811" t="str">
        <f>IF(Table1[[#This Row],[Age]]&lt;25,"18-24",IF(Table1[[#This Row],[Age]]&lt;30,"25-29",IF(Table1[[#This Row],[Age]]&lt;35,"30-34",IF(Table1[[#This Row],[Age]]&lt;40,"35-39",IF(Table1[[#This Row],[Age]]&lt;50,"40-49","50+")))))</f>
        <v>35-39</v>
      </c>
    </row>
    <row r="812" spans="1:20" x14ac:dyDescent="0.35">
      <c r="A812">
        <v>1811</v>
      </c>
      <c r="B812" t="s">
        <v>67</v>
      </c>
      <c r="C812" t="s">
        <v>26</v>
      </c>
      <c r="D812" t="s">
        <v>27</v>
      </c>
      <c r="E812">
        <v>34</v>
      </c>
      <c r="F812" t="s">
        <v>62</v>
      </c>
      <c r="G812" t="s">
        <v>55</v>
      </c>
      <c r="H812" t="s">
        <v>28</v>
      </c>
      <c r="I812" s="1">
        <v>41433</v>
      </c>
      <c r="J812" t="s">
        <v>1786</v>
      </c>
      <c r="K812" t="s">
        <v>49</v>
      </c>
      <c r="L812">
        <v>24</v>
      </c>
      <c r="M812">
        <v>2</v>
      </c>
      <c r="N812" t="s">
        <v>22</v>
      </c>
      <c r="O812" t="s">
        <v>23</v>
      </c>
      <c r="P812" t="s">
        <v>1070</v>
      </c>
      <c r="Q812" s="9" t="str">
        <f t="shared" si="25"/>
        <v>Valid</v>
      </c>
      <c r="R812">
        <v>9446208923</v>
      </c>
      <c r="S812" s="7" t="str">
        <f t="shared" si="24"/>
        <v>Valid</v>
      </c>
      <c r="T812" t="str">
        <f>IF(Table1[[#This Row],[Age]]&lt;25,"18-24",IF(Table1[[#This Row],[Age]]&lt;30,"25-29",IF(Table1[[#This Row],[Age]]&lt;35,"30-34",IF(Table1[[#This Row],[Age]]&lt;40,"35-39",IF(Table1[[#This Row],[Age]]&lt;50,"40-49","50+")))))</f>
        <v>30-34</v>
      </c>
    </row>
    <row r="813" spans="1:20" x14ac:dyDescent="0.35">
      <c r="A813">
        <v>1812</v>
      </c>
      <c r="B813" t="s">
        <v>15</v>
      </c>
      <c r="C813" t="s">
        <v>16</v>
      </c>
      <c r="D813" t="s">
        <v>27</v>
      </c>
      <c r="E813">
        <v>55</v>
      </c>
      <c r="F813" t="s">
        <v>33</v>
      </c>
      <c r="G813" t="s">
        <v>77</v>
      </c>
      <c r="H813" t="s">
        <v>20</v>
      </c>
      <c r="I813" s="1">
        <v>48891</v>
      </c>
      <c r="J813" t="s">
        <v>1787</v>
      </c>
      <c r="K813" t="s">
        <v>46</v>
      </c>
      <c r="L813">
        <v>17</v>
      </c>
      <c r="M813">
        <v>1</v>
      </c>
      <c r="N813" t="s">
        <v>23</v>
      </c>
      <c r="O813" t="s">
        <v>22</v>
      </c>
      <c r="P813" s="3" t="s">
        <v>1318</v>
      </c>
      <c r="Q813" s="9" t="str">
        <f t="shared" si="25"/>
        <v>Invalid</v>
      </c>
      <c r="R813">
        <v>9186207820</v>
      </c>
      <c r="S813" s="7" t="str">
        <f t="shared" si="24"/>
        <v>Valid</v>
      </c>
      <c r="T813" t="str">
        <f>IF(Table1[[#This Row],[Age]]&lt;25,"18-24",IF(Table1[[#This Row],[Age]]&lt;30,"25-29",IF(Table1[[#This Row],[Age]]&lt;35,"30-34",IF(Table1[[#This Row],[Age]]&lt;40,"35-39",IF(Table1[[#This Row],[Age]]&lt;50,"40-49","50+")))))</f>
        <v>50+</v>
      </c>
    </row>
    <row r="814" spans="1:20" x14ac:dyDescent="0.35">
      <c r="A814">
        <v>1813</v>
      </c>
      <c r="B814" t="s">
        <v>82</v>
      </c>
      <c r="C814" t="s">
        <v>26</v>
      </c>
      <c r="D814" t="s">
        <v>17</v>
      </c>
      <c r="E814">
        <v>54</v>
      </c>
      <c r="F814" t="s">
        <v>38</v>
      </c>
      <c r="G814" t="s">
        <v>19</v>
      </c>
      <c r="H814" t="s">
        <v>56</v>
      </c>
      <c r="I814" s="1">
        <v>104014</v>
      </c>
      <c r="J814" t="s">
        <v>1788</v>
      </c>
      <c r="K814" t="s">
        <v>21</v>
      </c>
      <c r="L814">
        <v>16</v>
      </c>
      <c r="M814">
        <v>5</v>
      </c>
      <c r="N814" t="s">
        <v>23</v>
      </c>
      <c r="O814" t="s">
        <v>23</v>
      </c>
      <c r="P814" t="s">
        <v>1071</v>
      </c>
      <c r="Q814" s="9" t="str">
        <f t="shared" si="25"/>
        <v>Valid</v>
      </c>
      <c r="R814">
        <v>9785289870</v>
      </c>
      <c r="S814" s="7" t="str">
        <f t="shared" si="24"/>
        <v>Valid</v>
      </c>
      <c r="T814" t="str">
        <f>IF(Table1[[#This Row],[Age]]&lt;25,"18-24",IF(Table1[[#This Row],[Age]]&lt;30,"25-29",IF(Table1[[#This Row],[Age]]&lt;35,"30-34",IF(Table1[[#This Row],[Age]]&lt;40,"35-39",IF(Table1[[#This Row],[Age]]&lt;50,"40-49","50+")))))</f>
        <v>50+</v>
      </c>
    </row>
    <row r="815" spans="1:20" x14ac:dyDescent="0.35">
      <c r="A815">
        <v>1814</v>
      </c>
      <c r="B815" t="s">
        <v>58</v>
      </c>
      <c r="C815" t="s">
        <v>61</v>
      </c>
      <c r="D815" t="s">
        <v>17</v>
      </c>
      <c r="E815">
        <v>45</v>
      </c>
      <c r="F815" t="s">
        <v>69</v>
      </c>
      <c r="G815" t="s">
        <v>77</v>
      </c>
      <c r="H815" t="s">
        <v>20</v>
      </c>
      <c r="I815" s="1">
        <v>66876</v>
      </c>
      <c r="J815" t="s">
        <v>80</v>
      </c>
      <c r="K815" t="s">
        <v>21</v>
      </c>
      <c r="L815">
        <v>23</v>
      </c>
      <c r="M815">
        <v>4</v>
      </c>
      <c r="N815" t="s">
        <v>22</v>
      </c>
      <c r="O815" t="s">
        <v>22</v>
      </c>
      <c r="P815" t="s">
        <v>1072</v>
      </c>
      <c r="Q815" s="9" t="str">
        <f t="shared" si="25"/>
        <v>Invalid</v>
      </c>
      <c r="R815">
        <v>9261020959</v>
      </c>
      <c r="S815" s="7" t="str">
        <f t="shared" si="24"/>
        <v>Valid</v>
      </c>
      <c r="T815" t="str">
        <f>IF(Table1[[#This Row],[Age]]&lt;25,"18-24",IF(Table1[[#This Row],[Age]]&lt;30,"25-29",IF(Table1[[#This Row],[Age]]&lt;35,"30-34",IF(Table1[[#This Row],[Age]]&lt;40,"35-39",IF(Table1[[#This Row],[Age]]&lt;50,"40-49","50+")))))</f>
        <v>40-49</v>
      </c>
    </row>
    <row r="816" spans="1:20" x14ac:dyDescent="0.35">
      <c r="A816">
        <v>1815</v>
      </c>
      <c r="B816" t="s">
        <v>60</v>
      </c>
      <c r="C816" t="s">
        <v>26</v>
      </c>
      <c r="D816" t="s">
        <v>17</v>
      </c>
      <c r="E816">
        <v>30</v>
      </c>
      <c r="F816" t="s">
        <v>38</v>
      </c>
      <c r="G816" t="s">
        <v>34</v>
      </c>
      <c r="H816" t="s">
        <v>20</v>
      </c>
      <c r="I816" s="1">
        <v>112584</v>
      </c>
      <c r="J816" t="s">
        <v>1789</v>
      </c>
      <c r="K816" t="s">
        <v>46</v>
      </c>
      <c r="L816">
        <v>7</v>
      </c>
      <c r="M816">
        <v>2</v>
      </c>
      <c r="N816" t="s">
        <v>23</v>
      </c>
      <c r="O816" t="s">
        <v>22</v>
      </c>
      <c r="P816" t="s">
        <v>1073</v>
      </c>
      <c r="Q816" s="9" t="str">
        <f t="shared" si="25"/>
        <v>Valid</v>
      </c>
      <c r="R816">
        <v>9973119299</v>
      </c>
      <c r="S816" s="7" t="str">
        <f t="shared" si="24"/>
        <v>Valid</v>
      </c>
      <c r="T816" t="str">
        <f>IF(Table1[[#This Row],[Age]]&lt;25,"18-24",IF(Table1[[#This Row],[Age]]&lt;30,"25-29",IF(Table1[[#This Row],[Age]]&lt;35,"30-34",IF(Table1[[#This Row],[Age]]&lt;40,"35-39",IF(Table1[[#This Row],[Age]]&lt;50,"40-49","50+")))))</f>
        <v>30-34</v>
      </c>
    </row>
    <row r="817" spans="1:20" x14ac:dyDescent="0.35">
      <c r="A817">
        <v>1816</v>
      </c>
      <c r="B817" t="s">
        <v>37</v>
      </c>
      <c r="C817" t="s">
        <v>61</v>
      </c>
      <c r="D817" t="s">
        <v>17</v>
      </c>
      <c r="E817">
        <v>34</v>
      </c>
      <c r="F817" t="s">
        <v>62</v>
      </c>
      <c r="G817" t="s">
        <v>19</v>
      </c>
      <c r="H817" t="s">
        <v>44</v>
      </c>
      <c r="I817" s="1">
        <v>104574</v>
      </c>
      <c r="J817" t="s">
        <v>1790</v>
      </c>
      <c r="K817" t="s">
        <v>21</v>
      </c>
      <c r="L817">
        <v>6</v>
      </c>
      <c r="M817">
        <v>3</v>
      </c>
      <c r="N817" t="s">
        <v>22</v>
      </c>
      <c r="O817" t="s">
        <v>22</v>
      </c>
      <c r="P817" t="s">
        <v>1074</v>
      </c>
      <c r="Q817" s="9" t="str">
        <f t="shared" si="25"/>
        <v>Valid</v>
      </c>
      <c r="R817">
        <v>9586104557</v>
      </c>
      <c r="S817" s="7" t="str">
        <f t="shared" si="24"/>
        <v>Valid</v>
      </c>
      <c r="T817" t="str">
        <f>IF(Table1[[#This Row],[Age]]&lt;25,"18-24",IF(Table1[[#This Row],[Age]]&lt;30,"25-29",IF(Table1[[#This Row],[Age]]&lt;35,"30-34",IF(Table1[[#This Row],[Age]]&lt;40,"35-39",IF(Table1[[#This Row],[Age]]&lt;50,"40-49","50+")))))</f>
        <v>30-34</v>
      </c>
    </row>
    <row r="818" spans="1:20" x14ac:dyDescent="0.35">
      <c r="A818">
        <v>1817</v>
      </c>
      <c r="B818" t="s">
        <v>37</v>
      </c>
      <c r="C818" t="s">
        <v>32</v>
      </c>
      <c r="D818" t="s">
        <v>17</v>
      </c>
      <c r="E818">
        <v>32</v>
      </c>
      <c r="F818" t="s">
        <v>18</v>
      </c>
      <c r="G818" t="s">
        <v>19</v>
      </c>
      <c r="H818" t="s">
        <v>28</v>
      </c>
      <c r="I818" s="1">
        <v>34808</v>
      </c>
      <c r="J818" t="s">
        <v>1791</v>
      </c>
      <c r="K818" t="s">
        <v>46</v>
      </c>
      <c r="L818">
        <v>7</v>
      </c>
      <c r="M818">
        <v>3</v>
      </c>
      <c r="N818" t="s">
        <v>22</v>
      </c>
      <c r="O818" t="s">
        <v>22</v>
      </c>
      <c r="P818" t="s">
        <v>1075</v>
      </c>
      <c r="Q818" s="9" t="str">
        <f t="shared" si="25"/>
        <v>Valid</v>
      </c>
      <c r="R818">
        <v>9751962682</v>
      </c>
      <c r="S818" s="7" t="str">
        <f t="shared" si="24"/>
        <v>Valid</v>
      </c>
      <c r="T818" t="str">
        <f>IF(Table1[[#This Row],[Age]]&lt;25,"18-24",IF(Table1[[#This Row],[Age]]&lt;30,"25-29",IF(Table1[[#This Row],[Age]]&lt;35,"30-34",IF(Table1[[#This Row],[Age]]&lt;40,"35-39",IF(Table1[[#This Row],[Age]]&lt;50,"40-49","50+")))))</f>
        <v>30-34</v>
      </c>
    </row>
    <row r="819" spans="1:20" x14ac:dyDescent="0.35">
      <c r="A819">
        <v>1818</v>
      </c>
      <c r="B819" t="s">
        <v>15</v>
      </c>
      <c r="C819" t="s">
        <v>26</v>
      </c>
      <c r="D819" t="s">
        <v>27</v>
      </c>
      <c r="E819">
        <v>24</v>
      </c>
      <c r="F819" t="s">
        <v>33</v>
      </c>
      <c r="G819" t="s">
        <v>55</v>
      </c>
      <c r="H819" t="s">
        <v>44</v>
      </c>
      <c r="I819" s="1">
        <v>-111091</v>
      </c>
      <c r="J819" t="s">
        <v>1792</v>
      </c>
      <c r="K819" t="s">
        <v>30</v>
      </c>
      <c r="L819">
        <v>11</v>
      </c>
      <c r="M819">
        <v>5</v>
      </c>
      <c r="N819" t="s">
        <v>22</v>
      </c>
      <c r="O819" t="s">
        <v>22</v>
      </c>
      <c r="P819" t="s">
        <v>1076</v>
      </c>
      <c r="Q819" s="9" t="str">
        <f t="shared" si="25"/>
        <v>Valid</v>
      </c>
      <c r="R819">
        <v>9918238475</v>
      </c>
      <c r="S819" s="7" t="str">
        <f t="shared" si="24"/>
        <v>Valid</v>
      </c>
      <c r="T819" t="str">
        <f>IF(Table1[[#This Row],[Age]]&lt;25,"18-24",IF(Table1[[#This Row],[Age]]&lt;30,"25-29",IF(Table1[[#This Row],[Age]]&lt;35,"30-34",IF(Table1[[#This Row],[Age]]&lt;40,"35-39",IF(Table1[[#This Row],[Age]]&lt;50,"40-49","50+")))))</f>
        <v>18-24</v>
      </c>
    </row>
    <row r="820" spans="1:20" x14ac:dyDescent="0.35">
      <c r="A820">
        <v>1819</v>
      </c>
      <c r="B820" t="s">
        <v>58</v>
      </c>
      <c r="C820" t="s">
        <v>61</v>
      </c>
      <c r="D820" t="s">
        <v>17</v>
      </c>
      <c r="E820">
        <v>41</v>
      </c>
      <c r="F820" t="s">
        <v>18</v>
      </c>
      <c r="G820" t="s">
        <v>39</v>
      </c>
      <c r="H820" t="s">
        <v>56</v>
      </c>
      <c r="I820" s="1">
        <v>60582</v>
      </c>
      <c r="J820" t="s">
        <v>1369</v>
      </c>
      <c r="K820" t="s">
        <v>21</v>
      </c>
      <c r="L820">
        <v>11</v>
      </c>
      <c r="M820">
        <v>3</v>
      </c>
      <c r="N820" t="s">
        <v>22</v>
      </c>
      <c r="O820" t="s">
        <v>22</v>
      </c>
      <c r="P820" t="s">
        <v>1077</v>
      </c>
      <c r="Q820" s="9" t="str">
        <f t="shared" si="25"/>
        <v>Valid</v>
      </c>
      <c r="R820">
        <v>9233071427</v>
      </c>
      <c r="S820" s="7" t="str">
        <f t="shared" si="24"/>
        <v>Valid</v>
      </c>
      <c r="T820" t="str">
        <f>IF(Table1[[#This Row],[Age]]&lt;25,"18-24",IF(Table1[[#This Row],[Age]]&lt;30,"25-29",IF(Table1[[#This Row],[Age]]&lt;35,"30-34",IF(Table1[[#This Row],[Age]]&lt;40,"35-39",IF(Table1[[#This Row],[Age]]&lt;50,"40-49","50+")))))</f>
        <v>40-49</v>
      </c>
    </row>
    <row r="821" spans="1:20" x14ac:dyDescent="0.35">
      <c r="A821">
        <v>1820</v>
      </c>
      <c r="B821" t="s">
        <v>82</v>
      </c>
      <c r="C821" t="s">
        <v>26</v>
      </c>
      <c r="D821" t="s">
        <v>27</v>
      </c>
      <c r="E821">
        <v>52</v>
      </c>
      <c r="F821" t="s">
        <v>33</v>
      </c>
      <c r="G821" t="s">
        <v>39</v>
      </c>
      <c r="H821" t="s">
        <v>44</v>
      </c>
      <c r="I821" s="1">
        <v>69509</v>
      </c>
      <c r="J821" t="s">
        <v>1793</v>
      </c>
      <c r="K821" t="s">
        <v>46</v>
      </c>
      <c r="L821">
        <v>2</v>
      </c>
      <c r="M821">
        <v>5</v>
      </c>
      <c r="N821" t="s">
        <v>23</v>
      </c>
      <c r="O821" t="s">
        <v>23</v>
      </c>
      <c r="P821" t="s">
        <v>1078</v>
      </c>
      <c r="Q821" s="9" t="str">
        <f t="shared" si="25"/>
        <v>Valid</v>
      </c>
      <c r="R821">
        <v>9564219088</v>
      </c>
      <c r="S821" s="7" t="str">
        <f t="shared" si="24"/>
        <v>Valid</v>
      </c>
      <c r="T821" t="str">
        <f>IF(Table1[[#This Row],[Age]]&lt;25,"18-24",IF(Table1[[#This Row],[Age]]&lt;30,"25-29",IF(Table1[[#This Row],[Age]]&lt;35,"30-34",IF(Table1[[#This Row],[Age]]&lt;40,"35-39",IF(Table1[[#This Row],[Age]]&lt;50,"40-49","50+")))))</f>
        <v>50+</v>
      </c>
    </row>
    <row r="822" spans="1:20" x14ac:dyDescent="0.35">
      <c r="A822">
        <v>1821</v>
      </c>
      <c r="B822" t="s">
        <v>58</v>
      </c>
      <c r="C822" t="s">
        <v>16</v>
      </c>
      <c r="D822" t="s">
        <v>17</v>
      </c>
      <c r="E822">
        <v>42</v>
      </c>
      <c r="F822" t="s">
        <v>18</v>
      </c>
      <c r="G822" t="s">
        <v>77</v>
      </c>
      <c r="H822" t="s">
        <v>44</v>
      </c>
      <c r="I822" s="1">
        <v>76495</v>
      </c>
      <c r="J822" t="s">
        <v>1794</v>
      </c>
      <c r="K822" t="s">
        <v>46</v>
      </c>
      <c r="L822">
        <v>15</v>
      </c>
      <c r="M822">
        <v>3</v>
      </c>
      <c r="N822" t="s">
        <v>23</v>
      </c>
      <c r="O822" t="s">
        <v>23</v>
      </c>
      <c r="P822" t="s">
        <v>1079</v>
      </c>
      <c r="Q822" s="9" t="str">
        <f t="shared" si="25"/>
        <v>Valid</v>
      </c>
      <c r="R822">
        <v>9653605621</v>
      </c>
      <c r="S822" s="7" t="str">
        <f t="shared" si="24"/>
        <v>Valid</v>
      </c>
      <c r="T822" t="str">
        <f>IF(Table1[[#This Row],[Age]]&lt;25,"18-24",IF(Table1[[#This Row],[Age]]&lt;30,"25-29",IF(Table1[[#This Row],[Age]]&lt;35,"30-34",IF(Table1[[#This Row],[Age]]&lt;40,"35-39",IF(Table1[[#This Row],[Age]]&lt;50,"40-49","50+")))))</f>
        <v>40-49</v>
      </c>
    </row>
    <row r="823" spans="1:20" x14ac:dyDescent="0.35">
      <c r="A823">
        <v>1822</v>
      </c>
      <c r="B823" t="s">
        <v>82</v>
      </c>
      <c r="C823" t="s">
        <v>16</v>
      </c>
      <c r="D823" t="s">
        <v>27</v>
      </c>
      <c r="E823">
        <v>55</v>
      </c>
      <c r="F823" t="s">
        <v>69</v>
      </c>
      <c r="G823" t="s">
        <v>55</v>
      </c>
      <c r="H823" t="s">
        <v>20</v>
      </c>
      <c r="I823" s="1">
        <v>58087</v>
      </c>
      <c r="J823" t="s">
        <v>1795</v>
      </c>
      <c r="K823" t="s">
        <v>46</v>
      </c>
      <c r="L823">
        <v>12</v>
      </c>
      <c r="M823">
        <v>2</v>
      </c>
      <c r="N823" t="s">
        <v>22</v>
      </c>
      <c r="O823" t="s">
        <v>22</v>
      </c>
      <c r="P823" t="s">
        <v>1080</v>
      </c>
      <c r="Q823" s="9" t="str">
        <f t="shared" si="25"/>
        <v>Valid</v>
      </c>
      <c r="R823">
        <v>9893523516</v>
      </c>
      <c r="S823" s="7" t="str">
        <f t="shared" si="24"/>
        <v>Valid</v>
      </c>
      <c r="T823" t="str">
        <f>IF(Table1[[#This Row],[Age]]&lt;25,"18-24",IF(Table1[[#This Row],[Age]]&lt;30,"25-29",IF(Table1[[#This Row],[Age]]&lt;35,"30-34",IF(Table1[[#This Row],[Age]]&lt;40,"35-39",IF(Table1[[#This Row],[Age]]&lt;50,"40-49","50+")))))</f>
        <v>50+</v>
      </c>
    </row>
    <row r="824" spans="1:20" x14ac:dyDescent="0.35">
      <c r="A824">
        <v>1823</v>
      </c>
      <c r="B824" t="s">
        <v>37</v>
      </c>
      <c r="C824" t="s">
        <v>26</v>
      </c>
      <c r="D824" t="s">
        <v>17</v>
      </c>
      <c r="E824">
        <v>54</v>
      </c>
      <c r="F824" t="s">
        <v>62</v>
      </c>
      <c r="G824" t="s">
        <v>77</v>
      </c>
      <c r="H824" t="s">
        <v>35</v>
      </c>
      <c r="I824" s="1">
        <v>37782</v>
      </c>
      <c r="J824" t="s">
        <v>1081</v>
      </c>
      <c r="K824" t="s">
        <v>40</v>
      </c>
      <c r="L824">
        <v>13</v>
      </c>
      <c r="M824">
        <v>5</v>
      </c>
      <c r="N824" t="s">
        <v>22</v>
      </c>
      <c r="O824" t="s">
        <v>22</v>
      </c>
      <c r="P824" t="s">
        <v>1082</v>
      </c>
      <c r="Q824" s="9" t="str">
        <f t="shared" si="25"/>
        <v>Valid</v>
      </c>
      <c r="R824">
        <v>9358780447</v>
      </c>
      <c r="S824" s="7" t="str">
        <f t="shared" si="24"/>
        <v>Valid</v>
      </c>
      <c r="T824" t="str">
        <f>IF(Table1[[#This Row],[Age]]&lt;25,"18-24",IF(Table1[[#This Row],[Age]]&lt;30,"25-29",IF(Table1[[#This Row],[Age]]&lt;35,"30-34",IF(Table1[[#This Row],[Age]]&lt;40,"35-39",IF(Table1[[#This Row],[Age]]&lt;50,"40-49","50+")))))</f>
        <v>50+</v>
      </c>
    </row>
    <row r="825" spans="1:20" x14ac:dyDescent="0.35">
      <c r="A825">
        <v>1824</v>
      </c>
      <c r="B825" t="s">
        <v>37</v>
      </c>
      <c r="C825" t="s">
        <v>16</v>
      </c>
      <c r="D825" t="s">
        <v>17</v>
      </c>
      <c r="E825">
        <v>28</v>
      </c>
      <c r="F825" t="s">
        <v>18</v>
      </c>
      <c r="G825" t="s">
        <v>34</v>
      </c>
      <c r="H825" t="s">
        <v>44</v>
      </c>
      <c r="I825" s="1">
        <v>81197</v>
      </c>
      <c r="J825" t="s">
        <v>1796</v>
      </c>
      <c r="K825" t="s">
        <v>46</v>
      </c>
      <c r="L825">
        <v>7</v>
      </c>
      <c r="M825">
        <v>1</v>
      </c>
      <c r="N825" t="s">
        <v>22</v>
      </c>
      <c r="O825" t="s">
        <v>22</v>
      </c>
      <c r="P825" t="s">
        <v>1083</v>
      </c>
      <c r="Q825" s="9" t="str">
        <f t="shared" si="25"/>
        <v>Valid</v>
      </c>
      <c r="R825">
        <v>9545008855</v>
      </c>
      <c r="S825" s="7" t="str">
        <f t="shared" si="24"/>
        <v>Valid</v>
      </c>
      <c r="T825" t="str">
        <f>IF(Table1[[#This Row],[Age]]&lt;25,"18-24",IF(Table1[[#This Row],[Age]]&lt;30,"25-29",IF(Table1[[#This Row],[Age]]&lt;35,"30-34",IF(Table1[[#This Row],[Age]]&lt;40,"35-39",IF(Table1[[#This Row],[Age]]&lt;50,"40-49","50+")))))</f>
        <v>25-29</v>
      </c>
    </row>
    <row r="826" spans="1:20" x14ac:dyDescent="0.35">
      <c r="A826">
        <v>1825</v>
      </c>
      <c r="B826" t="s">
        <v>60</v>
      </c>
      <c r="C826" t="s">
        <v>32</v>
      </c>
      <c r="D826" t="s">
        <v>17</v>
      </c>
      <c r="E826">
        <v>30</v>
      </c>
      <c r="F826" t="s">
        <v>38</v>
      </c>
      <c r="G826" t="s">
        <v>55</v>
      </c>
      <c r="H826" t="s">
        <v>35</v>
      </c>
      <c r="I826" s="1">
        <v>89498</v>
      </c>
      <c r="J826" t="s">
        <v>1164</v>
      </c>
      <c r="K826" t="s">
        <v>46</v>
      </c>
      <c r="L826">
        <v>8</v>
      </c>
      <c r="M826">
        <v>5</v>
      </c>
      <c r="N826" t="s">
        <v>23</v>
      </c>
      <c r="O826" t="s">
        <v>22</v>
      </c>
      <c r="P826" t="s">
        <v>1084</v>
      </c>
      <c r="Q826" s="9" t="str">
        <f t="shared" si="25"/>
        <v>Valid</v>
      </c>
      <c r="R826">
        <v>9735249961</v>
      </c>
      <c r="S826" s="7" t="str">
        <f t="shared" si="24"/>
        <v>Valid</v>
      </c>
      <c r="T826" t="str">
        <f>IF(Table1[[#This Row],[Age]]&lt;25,"18-24",IF(Table1[[#This Row],[Age]]&lt;30,"25-29",IF(Table1[[#This Row],[Age]]&lt;35,"30-34",IF(Table1[[#This Row],[Age]]&lt;40,"35-39",IF(Table1[[#This Row],[Age]]&lt;50,"40-49","50+")))))</f>
        <v>30-34</v>
      </c>
    </row>
    <row r="827" spans="1:20" x14ac:dyDescent="0.35">
      <c r="A827">
        <v>1826</v>
      </c>
      <c r="B827" t="s">
        <v>54</v>
      </c>
      <c r="C827" t="s">
        <v>61</v>
      </c>
      <c r="D827" t="s">
        <v>17</v>
      </c>
      <c r="E827">
        <v>25</v>
      </c>
      <c r="F827" t="s">
        <v>38</v>
      </c>
      <c r="G827" t="s">
        <v>34</v>
      </c>
      <c r="H827" t="s">
        <v>28</v>
      </c>
      <c r="I827" s="1">
        <v>78635</v>
      </c>
      <c r="J827" t="s">
        <v>1085</v>
      </c>
      <c r="K827" t="s">
        <v>30</v>
      </c>
      <c r="L827">
        <v>17</v>
      </c>
      <c r="M827">
        <v>5</v>
      </c>
      <c r="N827" t="s">
        <v>22</v>
      </c>
      <c r="O827" t="s">
        <v>23</v>
      </c>
      <c r="P827" t="s">
        <v>1086</v>
      </c>
      <c r="Q827" s="9" t="str">
        <f t="shared" si="25"/>
        <v>Valid</v>
      </c>
      <c r="R827">
        <v>9136621977</v>
      </c>
      <c r="S827" s="7" t="str">
        <f t="shared" si="24"/>
        <v>Valid</v>
      </c>
      <c r="T827" t="str">
        <f>IF(Table1[[#This Row],[Age]]&lt;25,"18-24",IF(Table1[[#This Row],[Age]]&lt;30,"25-29",IF(Table1[[#This Row],[Age]]&lt;35,"30-34",IF(Table1[[#This Row],[Age]]&lt;40,"35-39",IF(Table1[[#This Row],[Age]]&lt;50,"40-49","50+")))))</f>
        <v>25-29</v>
      </c>
    </row>
    <row r="828" spans="1:20" x14ac:dyDescent="0.35">
      <c r="A828">
        <v>1827</v>
      </c>
      <c r="B828" t="s">
        <v>15</v>
      </c>
      <c r="C828" t="s">
        <v>16</v>
      </c>
      <c r="D828" t="s">
        <v>27</v>
      </c>
      <c r="E828">
        <v>57</v>
      </c>
      <c r="F828" t="s">
        <v>69</v>
      </c>
      <c r="G828" t="s">
        <v>39</v>
      </c>
      <c r="H828" t="s">
        <v>28</v>
      </c>
      <c r="I828" s="1">
        <v>34114</v>
      </c>
      <c r="J828" t="s">
        <v>1797</v>
      </c>
      <c r="K828" t="s">
        <v>40</v>
      </c>
      <c r="L828">
        <v>10</v>
      </c>
      <c r="M828">
        <v>5</v>
      </c>
      <c r="N828" t="s">
        <v>22</v>
      </c>
      <c r="O828" t="s">
        <v>23</v>
      </c>
      <c r="P828" t="s">
        <v>1087</v>
      </c>
      <c r="Q828" s="9" t="str">
        <f t="shared" si="25"/>
        <v>Valid</v>
      </c>
      <c r="R828">
        <v>9911157554</v>
      </c>
      <c r="S828" s="7" t="str">
        <f t="shared" si="24"/>
        <v>Valid</v>
      </c>
      <c r="T828" t="str">
        <f>IF(Table1[[#This Row],[Age]]&lt;25,"18-24",IF(Table1[[#This Row],[Age]]&lt;30,"25-29",IF(Table1[[#This Row],[Age]]&lt;35,"30-34",IF(Table1[[#This Row],[Age]]&lt;40,"35-39",IF(Table1[[#This Row],[Age]]&lt;50,"40-49","50+")))))</f>
        <v>50+</v>
      </c>
    </row>
    <row r="829" spans="1:20" x14ac:dyDescent="0.35">
      <c r="A829">
        <v>1828</v>
      </c>
      <c r="B829" t="s">
        <v>25</v>
      </c>
      <c r="C829" t="s">
        <v>43</v>
      </c>
      <c r="D829" t="s">
        <v>27</v>
      </c>
      <c r="E829">
        <v>26</v>
      </c>
      <c r="F829" t="s">
        <v>33</v>
      </c>
      <c r="G829" t="s">
        <v>39</v>
      </c>
      <c r="H829" t="s">
        <v>44</v>
      </c>
      <c r="I829" s="1">
        <v>71811</v>
      </c>
      <c r="J829" t="s">
        <v>1798</v>
      </c>
      <c r="K829" t="s">
        <v>21</v>
      </c>
      <c r="L829">
        <v>23</v>
      </c>
      <c r="M829">
        <v>4</v>
      </c>
      <c r="N829" t="s">
        <v>22</v>
      </c>
      <c r="O829" t="s">
        <v>23</v>
      </c>
      <c r="P829" t="s">
        <v>1088</v>
      </c>
      <c r="Q829" s="9" t="str">
        <f t="shared" si="25"/>
        <v>Valid</v>
      </c>
      <c r="R829">
        <v>9786668528</v>
      </c>
      <c r="S829" s="7" t="str">
        <f t="shared" si="24"/>
        <v>Valid</v>
      </c>
      <c r="T829" t="str">
        <f>IF(Table1[[#This Row],[Age]]&lt;25,"18-24",IF(Table1[[#This Row],[Age]]&lt;30,"25-29",IF(Table1[[#This Row],[Age]]&lt;35,"30-34",IF(Table1[[#This Row],[Age]]&lt;40,"35-39",IF(Table1[[#This Row],[Age]]&lt;50,"40-49","50+")))))</f>
        <v>25-29</v>
      </c>
    </row>
    <row r="830" spans="1:20" x14ac:dyDescent="0.35">
      <c r="A830">
        <v>1829</v>
      </c>
      <c r="B830" t="s">
        <v>54</v>
      </c>
      <c r="C830" t="s">
        <v>61</v>
      </c>
      <c r="D830" t="s">
        <v>17</v>
      </c>
      <c r="E830">
        <v>55</v>
      </c>
      <c r="F830" t="s">
        <v>62</v>
      </c>
      <c r="G830" t="s">
        <v>19</v>
      </c>
      <c r="H830" t="s">
        <v>20</v>
      </c>
      <c r="I830" s="1">
        <v>109611</v>
      </c>
      <c r="J830" t="s">
        <v>1089</v>
      </c>
      <c r="K830" t="s">
        <v>30</v>
      </c>
      <c r="L830">
        <v>17</v>
      </c>
      <c r="M830">
        <v>5</v>
      </c>
      <c r="N830" t="s">
        <v>23</v>
      </c>
      <c r="O830" t="s">
        <v>23</v>
      </c>
      <c r="P830" t="s">
        <v>1090</v>
      </c>
      <c r="Q830" s="9" t="str">
        <f t="shared" si="25"/>
        <v>Valid</v>
      </c>
      <c r="R830">
        <v>9126443424</v>
      </c>
      <c r="S830" s="7" t="str">
        <f t="shared" si="24"/>
        <v>Valid</v>
      </c>
      <c r="T830" t="str">
        <f>IF(Table1[[#This Row],[Age]]&lt;25,"18-24",IF(Table1[[#This Row],[Age]]&lt;30,"25-29",IF(Table1[[#This Row],[Age]]&lt;35,"30-34",IF(Table1[[#This Row],[Age]]&lt;40,"35-39",IF(Table1[[#This Row],[Age]]&lt;50,"40-49","50+")))))</f>
        <v>50+</v>
      </c>
    </row>
    <row r="831" spans="1:20" x14ac:dyDescent="0.35">
      <c r="A831">
        <v>1830</v>
      </c>
      <c r="B831" t="s">
        <v>60</v>
      </c>
      <c r="C831" t="s">
        <v>26</v>
      </c>
      <c r="D831" t="s">
        <v>27</v>
      </c>
      <c r="E831">
        <v>50</v>
      </c>
      <c r="F831" t="s">
        <v>38</v>
      </c>
      <c r="G831" t="s">
        <v>19</v>
      </c>
      <c r="H831" t="s">
        <v>56</v>
      </c>
      <c r="I831" s="1">
        <v>85480</v>
      </c>
      <c r="J831" t="s">
        <v>1799</v>
      </c>
      <c r="K831" t="s">
        <v>40</v>
      </c>
      <c r="L831">
        <v>9</v>
      </c>
      <c r="M831">
        <v>4</v>
      </c>
      <c r="N831" t="s">
        <v>22</v>
      </c>
      <c r="O831" t="s">
        <v>22</v>
      </c>
      <c r="P831" t="s">
        <v>1091</v>
      </c>
      <c r="Q831" s="9" t="str">
        <f t="shared" si="25"/>
        <v>Valid</v>
      </c>
      <c r="R831">
        <v>9387071892</v>
      </c>
      <c r="S831" s="7" t="str">
        <f t="shared" si="24"/>
        <v>Valid</v>
      </c>
      <c r="T831" t="str">
        <f>IF(Table1[[#This Row],[Age]]&lt;25,"18-24",IF(Table1[[#This Row],[Age]]&lt;30,"25-29",IF(Table1[[#This Row],[Age]]&lt;35,"30-34",IF(Table1[[#This Row],[Age]]&lt;40,"35-39",IF(Table1[[#This Row],[Age]]&lt;50,"40-49","50+")))))</f>
        <v>50+</v>
      </c>
    </row>
    <row r="832" spans="1:20" x14ac:dyDescent="0.35">
      <c r="A832">
        <v>1831</v>
      </c>
      <c r="B832" t="s">
        <v>82</v>
      </c>
      <c r="C832" t="s">
        <v>16</v>
      </c>
      <c r="D832" t="s">
        <v>27</v>
      </c>
      <c r="E832">
        <v>37</v>
      </c>
      <c r="F832" t="s">
        <v>33</v>
      </c>
      <c r="G832" t="s">
        <v>34</v>
      </c>
      <c r="H832" t="s">
        <v>20</v>
      </c>
      <c r="I832" s="1">
        <v>90443</v>
      </c>
      <c r="J832" t="s">
        <v>1092</v>
      </c>
      <c r="K832" t="s">
        <v>21</v>
      </c>
      <c r="L832">
        <v>25</v>
      </c>
      <c r="M832">
        <v>1</v>
      </c>
      <c r="N832" t="s">
        <v>22</v>
      </c>
      <c r="O832" t="s">
        <v>22</v>
      </c>
      <c r="P832" t="s">
        <v>1093</v>
      </c>
      <c r="Q832" s="9" t="str">
        <f t="shared" si="25"/>
        <v>Valid</v>
      </c>
      <c r="R832">
        <v>9541768951</v>
      </c>
      <c r="S832" s="7" t="str">
        <f t="shared" si="24"/>
        <v>Valid</v>
      </c>
      <c r="T832" t="str">
        <f>IF(Table1[[#This Row],[Age]]&lt;25,"18-24",IF(Table1[[#This Row],[Age]]&lt;30,"25-29",IF(Table1[[#This Row],[Age]]&lt;35,"30-34",IF(Table1[[#This Row],[Age]]&lt;40,"35-39",IF(Table1[[#This Row],[Age]]&lt;50,"40-49","50+")))))</f>
        <v>35-39</v>
      </c>
    </row>
    <row r="833" spans="1:20" x14ac:dyDescent="0.35">
      <c r="A833">
        <v>1832</v>
      </c>
      <c r="B833" t="s">
        <v>42</v>
      </c>
      <c r="C833" t="s">
        <v>16</v>
      </c>
      <c r="D833" t="s">
        <v>17</v>
      </c>
      <c r="E833">
        <v>38</v>
      </c>
      <c r="F833" t="s">
        <v>62</v>
      </c>
      <c r="G833" t="s">
        <v>55</v>
      </c>
      <c r="H833" t="s">
        <v>44</v>
      </c>
      <c r="I833" s="2" t="s">
        <v>1316</v>
      </c>
      <c r="J833" t="s">
        <v>1094</v>
      </c>
      <c r="K833" t="s">
        <v>40</v>
      </c>
      <c r="L833">
        <v>3</v>
      </c>
      <c r="M833">
        <v>4</v>
      </c>
      <c r="N833" t="s">
        <v>23</v>
      </c>
      <c r="O833" t="s">
        <v>22</v>
      </c>
      <c r="P833" t="s">
        <v>1095</v>
      </c>
      <c r="Q833" s="9" t="str">
        <f t="shared" si="25"/>
        <v>Valid</v>
      </c>
      <c r="R833">
        <v>9390652417</v>
      </c>
      <c r="S833" s="7" t="str">
        <f t="shared" si="24"/>
        <v>Valid</v>
      </c>
      <c r="T833" t="str">
        <f>IF(Table1[[#This Row],[Age]]&lt;25,"18-24",IF(Table1[[#This Row],[Age]]&lt;30,"25-29",IF(Table1[[#This Row],[Age]]&lt;35,"30-34",IF(Table1[[#This Row],[Age]]&lt;40,"35-39",IF(Table1[[#This Row],[Age]]&lt;50,"40-49","50+")))))</f>
        <v>35-39</v>
      </c>
    </row>
    <row r="834" spans="1:20" x14ac:dyDescent="0.35">
      <c r="A834">
        <v>1833</v>
      </c>
      <c r="B834" t="s">
        <v>64</v>
      </c>
      <c r="C834" t="s">
        <v>43</v>
      </c>
      <c r="D834" t="s">
        <v>17</v>
      </c>
      <c r="E834">
        <v>56</v>
      </c>
      <c r="F834" t="s">
        <v>62</v>
      </c>
      <c r="G834" t="s">
        <v>34</v>
      </c>
      <c r="H834" t="s">
        <v>20</v>
      </c>
      <c r="I834" s="1">
        <v>47252</v>
      </c>
      <c r="J834" t="s">
        <v>1800</v>
      </c>
      <c r="K834" t="s">
        <v>46</v>
      </c>
      <c r="L834">
        <v>3</v>
      </c>
      <c r="M834">
        <v>4</v>
      </c>
      <c r="N834" t="s">
        <v>23</v>
      </c>
      <c r="O834" t="s">
        <v>22</v>
      </c>
      <c r="P834" t="s">
        <v>1096</v>
      </c>
      <c r="Q834" s="9" t="str">
        <f t="shared" si="25"/>
        <v>Valid</v>
      </c>
      <c r="R834">
        <v>9988157310</v>
      </c>
      <c r="S834" s="7" t="str">
        <f t="shared" ref="S834:S897" si="26">IF(AND(ISNUMBER(R834),LEN(R834)=10),"Valid","Invalid")</f>
        <v>Valid</v>
      </c>
      <c r="T834" t="str">
        <f>IF(Table1[[#This Row],[Age]]&lt;25,"18-24",IF(Table1[[#This Row],[Age]]&lt;30,"25-29",IF(Table1[[#This Row],[Age]]&lt;35,"30-34",IF(Table1[[#This Row],[Age]]&lt;40,"35-39",IF(Table1[[#This Row],[Age]]&lt;50,"40-49","50+")))))</f>
        <v>50+</v>
      </c>
    </row>
    <row r="835" spans="1:20" x14ac:dyDescent="0.35">
      <c r="A835">
        <v>1834</v>
      </c>
      <c r="B835" t="s">
        <v>15</v>
      </c>
      <c r="C835" t="s">
        <v>32</v>
      </c>
      <c r="D835" t="s">
        <v>17</v>
      </c>
      <c r="E835">
        <v>36</v>
      </c>
      <c r="F835" t="s">
        <v>69</v>
      </c>
      <c r="G835" t="s">
        <v>19</v>
      </c>
      <c r="H835" t="s">
        <v>20</v>
      </c>
      <c r="I835" s="1">
        <v>51044</v>
      </c>
      <c r="J835" t="s">
        <v>1801</v>
      </c>
      <c r="K835" t="s">
        <v>30</v>
      </c>
      <c r="L835">
        <v>6</v>
      </c>
      <c r="M835">
        <v>1</v>
      </c>
      <c r="N835" t="s">
        <v>22</v>
      </c>
      <c r="O835" t="s">
        <v>23</v>
      </c>
      <c r="P835" t="s">
        <v>1097</v>
      </c>
      <c r="Q835" s="9" t="str">
        <f t="shared" ref="Q835:Q898" si="27">IF(AND(ISNUMBER(SEARCH("@",P835)),ISNUMBER(SEARCH(".",P835))),"Valid","Invalid")</f>
        <v>Valid</v>
      </c>
      <c r="R835">
        <v>9782510013</v>
      </c>
      <c r="S835" s="7" t="str">
        <f t="shared" si="26"/>
        <v>Valid</v>
      </c>
      <c r="T835" t="str">
        <f>IF(Table1[[#This Row],[Age]]&lt;25,"18-24",IF(Table1[[#This Row],[Age]]&lt;30,"25-29",IF(Table1[[#This Row],[Age]]&lt;35,"30-34",IF(Table1[[#This Row],[Age]]&lt;40,"35-39",IF(Table1[[#This Row],[Age]]&lt;50,"40-49","50+")))))</f>
        <v>35-39</v>
      </c>
    </row>
    <row r="836" spans="1:20" x14ac:dyDescent="0.35">
      <c r="A836">
        <v>1835</v>
      </c>
      <c r="B836" t="s">
        <v>54</v>
      </c>
      <c r="C836" t="s">
        <v>26</v>
      </c>
      <c r="D836" t="s">
        <v>17</v>
      </c>
      <c r="E836">
        <v>32</v>
      </c>
      <c r="F836" t="s">
        <v>69</v>
      </c>
      <c r="G836" t="s">
        <v>34</v>
      </c>
      <c r="H836" t="s">
        <v>28</v>
      </c>
      <c r="I836" s="1">
        <v>48026</v>
      </c>
      <c r="J836" t="s">
        <v>1098</v>
      </c>
      <c r="K836" t="s">
        <v>40</v>
      </c>
      <c r="L836">
        <v>19</v>
      </c>
      <c r="M836">
        <v>1</v>
      </c>
      <c r="N836" t="s">
        <v>23</v>
      </c>
      <c r="O836" t="s">
        <v>23</v>
      </c>
      <c r="P836" t="s">
        <v>1099</v>
      </c>
      <c r="Q836" s="9" t="str">
        <f t="shared" si="27"/>
        <v>Valid</v>
      </c>
      <c r="R836">
        <v>9241122064</v>
      </c>
      <c r="S836" s="7" t="str">
        <f t="shared" si="26"/>
        <v>Valid</v>
      </c>
      <c r="T836" t="str">
        <f>IF(Table1[[#This Row],[Age]]&lt;25,"18-24",IF(Table1[[#This Row],[Age]]&lt;30,"25-29",IF(Table1[[#This Row],[Age]]&lt;35,"30-34",IF(Table1[[#This Row],[Age]]&lt;40,"35-39",IF(Table1[[#This Row],[Age]]&lt;50,"40-49","50+")))))</f>
        <v>30-34</v>
      </c>
    </row>
    <row r="837" spans="1:20" x14ac:dyDescent="0.35">
      <c r="A837">
        <v>1836</v>
      </c>
      <c r="B837" t="s">
        <v>58</v>
      </c>
      <c r="C837" t="s">
        <v>32</v>
      </c>
      <c r="D837" t="s">
        <v>27</v>
      </c>
      <c r="E837">
        <v>44</v>
      </c>
      <c r="F837" t="s">
        <v>69</v>
      </c>
      <c r="G837" t="s">
        <v>55</v>
      </c>
      <c r="H837" t="s">
        <v>56</v>
      </c>
      <c r="I837" s="1">
        <v>90883</v>
      </c>
      <c r="J837" t="s">
        <v>1802</v>
      </c>
      <c r="K837" t="s">
        <v>30</v>
      </c>
      <c r="L837">
        <v>14</v>
      </c>
      <c r="M837">
        <v>3</v>
      </c>
      <c r="N837" t="s">
        <v>22</v>
      </c>
      <c r="O837" t="s">
        <v>23</v>
      </c>
      <c r="P837" t="s">
        <v>1100</v>
      </c>
      <c r="Q837" s="9" t="str">
        <f t="shared" si="27"/>
        <v>Valid</v>
      </c>
      <c r="R837">
        <v>9859713269</v>
      </c>
      <c r="S837" s="7" t="str">
        <f t="shared" si="26"/>
        <v>Valid</v>
      </c>
      <c r="T837" t="str">
        <f>IF(Table1[[#This Row],[Age]]&lt;25,"18-24",IF(Table1[[#This Row],[Age]]&lt;30,"25-29",IF(Table1[[#This Row],[Age]]&lt;35,"30-34",IF(Table1[[#This Row],[Age]]&lt;40,"35-39",IF(Table1[[#This Row],[Age]]&lt;50,"40-49","50+")))))</f>
        <v>40-49</v>
      </c>
    </row>
    <row r="838" spans="1:20" x14ac:dyDescent="0.35">
      <c r="A838">
        <v>1837</v>
      </c>
      <c r="B838" t="s">
        <v>64</v>
      </c>
      <c r="C838" t="s">
        <v>61</v>
      </c>
      <c r="D838" t="s">
        <v>17</v>
      </c>
      <c r="E838">
        <v>51</v>
      </c>
      <c r="F838" t="s">
        <v>62</v>
      </c>
      <c r="G838" t="s">
        <v>77</v>
      </c>
      <c r="H838" t="s">
        <v>28</v>
      </c>
      <c r="I838" s="1">
        <v>93591</v>
      </c>
      <c r="J838" t="s">
        <v>1803</v>
      </c>
      <c r="K838" t="s">
        <v>40</v>
      </c>
      <c r="L838">
        <v>1</v>
      </c>
      <c r="M838">
        <v>1</v>
      </c>
      <c r="N838" t="s">
        <v>23</v>
      </c>
      <c r="O838" t="s">
        <v>22</v>
      </c>
      <c r="P838" t="s">
        <v>1101</v>
      </c>
      <c r="Q838" s="9" t="str">
        <f t="shared" si="27"/>
        <v>Valid</v>
      </c>
      <c r="R838">
        <v>9676333161</v>
      </c>
      <c r="S838" s="7" t="str">
        <f t="shared" si="26"/>
        <v>Valid</v>
      </c>
      <c r="T838" t="str">
        <f>IF(Table1[[#This Row],[Age]]&lt;25,"18-24",IF(Table1[[#This Row],[Age]]&lt;30,"25-29",IF(Table1[[#This Row],[Age]]&lt;35,"30-34",IF(Table1[[#This Row],[Age]]&lt;40,"35-39",IF(Table1[[#This Row],[Age]]&lt;50,"40-49","50+")))))</f>
        <v>50+</v>
      </c>
    </row>
    <row r="839" spans="1:20" x14ac:dyDescent="0.35">
      <c r="A839">
        <v>1838</v>
      </c>
      <c r="B839" t="s">
        <v>67</v>
      </c>
      <c r="C839" t="s">
        <v>16</v>
      </c>
      <c r="D839" t="s">
        <v>27</v>
      </c>
      <c r="E839">
        <v>46</v>
      </c>
      <c r="F839" t="s">
        <v>18</v>
      </c>
      <c r="G839" t="s">
        <v>34</v>
      </c>
      <c r="H839" t="s">
        <v>28</v>
      </c>
      <c r="I839" s="1">
        <v>82155</v>
      </c>
      <c r="J839" t="s">
        <v>1804</v>
      </c>
      <c r="K839" t="s">
        <v>21</v>
      </c>
      <c r="L839">
        <v>20</v>
      </c>
      <c r="M839">
        <v>4</v>
      </c>
      <c r="N839" t="s">
        <v>23</v>
      </c>
      <c r="O839" t="s">
        <v>22</v>
      </c>
      <c r="P839" t="s">
        <v>1102</v>
      </c>
      <c r="Q839" s="9" t="str">
        <f t="shared" si="27"/>
        <v>Valid</v>
      </c>
      <c r="R839">
        <v>9948351731</v>
      </c>
      <c r="S839" s="7" t="str">
        <f t="shared" si="26"/>
        <v>Valid</v>
      </c>
      <c r="T839" t="str">
        <f>IF(Table1[[#This Row],[Age]]&lt;25,"18-24",IF(Table1[[#This Row],[Age]]&lt;30,"25-29",IF(Table1[[#This Row],[Age]]&lt;35,"30-34",IF(Table1[[#This Row],[Age]]&lt;40,"35-39",IF(Table1[[#This Row],[Age]]&lt;50,"40-49","50+")))))</f>
        <v>40-49</v>
      </c>
    </row>
    <row r="840" spans="1:20" x14ac:dyDescent="0.35">
      <c r="A840">
        <v>1839</v>
      </c>
      <c r="B840" t="s">
        <v>58</v>
      </c>
      <c r="C840" t="s">
        <v>32</v>
      </c>
      <c r="D840" t="s">
        <v>17</v>
      </c>
      <c r="E840">
        <v>34</v>
      </c>
      <c r="F840" t="s">
        <v>62</v>
      </c>
      <c r="G840" t="s">
        <v>19</v>
      </c>
      <c r="H840" t="s">
        <v>44</v>
      </c>
      <c r="I840" s="1">
        <v>37191</v>
      </c>
      <c r="J840" t="s">
        <v>1103</v>
      </c>
      <c r="K840" t="s">
        <v>40</v>
      </c>
      <c r="L840">
        <v>23</v>
      </c>
      <c r="M840">
        <v>2</v>
      </c>
      <c r="N840" t="s">
        <v>23</v>
      </c>
      <c r="O840" t="s">
        <v>22</v>
      </c>
      <c r="P840" t="s">
        <v>1104</v>
      </c>
      <c r="Q840" s="9" t="str">
        <f t="shared" si="27"/>
        <v>Valid</v>
      </c>
      <c r="R840">
        <v>9205043720</v>
      </c>
      <c r="S840" s="7" t="str">
        <f t="shared" si="26"/>
        <v>Valid</v>
      </c>
      <c r="T840" t="str">
        <f>IF(Table1[[#This Row],[Age]]&lt;25,"18-24",IF(Table1[[#This Row],[Age]]&lt;30,"25-29",IF(Table1[[#This Row],[Age]]&lt;35,"30-34",IF(Table1[[#This Row],[Age]]&lt;40,"35-39",IF(Table1[[#This Row],[Age]]&lt;50,"40-49","50+")))))</f>
        <v>30-34</v>
      </c>
    </row>
    <row r="841" spans="1:20" x14ac:dyDescent="0.35">
      <c r="A841">
        <v>1840</v>
      </c>
      <c r="B841" t="s">
        <v>64</v>
      </c>
      <c r="C841" t="s">
        <v>61</v>
      </c>
      <c r="D841" t="s">
        <v>17</v>
      </c>
      <c r="E841">
        <v>31</v>
      </c>
      <c r="F841" t="s">
        <v>69</v>
      </c>
      <c r="G841" t="s">
        <v>55</v>
      </c>
      <c r="H841" t="s">
        <v>28</v>
      </c>
      <c r="I841" s="1">
        <v>41549</v>
      </c>
      <c r="J841" t="s">
        <v>1805</v>
      </c>
      <c r="K841" t="s">
        <v>40</v>
      </c>
      <c r="L841">
        <v>0</v>
      </c>
      <c r="M841">
        <v>3</v>
      </c>
      <c r="N841" t="s">
        <v>23</v>
      </c>
      <c r="O841" t="s">
        <v>23</v>
      </c>
      <c r="P841" t="s">
        <v>1105</v>
      </c>
      <c r="Q841" s="9" t="str">
        <f t="shared" si="27"/>
        <v>Valid</v>
      </c>
      <c r="R841">
        <v>9907418777</v>
      </c>
      <c r="S841" s="7" t="str">
        <f t="shared" si="26"/>
        <v>Valid</v>
      </c>
      <c r="T841" t="str">
        <f>IF(Table1[[#This Row],[Age]]&lt;25,"18-24",IF(Table1[[#This Row],[Age]]&lt;30,"25-29",IF(Table1[[#This Row],[Age]]&lt;35,"30-34",IF(Table1[[#This Row],[Age]]&lt;40,"35-39",IF(Table1[[#This Row],[Age]]&lt;50,"40-49","50+")))))</f>
        <v>30-34</v>
      </c>
    </row>
    <row r="842" spans="1:20" x14ac:dyDescent="0.35">
      <c r="A842">
        <v>1841</v>
      </c>
      <c r="B842" t="s">
        <v>54</v>
      </c>
      <c r="C842" t="s">
        <v>32</v>
      </c>
      <c r="D842" t="s">
        <v>27</v>
      </c>
      <c r="E842">
        <v>45</v>
      </c>
      <c r="F842" t="s">
        <v>62</v>
      </c>
      <c r="G842" t="s">
        <v>19</v>
      </c>
      <c r="H842" t="s">
        <v>20</v>
      </c>
      <c r="I842" s="1">
        <v>74075</v>
      </c>
      <c r="J842" t="s">
        <v>1806</v>
      </c>
      <c r="K842" t="s">
        <v>40</v>
      </c>
      <c r="L842">
        <v>7</v>
      </c>
      <c r="M842">
        <v>5</v>
      </c>
      <c r="N842" t="s">
        <v>23</v>
      </c>
      <c r="O842" t="s">
        <v>22</v>
      </c>
      <c r="P842" t="s">
        <v>1106</v>
      </c>
      <c r="Q842" s="9" t="str">
        <f t="shared" si="27"/>
        <v>Valid</v>
      </c>
      <c r="R842">
        <v>9481606428</v>
      </c>
      <c r="S842" s="7" t="str">
        <f t="shared" si="26"/>
        <v>Valid</v>
      </c>
      <c r="T842" t="str">
        <f>IF(Table1[[#This Row],[Age]]&lt;25,"18-24",IF(Table1[[#This Row],[Age]]&lt;30,"25-29",IF(Table1[[#This Row],[Age]]&lt;35,"30-34",IF(Table1[[#This Row],[Age]]&lt;40,"35-39",IF(Table1[[#This Row],[Age]]&lt;50,"40-49","50+")))))</f>
        <v>40-49</v>
      </c>
    </row>
    <row r="843" spans="1:20" x14ac:dyDescent="0.35">
      <c r="A843">
        <v>1842</v>
      </c>
      <c r="B843" t="s">
        <v>54</v>
      </c>
      <c r="C843" t="s">
        <v>61</v>
      </c>
      <c r="D843" t="s">
        <v>27</v>
      </c>
      <c r="E843">
        <v>66</v>
      </c>
      <c r="F843" t="s">
        <v>18</v>
      </c>
      <c r="G843" t="s">
        <v>55</v>
      </c>
      <c r="H843" t="s">
        <v>28</v>
      </c>
      <c r="I843" s="1">
        <v>44025</v>
      </c>
      <c r="J843" t="s">
        <v>1807</v>
      </c>
      <c r="K843" t="s">
        <v>46</v>
      </c>
      <c r="L843">
        <v>4</v>
      </c>
      <c r="M843">
        <v>2</v>
      </c>
      <c r="N843" t="s">
        <v>22</v>
      </c>
      <c r="O843" t="s">
        <v>22</v>
      </c>
      <c r="P843" t="s">
        <v>1107</v>
      </c>
      <c r="Q843" s="9" t="str">
        <f t="shared" si="27"/>
        <v>Valid</v>
      </c>
      <c r="R843">
        <v>9344370249</v>
      </c>
      <c r="S843" s="7" t="str">
        <f t="shared" si="26"/>
        <v>Valid</v>
      </c>
      <c r="T843" t="str">
        <f>IF(Table1[[#This Row],[Age]]&lt;25,"18-24",IF(Table1[[#This Row],[Age]]&lt;30,"25-29",IF(Table1[[#This Row],[Age]]&lt;35,"30-34",IF(Table1[[#This Row],[Age]]&lt;40,"35-39",IF(Table1[[#This Row],[Age]]&lt;50,"40-49","50+")))))</f>
        <v>50+</v>
      </c>
    </row>
    <row r="844" spans="1:20" x14ac:dyDescent="0.35">
      <c r="A844">
        <v>1843</v>
      </c>
      <c r="B844" t="s">
        <v>67</v>
      </c>
      <c r="C844" t="s">
        <v>16</v>
      </c>
      <c r="D844" t="s">
        <v>17</v>
      </c>
      <c r="E844">
        <v>28</v>
      </c>
      <c r="F844" t="s">
        <v>69</v>
      </c>
      <c r="G844" t="s">
        <v>19</v>
      </c>
      <c r="H844" t="s">
        <v>56</v>
      </c>
      <c r="I844" s="1">
        <v>91987</v>
      </c>
      <c r="J844" t="s">
        <v>1808</v>
      </c>
      <c r="K844" t="s">
        <v>40</v>
      </c>
      <c r="L844">
        <v>10</v>
      </c>
      <c r="M844">
        <v>4</v>
      </c>
      <c r="N844" t="s">
        <v>22</v>
      </c>
      <c r="O844" t="s">
        <v>23</v>
      </c>
      <c r="P844" t="s">
        <v>1108</v>
      </c>
      <c r="Q844" s="9" t="str">
        <f t="shared" si="27"/>
        <v>Valid</v>
      </c>
      <c r="R844">
        <v>9197857296</v>
      </c>
      <c r="S844" s="7" t="str">
        <f t="shared" si="26"/>
        <v>Valid</v>
      </c>
      <c r="T844" t="str">
        <f>IF(Table1[[#This Row],[Age]]&lt;25,"18-24",IF(Table1[[#This Row],[Age]]&lt;30,"25-29",IF(Table1[[#This Row],[Age]]&lt;35,"30-34",IF(Table1[[#This Row],[Age]]&lt;40,"35-39",IF(Table1[[#This Row],[Age]]&lt;50,"40-49","50+")))))</f>
        <v>25-29</v>
      </c>
    </row>
    <row r="845" spans="1:20" x14ac:dyDescent="0.35">
      <c r="A845">
        <v>1844</v>
      </c>
      <c r="B845" t="s">
        <v>15</v>
      </c>
      <c r="C845" t="s">
        <v>16</v>
      </c>
      <c r="D845" t="s">
        <v>17</v>
      </c>
      <c r="E845">
        <v>48</v>
      </c>
      <c r="F845" t="s">
        <v>69</v>
      </c>
      <c r="G845" t="s">
        <v>77</v>
      </c>
      <c r="H845" t="s">
        <v>35</v>
      </c>
      <c r="I845" s="1">
        <v>106972</v>
      </c>
      <c r="J845" t="s">
        <v>1809</v>
      </c>
      <c r="K845" t="s">
        <v>49</v>
      </c>
      <c r="L845">
        <v>22</v>
      </c>
      <c r="M845">
        <v>1</v>
      </c>
      <c r="N845" t="s">
        <v>22</v>
      </c>
      <c r="O845" t="s">
        <v>22</v>
      </c>
      <c r="P845" t="s">
        <v>1109</v>
      </c>
      <c r="Q845" s="9" t="str">
        <f t="shared" si="27"/>
        <v>Valid</v>
      </c>
      <c r="R845">
        <v>9208057461</v>
      </c>
      <c r="S845" s="7" t="str">
        <f t="shared" si="26"/>
        <v>Valid</v>
      </c>
      <c r="T845" t="str">
        <f>IF(Table1[[#This Row],[Age]]&lt;25,"18-24",IF(Table1[[#This Row],[Age]]&lt;30,"25-29",IF(Table1[[#This Row],[Age]]&lt;35,"30-34",IF(Table1[[#This Row],[Age]]&lt;40,"35-39",IF(Table1[[#This Row],[Age]]&lt;50,"40-49","50+")))))</f>
        <v>40-49</v>
      </c>
    </row>
    <row r="846" spans="1:20" x14ac:dyDescent="0.35">
      <c r="A846">
        <v>1845</v>
      </c>
      <c r="B846" t="s">
        <v>15</v>
      </c>
      <c r="C846" t="s">
        <v>61</v>
      </c>
      <c r="D846" t="s">
        <v>17</v>
      </c>
      <c r="E846">
        <v>54</v>
      </c>
      <c r="F846" t="s">
        <v>18</v>
      </c>
      <c r="G846" t="s">
        <v>55</v>
      </c>
      <c r="H846" t="s">
        <v>20</v>
      </c>
      <c r="I846" s="1">
        <v>66419</v>
      </c>
      <c r="J846" t="s">
        <v>1810</v>
      </c>
      <c r="K846" t="s">
        <v>49</v>
      </c>
      <c r="L846">
        <v>6</v>
      </c>
      <c r="M846">
        <v>4</v>
      </c>
      <c r="N846" t="s">
        <v>23</v>
      </c>
      <c r="O846" t="s">
        <v>22</v>
      </c>
      <c r="P846" t="s">
        <v>1110</v>
      </c>
      <c r="Q846" s="9" t="str">
        <f t="shared" si="27"/>
        <v>Valid</v>
      </c>
      <c r="R846">
        <v>9983645448</v>
      </c>
      <c r="S846" s="7" t="str">
        <f t="shared" si="26"/>
        <v>Valid</v>
      </c>
      <c r="T846" t="str">
        <f>IF(Table1[[#This Row],[Age]]&lt;25,"18-24",IF(Table1[[#This Row],[Age]]&lt;30,"25-29",IF(Table1[[#This Row],[Age]]&lt;35,"30-34",IF(Table1[[#This Row],[Age]]&lt;40,"35-39",IF(Table1[[#This Row],[Age]]&lt;50,"40-49","50+")))))</f>
        <v>50+</v>
      </c>
    </row>
    <row r="847" spans="1:20" x14ac:dyDescent="0.35">
      <c r="A847">
        <v>1846</v>
      </c>
      <c r="B847" t="s">
        <v>82</v>
      </c>
      <c r="C847" t="s">
        <v>32</v>
      </c>
      <c r="D847" t="s">
        <v>17</v>
      </c>
      <c r="E847">
        <v>28</v>
      </c>
      <c r="F847" t="s">
        <v>62</v>
      </c>
      <c r="G847" t="s">
        <v>77</v>
      </c>
      <c r="H847" t="s">
        <v>44</v>
      </c>
      <c r="I847" s="1">
        <v>104753</v>
      </c>
      <c r="J847" t="s">
        <v>413</v>
      </c>
      <c r="K847" t="s">
        <v>40</v>
      </c>
      <c r="L847">
        <v>25</v>
      </c>
      <c r="M847">
        <v>5</v>
      </c>
      <c r="N847" t="s">
        <v>23</v>
      </c>
      <c r="O847" t="s">
        <v>23</v>
      </c>
      <c r="P847" t="s">
        <v>1111</v>
      </c>
      <c r="Q847" s="9" t="str">
        <f t="shared" si="27"/>
        <v>Valid</v>
      </c>
      <c r="R847">
        <v>9592345110</v>
      </c>
      <c r="S847" s="7" t="str">
        <f t="shared" si="26"/>
        <v>Valid</v>
      </c>
      <c r="T847" t="str">
        <f>IF(Table1[[#This Row],[Age]]&lt;25,"18-24",IF(Table1[[#This Row],[Age]]&lt;30,"25-29",IF(Table1[[#This Row],[Age]]&lt;35,"30-34",IF(Table1[[#This Row],[Age]]&lt;40,"35-39",IF(Table1[[#This Row],[Age]]&lt;50,"40-49","50+")))))</f>
        <v>25-29</v>
      </c>
    </row>
    <row r="848" spans="1:20" x14ac:dyDescent="0.35">
      <c r="A848">
        <v>1847</v>
      </c>
      <c r="B848" t="s">
        <v>42</v>
      </c>
      <c r="C848" t="s">
        <v>32</v>
      </c>
      <c r="D848" t="s">
        <v>27</v>
      </c>
      <c r="E848">
        <v>39</v>
      </c>
      <c r="F848" t="s">
        <v>69</v>
      </c>
      <c r="G848" t="s">
        <v>19</v>
      </c>
      <c r="H848" t="s">
        <v>28</v>
      </c>
      <c r="I848" s="1">
        <v>83313</v>
      </c>
      <c r="J848" t="s">
        <v>1811</v>
      </c>
      <c r="K848" t="s">
        <v>49</v>
      </c>
      <c r="L848">
        <v>11</v>
      </c>
      <c r="M848">
        <v>3</v>
      </c>
      <c r="N848" t="s">
        <v>23</v>
      </c>
      <c r="O848" t="s">
        <v>22</v>
      </c>
      <c r="P848" t="s">
        <v>1112</v>
      </c>
      <c r="Q848" s="9" t="str">
        <f t="shared" si="27"/>
        <v>Valid</v>
      </c>
      <c r="R848">
        <v>9005424169</v>
      </c>
      <c r="S848" s="7" t="str">
        <f t="shared" si="26"/>
        <v>Valid</v>
      </c>
      <c r="T848" t="str">
        <f>IF(Table1[[#This Row],[Age]]&lt;25,"18-24",IF(Table1[[#This Row],[Age]]&lt;30,"25-29",IF(Table1[[#This Row],[Age]]&lt;35,"30-34",IF(Table1[[#This Row],[Age]]&lt;40,"35-39",IF(Table1[[#This Row],[Age]]&lt;50,"40-49","50+")))))</f>
        <v>35-39</v>
      </c>
    </row>
    <row r="849" spans="1:20" x14ac:dyDescent="0.35">
      <c r="A849">
        <v>1848</v>
      </c>
      <c r="B849" t="s">
        <v>42</v>
      </c>
      <c r="C849" t="s">
        <v>43</v>
      </c>
      <c r="D849" t="s">
        <v>27</v>
      </c>
      <c r="E849">
        <v>44</v>
      </c>
      <c r="F849" t="s">
        <v>33</v>
      </c>
      <c r="G849" t="s">
        <v>39</v>
      </c>
      <c r="H849" t="s">
        <v>35</v>
      </c>
      <c r="I849" s="1">
        <v>50222</v>
      </c>
      <c r="J849" t="s">
        <v>1812</v>
      </c>
      <c r="K849" t="s">
        <v>49</v>
      </c>
      <c r="L849">
        <v>24</v>
      </c>
      <c r="M849">
        <v>2</v>
      </c>
      <c r="N849" t="s">
        <v>23</v>
      </c>
      <c r="O849" t="s">
        <v>22</v>
      </c>
      <c r="P849" t="s">
        <v>1113</v>
      </c>
      <c r="Q849" s="9" t="str">
        <f t="shared" si="27"/>
        <v>Valid</v>
      </c>
      <c r="R849">
        <v>9128093145</v>
      </c>
      <c r="S849" s="7" t="str">
        <f t="shared" si="26"/>
        <v>Valid</v>
      </c>
      <c r="T849" t="str">
        <f>IF(Table1[[#This Row],[Age]]&lt;25,"18-24",IF(Table1[[#This Row],[Age]]&lt;30,"25-29",IF(Table1[[#This Row],[Age]]&lt;35,"30-34",IF(Table1[[#This Row],[Age]]&lt;40,"35-39",IF(Table1[[#This Row],[Age]]&lt;50,"40-49","50+")))))</f>
        <v>40-49</v>
      </c>
    </row>
    <row r="850" spans="1:20" x14ac:dyDescent="0.35">
      <c r="A850">
        <v>1849</v>
      </c>
      <c r="B850" t="s">
        <v>58</v>
      </c>
      <c r="C850" t="s">
        <v>32</v>
      </c>
      <c r="D850" t="s">
        <v>17</v>
      </c>
      <c r="E850">
        <v>28</v>
      </c>
      <c r="F850" t="s">
        <v>33</v>
      </c>
      <c r="G850" t="s">
        <v>77</v>
      </c>
      <c r="H850" t="s">
        <v>28</v>
      </c>
      <c r="I850" s="1">
        <v>27981</v>
      </c>
      <c r="J850" t="s">
        <v>1114</v>
      </c>
      <c r="K850" t="s">
        <v>46</v>
      </c>
      <c r="L850">
        <v>12</v>
      </c>
      <c r="M850">
        <v>5</v>
      </c>
      <c r="N850" t="s">
        <v>23</v>
      </c>
      <c r="O850" t="s">
        <v>23</v>
      </c>
      <c r="P850" t="s">
        <v>1115</v>
      </c>
      <c r="Q850" s="9" t="str">
        <f t="shared" si="27"/>
        <v>Valid</v>
      </c>
      <c r="R850">
        <v>90924808</v>
      </c>
      <c r="S850" s="7" t="str">
        <f t="shared" si="26"/>
        <v>Invalid</v>
      </c>
      <c r="T850" t="str">
        <f>IF(Table1[[#This Row],[Age]]&lt;25,"18-24",IF(Table1[[#This Row],[Age]]&lt;30,"25-29",IF(Table1[[#This Row],[Age]]&lt;35,"30-34",IF(Table1[[#This Row],[Age]]&lt;40,"35-39",IF(Table1[[#This Row],[Age]]&lt;50,"40-49","50+")))))</f>
        <v>25-29</v>
      </c>
    </row>
    <row r="851" spans="1:20" x14ac:dyDescent="0.35">
      <c r="A851">
        <v>1850</v>
      </c>
      <c r="B851" t="s">
        <v>82</v>
      </c>
      <c r="C851" t="s">
        <v>61</v>
      </c>
      <c r="D851" t="s">
        <v>27</v>
      </c>
      <c r="E851">
        <v>30</v>
      </c>
      <c r="F851" t="s">
        <v>33</v>
      </c>
      <c r="G851" t="s">
        <v>55</v>
      </c>
      <c r="H851" t="s">
        <v>28</v>
      </c>
      <c r="I851" s="1">
        <v>35589</v>
      </c>
      <c r="J851" t="s">
        <v>1813</v>
      </c>
      <c r="K851" t="s">
        <v>30</v>
      </c>
      <c r="L851">
        <v>6</v>
      </c>
      <c r="M851">
        <v>4</v>
      </c>
      <c r="N851" t="s">
        <v>23</v>
      </c>
      <c r="O851" t="s">
        <v>22</v>
      </c>
      <c r="P851" t="s">
        <v>1116</v>
      </c>
      <c r="Q851" s="9" t="str">
        <f t="shared" si="27"/>
        <v>Valid</v>
      </c>
      <c r="R851">
        <v>9716779148</v>
      </c>
      <c r="S851" s="7" t="str">
        <f t="shared" si="26"/>
        <v>Valid</v>
      </c>
      <c r="T851" t="str">
        <f>IF(Table1[[#This Row],[Age]]&lt;25,"18-24",IF(Table1[[#This Row],[Age]]&lt;30,"25-29",IF(Table1[[#This Row],[Age]]&lt;35,"30-34",IF(Table1[[#This Row],[Age]]&lt;40,"35-39",IF(Table1[[#This Row],[Age]]&lt;50,"40-49","50+")))))</f>
        <v>30-34</v>
      </c>
    </row>
    <row r="852" spans="1:20" x14ac:dyDescent="0.35">
      <c r="A852">
        <v>1851</v>
      </c>
      <c r="B852" t="s">
        <v>67</v>
      </c>
      <c r="C852" t="s">
        <v>26</v>
      </c>
      <c r="D852" t="s">
        <v>27</v>
      </c>
      <c r="E852">
        <v>25</v>
      </c>
      <c r="F852" t="s">
        <v>33</v>
      </c>
      <c r="G852" t="s">
        <v>19</v>
      </c>
      <c r="H852" t="s">
        <v>28</v>
      </c>
      <c r="I852" s="1">
        <v>95100</v>
      </c>
      <c r="J852" t="s">
        <v>1814</v>
      </c>
      <c r="K852" t="s">
        <v>21</v>
      </c>
      <c r="L852">
        <v>21</v>
      </c>
      <c r="M852">
        <v>4</v>
      </c>
      <c r="N852" t="s">
        <v>22</v>
      </c>
      <c r="O852" t="s">
        <v>22</v>
      </c>
      <c r="P852" t="s">
        <v>1117</v>
      </c>
      <c r="Q852" s="9" t="str">
        <f t="shared" si="27"/>
        <v>Valid</v>
      </c>
      <c r="R852">
        <v>9885225655</v>
      </c>
      <c r="S852" s="7" t="str">
        <f t="shared" si="26"/>
        <v>Valid</v>
      </c>
      <c r="T852" t="str">
        <f>IF(Table1[[#This Row],[Age]]&lt;25,"18-24",IF(Table1[[#This Row],[Age]]&lt;30,"25-29",IF(Table1[[#This Row],[Age]]&lt;35,"30-34",IF(Table1[[#This Row],[Age]]&lt;40,"35-39",IF(Table1[[#This Row],[Age]]&lt;50,"40-49","50+")))))</f>
        <v>25-29</v>
      </c>
    </row>
    <row r="853" spans="1:20" x14ac:dyDescent="0.35">
      <c r="A853">
        <v>1852</v>
      </c>
      <c r="B853" t="s">
        <v>64</v>
      </c>
      <c r="C853" t="s">
        <v>61</v>
      </c>
      <c r="D853" t="s">
        <v>17</v>
      </c>
      <c r="E853">
        <v>41</v>
      </c>
      <c r="F853" t="s">
        <v>69</v>
      </c>
      <c r="G853" t="s">
        <v>19</v>
      </c>
      <c r="H853" t="s">
        <v>28</v>
      </c>
      <c r="I853" s="1">
        <v>57718</v>
      </c>
      <c r="J853" t="s">
        <v>1815</v>
      </c>
      <c r="K853" t="s">
        <v>46</v>
      </c>
      <c r="L853">
        <v>17</v>
      </c>
      <c r="M853">
        <v>5</v>
      </c>
      <c r="N853" t="s">
        <v>23</v>
      </c>
      <c r="O853" t="s">
        <v>23</v>
      </c>
      <c r="P853" t="s">
        <v>1118</v>
      </c>
      <c r="Q853" s="9" t="str">
        <f t="shared" si="27"/>
        <v>Valid</v>
      </c>
      <c r="R853">
        <v>9434922705</v>
      </c>
      <c r="S853" s="7" t="str">
        <f t="shared" si="26"/>
        <v>Valid</v>
      </c>
      <c r="T853" t="str">
        <f>IF(Table1[[#This Row],[Age]]&lt;25,"18-24",IF(Table1[[#This Row],[Age]]&lt;30,"25-29",IF(Table1[[#This Row],[Age]]&lt;35,"30-34",IF(Table1[[#This Row],[Age]]&lt;40,"35-39",IF(Table1[[#This Row],[Age]]&lt;50,"40-49","50+")))))</f>
        <v>40-49</v>
      </c>
    </row>
    <row r="854" spans="1:20" x14ac:dyDescent="0.35">
      <c r="A854">
        <v>1853</v>
      </c>
      <c r="B854" t="s">
        <v>58</v>
      </c>
      <c r="C854" t="s">
        <v>43</v>
      </c>
      <c r="D854" t="s">
        <v>27</v>
      </c>
      <c r="E854">
        <v>51</v>
      </c>
      <c r="F854" t="s">
        <v>18</v>
      </c>
      <c r="G854" t="s">
        <v>39</v>
      </c>
      <c r="H854" t="s">
        <v>20</v>
      </c>
      <c r="I854" s="1">
        <v>115373</v>
      </c>
      <c r="J854" t="s">
        <v>1673</v>
      </c>
      <c r="K854" t="s">
        <v>21</v>
      </c>
      <c r="L854">
        <v>14</v>
      </c>
      <c r="M854">
        <v>1</v>
      </c>
      <c r="N854" t="s">
        <v>22</v>
      </c>
      <c r="O854" t="s">
        <v>22</v>
      </c>
      <c r="P854" t="s">
        <v>1119</v>
      </c>
      <c r="Q854" s="9" t="str">
        <f t="shared" si="27"/>
        <v>Valid</v>
      </c>
      <c r="R854">
        <v>9074307261</v>
      </c>
      <c r="S854" s="7" t="str">
        <f t="shared" si="26"/>
        <v>Valid</v>
      </c>
      <c r="T854" t="str">
        <f>IF(Table1[[#This Row],[Age]]&lt;25,"18-24",IF(Table1[[#This Row],[Age]]&lt;30,"25-29",IF(Table1[[#This Row],[Age]]&lt;35,"30-34",IF(Table1[[#This Row],[Age]]&lt;40,"35-39",IF(Table1[[#This Row],[Age]]&lt;50,"40-49","50+")))))</f>
        <v>50+</v>
      </c>
    </row>
    <row r="855" spans="1:20" x14ac:dyDescent="0.35">
      <c r="A855">
        <v>1854</v>
      </c>
      <c r="B855" t="s">
        <v>82</v>
      </c>
      <c r="C855" t="s">
        <v>43</v>
      </c>
      <c r="D855" t="s">
        <v>27</v>
      </c>
      <c r="E855">
        <v>52</v>
      </c>
      <c r="F855" t="s">
        <v>69</v>
      </c>
      <c r="G855" t="s">
        <v>39</v>
      </c>
      <c r="H855" t="s">
        <v>56</v>
      </c>
      <c r="I855" s="1">
        <v>66056</v>
      </c>
      <c r="J855" t="s">
        <v>1816</v>
      </c>
      <c r="K855" t="s">
        <v>40</v>
      </c>
      <c r="L855">
        <v>15</v>
      </c>
      <c r="M855">
        <v>3</v>
      </c>
      <c r="N855" t="s">
        <v>23</v>
      </c>
      <c r="O855" t="s">
        <v>22</v>
      </c>
      <c r="P855" t="s">
        <v>1120</v>
      </c>
      <c r="Q855" s="9" t="str">
        <f t="shared" si="27"/>
        <v>Valid</v>
      </c>
      <c r="R855">
        <v>9646268687</v>
      </c>
      <c r="S855" s="7" t="str">
        <f t="shared" si="26"/>
        <v>Valid</v>
      </c>
      <c r="T855" t="str">
        <f>IF(Table1[[#This Row],[Age]]&lt;25,"18-24",IF(Table1[[#This Row],[Age]]&lt;30,"25-29",IF(Table1[[#This Row],[Age]]&lt;35,"30-34",IF(Table1[[#This Row],[Age]]&lt;40,"35-39",IF(Table1[[#This Row],[Age]]&lt;50,"40-49","50+")))))</f>
        <v>50+</v>
      </c>
    </row>
    <row r="856" spans="1:20" x14ac:dyDescent="0.35">
      <c r="A856">
        <v>1855</v>
      </c>
      <c r="B856" t="s">
        <v>67</v>
      </c>
      <c r="C856" t="s">
        <v>43</v>
      </c>
      <c r="D856" t="s">
        <v>27</v>
      </c>
      <c r="E856">
        <v>29</v>
      </c>
      <c r="F856" t="s">
        <v>33</v>
      </c>
      <c r="G856" t="s">
        <v>55</v>
      </c>
      <c r="H856" t="s">
        <v>56</v>
      </c>
      <c r="I856" s="1">
        <v>74654</v>
      </c>
      <c r="J856" t="s">
        <v>1817</v>
      </c>
      <c r="K856" t="s">
        <v>30</v>
      </c>
      <c r="L856">
        <v>13</v>
      </c>
      <c r="M856">
        <v>2</v>
      </c>
      <c r="N856" t="s">
        <v>23</v>
      </c>
      <c r="O856" t="s">
        <v>22</v>
      </c>
      <c r="P856" t="s">
        <v>1121</v>
      </c>
      <c r="Q856" s="9" t="str">
        <f t="shared" si="27"/>
        <v>Valid</v>
      </c>
      <c r="R856">
        <v>9954175868</v>
      </c>
      <c r="S856" s="7" t="str">
        <f t="shared" si="26"/>
        <v>Valid</v>
      </c>
      <c r="T856" t="str">
        <f>IF(Table1[[#This Row],[Age]]&lt;25,"18-24",IF(Table1[[#This Row],[Age]]&lt;30,"25-29",IF(Table1[[#This Row],[Age]]&lt;35,"30-34",IF(Table1[[#This Row],[Age]]&lt;40,"35-39",IF(Table1[[#This Row],[Age]]&lt;50,"40-49","50+")))))</f>
        <v>25-29</v>
      </c>
    </row>
    <row r="857" spans="1:20" x14ac:dyDescent="0.35">
      <c r="A857">
        <v>1856</v>
      </c>
      <c r="B857" t="s">
        <v>37</v>
      </c>
      <c r="C857" t="s">
        <v>43</v>
      </c>
      <c r="D857" t="s">
        <v>17</v>
      </c>
      <c r="E857">
        <v>41</v>
      </c>
      <c r="F857" t="s">
        <v>69</v>
      </c>
      <c r="G857" t="s">
        <v>19</v>
      </c>
      <c r="H857" t="s">
        <v>56</v>
      </c>
      <c r="I857" s="1">
        <v>30922</v>
      </c>
      <c r="J857" t="s">
        <v>1818</v>
      </c>
      <c r="K857" t="s">
        <v>30</v>
      </c>
      <c r="L857">
        <v>3</v>
      </c>
      <c r="M857">
        <v>2</v>
      </c>
      <c r="N857" t="s">
        <v>22</v>
      </c>
      <c r="O857" t="s">
        <v>23</v>
      </c>
      <c r="P857" t="s">
        <v>1122</v>
      </c>
      <c r="Q857" s="9" t="str">
        <f t="shared" si="27"/>
        <v>Valid</v>
      </c>
      <c r="R857">
        <v>95446585</v>
      </c>
      <c r="S857" s="7" t="str">
        <f t="shared" si="26"/>
        <v>Invalid</v>
      </c>
      <c r="T857" t="str">
        <f>IF(Table1[[#This Row],[Age]]&lt;25,"18-24",IF(Table1[[#This Row],[Age]]&lt;30,"25-29",IF(Table1[[#This Row],[Age]]&lt;35,"30-34",IF(Table1[[#This Row],[Age]]&lt;40,"35-39",IF(Table1[[#This Row],[Age]]&lt;50,"40-49","50+")))))</f>
        <v>40-49</v>
      </c>
    </row>
    <row r="858" spans="1:20" x14ac:dyDescent="0.35">
      <c r="A858">
        <v>1857</v>
      </c>
      <c r="B858" t="s">
        <v>54</v>
      </c>
      <c r="C858" t="s">
        <v>43</v>
      </c>
      <c r="D858" t="s">
        <v>27</v>
      </c>
      <c r="E858">
        <v>36</v>
      </c>
      <c r="F858" t="s">
        <v>18</v>
      </c>
      <c r="G858" t="s">
        <v>55</v>
      </c>
      <c r="H858" t="s">
        <v>20</v>
      </c>
      <c r="I858" s="1">
        <v>44663</v>
      </c>
      <c r="J858" t="s">
        <v>555</v>
      </c>
      <c r="K858" t="s">
        <v>40</v>
      </c>
      <c r="L858">
        <v>14</v>
      </c>
      <c r="M858">
        <v>4</v>
      </c>
      <c r="N858" t="s">
        <v>23</v>
      </c>
      <c r="O858" t="s">
        <v>23</v>
      </c>
      <c r="P858" t="s">
        <v>1123</v>
      </c>
      <c r="Q858" s="9" t="str">
        <f t="shared" si="27"/>
        <v>Valid</v>
      </c>
      <c r="R858">
        <v>9612858018</v>
      </c>
      <c r="S858" s="7" t="str">
        <f t="shared" si="26"/>
        <v>Valid</v>
      </c>
      <c r="T858" t="str">
        <f>IF(Table1[[#This Row],[Age]]&lt;25,"18-24",IF(Table1[[#This Row],[Age]]&lt;30,"25-29",IF(Table1[[#This Row],[Age]]&lt;35,"30-34",IF(Table1[[#This Row],[Age]]&lt;40,"35-39",IF(Table1[[#This Row],[Age]]&lt;50,"40-49","50+")))))</f>
        <v>35-39</v>
      </c>
    </row>
    <row r="859" spans="1:20" x14ac:dyDescent="0.35">
      <c r="A859">
        <v>1858</v>
      </c>
      <c r="B859" t="s">
        <v>42</v>
      </c>
      <c r="C859" t="s">
        <v>32</v>
      </c>
      <c r="D859" t="s">
        <v>17</v>
      </c>
      <c r="E859">
        <v>44</v>
      </c>
      <c r="F859" t="s">
        <v>38</v>
      </c>
      <c r="G859" t="s">
        <v>55</v>
      </c>
      <c r="H859" t="s">
        <v>35</v>
      </c>
      <c r="I859" s="1">
        <v>59655</v>
      </c>
      <c r="J859" t="s">
        <v>1819</v>
      </c>
      <c r="K859" t="s">
        <v>46</v>
      </c>
      <c r="L859">
        <v>7</v>
      </c>
      <c r="M859">
        <v>1</v>
      </c>
      <c r="N859" t="s">
        <v>22</v>
      </c>
      <c r="O859" t="s">
        <v>22</v>
      </c>
      <c r="P859" t="s">
        <v>1124</v>
      </c>
      <c r="Q859" s="9" t="str">
        <f t="shared" si="27"/>
        <v>Valid</v>
      </c>
      <c r="R859">
        <v>9564329625</v>
      </c>
      <c r="S859" s="7" t="str">
        <f t="shared" si="26"/>
        <v>Valid</v>
      </c>
      <c r="T859" t="str">
        <f>IF(Table1[[#This Row],[Age]]&lt;25,"18-24",IF(Table1[[#This Row],[Age]]&lt;30,"25-29",IF(Table1[[#This Row],[Age]]&lt;35,"30-34",IF(Table1[[#This Row],[Age]]&lt;40,"35-39",IF(Table1[[#This Row],[Age]]&lt;50,"40-49","50+")))))</f>
        <v>40-49</v>
      </c>
    </row>
    <row r="860" spans="1:20" x14ac:dyDescent="0.35">
      <c r="A860">
        <v>1859</v>
      </c>
      <c r="B860" t="s">
        <v>58</v>
      </c>
      <c r="C860" t="s">
        <v>61</v>
      </c>
      <c r="D860" t="s">
        <v>17</v>
      </c>
      <c r="E860">
        <v>26</v>
      </c>
      <c r="F860" t="s">
        <v>33</v>
      </c>
      <c r="G860" t="s">
        <v>55</v>
      </c>
      <c r="H860" t="s">
        <v>44</v>
      </c>
      <c r="I860" s="1">
        <v>114107</v>
      </c>
      <c r="J860" t="s">
        <v>1537</v>
      </c>
      <c r="K860" t="s">
        <v>49</v>
      </c>
      <c r="L860">
        <v>3</v>
      </c>
      <c r="M860">
        <v>1</v>
      </c>
      <c r="N860" t="s">
        <v>22</v>
      </c>
      <c r="O860" t="s">
        <v>22</v>
      </c>
      <c r="P860" t="s">
        <v>1125</v>
      </c>
      <c r="Q860" s="9" t="str">
        <f t="shared" si="27"/>
        <v>Valid</v>
      </c>
      <c r="R860">
        <v>9679009687</v>
      </c>
      <c r="S860" s="7" t="str">
        <f t="shared" si="26"/>
        <v>Valid</v>
      </c>
      <c r="T860" t="str">
        <f>IF(Table1[[#This Row],[Age]]&lt;25,"18-24",IF(Table1[[#This Row],[Age]]&lt;30,"25-29",IF(Table1[[#This Row],[Age]]&lt;35,"30-34",IF(Table1[[#This Row],[Age]]&lt;40,"35-39",IF(Table1[[#This Row],[Age]]&lt;50,"40-49","50+")))))</f>
        <v>25-29</v>
      </c>
    </row>
    <row r="861" spans="1:20" x14ac:dyDescent="0.35">
      <c r="A861">
        <v>1860</v>
      </c>
      <c r="B861" t="s">
        <v>37</v>
      </c>
      <c r="C861" t="s">
        <v>32</v>
      </c>
      <c r="D861" t="s">
        <v>27</v>
      </c>
      <c r="E861">
        <v>57</v>
      </c>
      <c r="F861" t="s">
        <v>18</v>
      </c>
      <c r="G861" t="s">
        <v>19</v>
      </c>
      <c r="H861" t="s">
        <v>44</v>
      </c>
      <c r="I861" s="1">
        <v>-62484</v>
      </c>
      <c r="J861" t="s">
        <v>463</v>
      </c>
      <c r="K861" t="s">
        <v>40</v>
      </c>
      <c r="L861">
        <v>22</v>
      </c>
      <c r="M861">
        <v>1</v>
      </c>
      <c r="N861" t="s">
        <v>22</v>
      </c>
      <c r="O861" t="s">
        <v>22</v>
      </c>
      <c r="P861" t="s">
        <v>1126</v>
      </c>
      <c r="Q861" s="9" t="str">
        <f t="shared" si="27"/>
        <v>Valid</v>
      </c>
      <c r="R861">
        <v>96327671</v>
      </c>
      <c r="S861" s="7" t="str">
        <f t="shared" si="26"/>
        <v>Invalid</v>
      </c>
      <c r="T861" t="str">
        <f>IF(Table1[[#This Row],[Age]]&lt;25,"18-24",IF(Table1[[#This Row],[Age]]&lt;30,"25-29",IF(Table1[[#This Row],[Age]]&lt;35,"30-34",IF(Table1[[#This Row],[Age]]&lt;40,"35-39",IF(Table1[[#This Row],[Age]]&lt;50,"40-49","50+")))))</f>
        <v>50+</v>
      </c>
    </row>
    <row r="862" spans="1:20" x14ac:dyDescent="0.35">
      <c r="A862">
        <v>1861</v>
      </c>
      <c r="B862" t="s">
        <v>60</v>
      </c>
      <c r="C862" t="s">
        <v>16</v>
      </c>
      <c r="D862" t="s">
        <v>17</v>
      </c>
      <c r="E862">
        <v>24</v>
      </c>
      <c r="F862" t="s">
        <v>62</v>
      </c>
      <c r="G862" t="s">
        <v>55</v>
      </c>
      <c r="H862" t="s">
        <v>28</v>
      </c>
      <c r="I862" s="1">
        <v>60327</v>
      </c>
      <c r="J862" t="s">
        <v>1340</v>
      </c>
      <c r="K862" t="s">
        <v>40</v>
      </c>
      <c r="L862">
        <v>24</v>
      </c>
      <c r="M862">
        <v>5</v>
      </c>
      <c r="N862" t="s">
        <v>23</v>
      </c>
      <c r="O862" t="s">
        <v>22</v>
      </c>
      <c r="P862" t="s">
        <v>1127</v>
      </c>
      <c r="Q862" s="9" t="str">
        <f t="shared" si="27"/>
        <v>Valid</v>
      </c>
      <c r="R862">
        <v>9903282190</v>
      </c>
      <c r="S862" s="7" t="str">
        <f t="shared" si="26"/>
        <v>Valid</v>
      </c>
      <c r="T862" t="str">
        <f>IF(Table1[[#This Row],[Age]]&lt;25,"18-24",IF(Table1[[#This Row],[Age]]&lt;30,"25-29",IF(Table1[[#This Row],[Age]]&lt;35,"30-34",IF(Table1[[#This Row],[Age]]&lt;40,"35-39",IF(Table1[[#This Row],[Age]]&lt;50,"40-49","50+")))))</f>
        <v>18-24</v>
      </c>
    </row>
    <row r="863" spans="1:20" x14ac:dyDescent="0.35">
      <c r="A863">
        <v>1862</v>
      </c>
      <c r="B863" t="s">
        <v>58</v>
      </c>
      <c r="C863" t="s">
        <v>61</v>
      </c>
      <c r="D863" t="s">
        <v>27</v>
      </c>
      <c r="E863">
        <v>54</v>
      </c>
      <c r="F863" t="s">
        <v>33</v>
      </c>
      <c r="G863" t="s">
        <v>39</v>
      </c>
      <c r="H863" t="s">
        <v>44</v>
      </c>
      <c r="I863" s="1">
        <v>100973</v>
      </c>
      <c r="J863" t="s">
        <v>1128</v>
      </c>
      <c r="K863" t="s">
        <v>49</v>
      </c>
      <c r="L863">
        <v>3</v>
      </c>
      <c r="M863">
        <v>1</v>
      </c>
      <c r="N863" t="s">
        <v>22</v>
      </c>
      <c r="O863" t="s">
        <v>23</v>
      </c>
      <c r="P863" t="s">
        <v>1129</v>
      </c>
      <c r="Q863" s="9" t="str">
        <f t="shared" si="27"/>
        <v>Valid</v>
      </c>
      <c r="R863">
        <v>9028010477</v>
      </c>
      <c r="S863" s="7" t="str">
        <f t="shared" si="26"/>
        <v>Valid</v>
      </c>
      <c r="T863" t="str">
        <f>IF(Table1[[#This Row],[Age]]&lt;25,"18-24",IF(Table1[[#This Row],[Age]]&lt;30,"25-29",IF(Table1[[#This Row],[Age]]&lt;35,"30-34",IF(Table1[[#This Row],[Age]]&lt;40,"35-39",IF(Table1[[#This Row],[Age]]&lt;50,"40-49","50+")))))</f>
        <v>50+</v>
      </c>
    </row>
    <row r="864" spans="1:20" x14ac:dyDescent="0.35">
      <c r="A864">
        <v>1863</v>
      </c>
      <c r="B864" t="s">
        <v>64</v>
      </c>
      <c r="C864" t="s">
        <v>26</v>
      </c>
      <c r="D864" t="s">
        <v>17</v>
      </c>
      <c r="E864">
        <v>50</v>
      </c>
      <c r="F864" t="s">
        <v>62</v>
      </c>
      <c r="G864" t="s">
        <v>55</v>
      </c>
      <c r="H864" t="s">
        <v>35</v>
      </c>
      <c r="I864" s="1">
        <v>97512</v>
      </c>
      <c r="J864" t="s">
        <v>1820</v>
      </c>
      <c r="K864" t="s">
        <v>30</v>
      </c>
      <c r="L864">
        <v>13</v>
      </c>
      <c r="M864">
        <v>4</v>
      </c>
      <c r="N864" t="s">
        <v>22</v>
      </c>
      <c r="O864" t="s">
        <v>23</v>
      </c>
      <c r="P864" t="s">
        <v>1130</v>
      </c>
      <c r="Q864" s="9" t="str">
        <f t="shared" si="27"/>
        <v>Valid</v>
      </c>
      <c r="R864">
        <v>9516006953</v>
      </c>
      <c r="S864" s="7" t="str">
        <f t="shared" si="26"/>
        <v>Valid</v>
      </c>
      <c r="T864" t="str">
        <f>IF(Table1[[#This Row],[Age]]&lt;25,"18-24",IF(Table1[[#This Row],[Age]]&lt;30,"25-29",IF(Table1[[#This Row],[Age]]&lt;35,"30-34",IF(Table1[[#This Row],[Age]]&lt;40,"35-39",IF(Table1[[#This Row],[Age]]&lt;50,"40-49","50+")))))</f>
        <v>50+</v>
      </c>
    </row>
    <row r="865" spans="1:20" x14ac:dyDescent="0.35">
      <c r="A865">
        <v>1864</v>
      </c>
      <c r="B865" t="s">
        <v>82</v>
      </c>
      <c r="C865" t="s">
        <v>16</v>
      </c>
      <c r="D865" t="s">
        <v>17</v>
      </c>
      <c r="E865">
        <v>30</v>
      </c>
      <c r="F865" t="s">
        <v>38</v>
      </c>
      <c r="G865" t="s">
        <v>34</v>
      </c>
      <c r="H865" t="s">
        <v>44</v>
      </c>
      <c r="I865" s="1">
        <v>33679</v>
      </c>
      <c r="J865" t="s">
        <v>1131</v>
      </c>
      <c r="K865" t="s">
        <v>21</v>
      </c>
      <c r="L865">
        <v>24</v>
      </c>
      <c r="M865">
        <v>1</v>
      </c>
      <c r="N865" t="s">
        <v>23</v>
      </c>
      <c r="O865" t="s">
        <v>23</v>
      </c>
      <c r="P865" t="s">
        <v>1132</v>
      </c>
      <c r="Q865" s="9" t="str">
        <f t="shared" si="27"/>
        <v>Valid</v>
      </c>
      <c r="R865">
        <v>9276004723</v>
      </c>
      <c r="S865" s="7" t="str">
        <f t="shared" si="26"/>
        <v>Valid</v>
      </c>
      <c r="T865" t="str">
        <f>IF(Table1[[#This Row],[Age]]&lt;25,"18-24",IF(Table1[[#This Row],[Age]]&lt;30,"25-29",IF(Table1[[#This Row],[Age]]&lt;35,"30-34",IF(Table1[[#This Row],[Age]]&lt;40,"35-39",IF(Table1[[#This Row],[Age]]&lt;50,"40-49","50+")))))</f>
        <v>30-34</v>
      </c>
    </row>
    <row r="866" spans="1:20" x14ac:dyDescent="0.35">
      <c r="A866">
        <v>1865</v>
      </c>
      <c r="B866" t="s">
        <v>60</v>
      </c>
      <c r="C866" t="s">
        <v>43</v>
      </c>
      <c r="D866" t="s">
        <v>17</v>
      </c>
      <c r="E866">
        <v>56</v>
      </c>
      <c r="F866" t="s">
        <v>33</v>
      </c>
      <c r="G866" t="s">
        <v>55</v>
      </c>
      <c r="H866" t="s">
        <v>35</v>
      </c>
      <c r="I866" s="1">
        <v>61044</v>
      </c>
      <c r="J866" t="s">
        <v>1821</v>
      </c>
      <c r="K866" t="s">
        <v>21</v>
      </c>
      <c r="L866">
        <v>2</v>
      </c>
      <c r="M866">
        <v>3</v>
      </c>
      <c r="N866" t="s">
        <v>23</v>
      </c>
      <c r="O866" t="s">
        <v>23</v>
      </c>
      <c r="P866" t="s">
        <v>1133</v>
      </c>
      <c r="Q866" s="9" t="str">
        <f t="shared" si="27"/>
        <v>Valid</v>
      </c>
      <c r="R866">
        <v>9570037636</v>
      </c>
      <c r="S866" s="7" t="str">
        <f t="shared" si="26"/>
        <v>Valid</v>
      </c>
      <c r="T866" t="str">
        <f>IF(Table1[[#This Row],[Age]]&lt;25,"18-24",IF(Table1[[#This Row],[Age]]&lt;30,"25-29",IF(Table1[[#This Row],[Age]]&lt;35,"30-34",IF(Table1[[#This Row],[Age]]&lt;40,"35-39",IF(Table1[[#This Row],[Age]]&lt;50,"40-49","50+")))))</f>
        <v>50+</v>
      </c>
    </row>
    <row r="867" spans="1:20" x14ac:dyDescent="0.35">
      <c r="A867">
        <v>1866</v>
      </c>
      <c r="B867" t="s">
        <v>60</v>
      </c>
      <c r="C867" t="s">
        <v>61</v>
      </c>
      <c r="D867" t="s">
        <v>27</v>
      </c>
      <c r="E867">
        <v>36</v>
      </c>
      <c r="F867" t="s">
        <v>69</v>
      </c>
      <c r="G867" t="s">
        <v>19</v>
      </c>
      <c r="H867" t="s">
        <v>28</v>
      </c>
      <c r="I867" s="1">
        <v>68312</v>
      </c>
      <c r="J867" t="s">
        <v>1822</v>
      </c>
      <c r="K867" t="s">
        <v>21</v>
      </c>
      <c r="L867">
        <v>9</v>
      </c>
      <c r="M867">
        <v>5</v>
      </c>
      <c r="N867" t="s">
        <v>22</v>
      </c>
      <c r="O867" t="s">
        <v>22</v>
      </c>
      <c r="P867" t="s">
        <v>1134</v>
      </c>
      <c r="Q867" s="9" t="str">
        <f t="shared" si="27"/>
        <v>Valid</v>
      </c>
      <c r="R867">
        <v>9240828096</v>
      </c>
      <c r="S867" s="7" t="str">
        <f t="shared" si="26"/>
        <v>Valid</v>
      </c>
      <c r="T867" t="str">
        <f>IF(Table1[[#This Row],[Age]]&lt;25,"18-24",IF(Table1[[#This Row],[Age]]&lt;30,"25-29",IF(Table1[[#This Row],[Age]]&lt;35,"30-34",IF(Table1[[#This Row],[Age]]&lt;40,"35-39",IF(Table1[[#This Row],[Age]]&lt;50,"40-49","50+")))))</f>
        <v>35-39</v>
      </c>
    </row>
    <row r="868" spans="1:20" x14ac:dyDescent="0.35">
      <c r="A868">
        <v>1867</v>
      </c>
      <c r="B868" t="s">
        <v>42</v>
      </c>
      <c r="C868" t="s">
        <v>43</v>
      </c>
      <c r="D868" t="s">
        <v>27</v>
      </c>
      <c r="E868">
        <v>43</v>
      </c>
      <c r="F868" t="s">
        <v>62</v>
      </c>
      <c r="G868" t="s">
        <v>39</v>
      </c>
      <c r="H868" t="s">
        <v>44</v>
      </c>
      <c r="I868" s="1">
        <v>107834</v>
      </c>
      <c r="J868" t="s">
        <v>1823</v>
      </c>
      <c r="K868" t="s">
        <v>30</v>
      </c>
      <c r="L868">
        <v>13</v>
      </c>
      <c r="M868">
        <v>1</v>
      </c>
      <c r="N868" t="s">
        <v>23</v>
      </c>
      <c r="O868" t="s">
        <v>22</v>
      </c>
      <c r="P868" t="s">
        <v>1135</v>
      </c>
      <c r="Q868" s="9" t="str">
        <f t="shared" si="27"/>
        <v>Invalid</v>
      </c>
      <c r="R868">
        <v>9343814792</v>
      </c>
      <c r="S868" s="7" t="str">
        <f t="shared" si="26"/>
        <v>Valid</v>
      </c>
      <c r="T868" t="str">
        <f>IF(Table1[[#This Row],[Age]]&lt;25,"18-24",IF(Table1[[#This Row],[Age]]&lt;30,"25-29",IF(Table1[[#This Row],[Age]]&lt;35,"30-34",IF(Table1[[#This Row],[Age]]&lt;40,"35-39",IF(Table1[[#This Row],[Age]]&lt;50,"40-49","50+")))))</f>
        <v>40-49</v>
      </c>
    </row>
    <row r="869" spans="1:20" x14ac:dyDescent="0.35">
      <c r="A869">
        <v>1868</v>
      </c>
      <c r="B869" t="s">
        <v>37</v>
      </c>
      <c r="C869" t="s">
        <v>26</v>
      </c>
      <c r="D869" t="s">
        <v>17</v>
      </c>
      <c r="E869">
        <v>43</v>
      </c>
      <c r="F869" t="s">
        <v>18</v>
      </c>
      <c r="G869" t="s">
        <v>39</v>
      </c>
      <c r="H869" t="s">
        <v>44</v>
      </c>
      <c r="I869" s="1">
        <v>95129</v>
      </c>
      <c r="J869" t="s">
        <v>1824</v>
      </c>
      <c r="K869" t="s">
        <v>30</v>
      </c>
      <c r="L869">
        <v>1</v>
      </c>
      <c r="M869">
        <v>1</v>
      </c>
      <c r="N869" t="s">
        <v>22</v>
      </c>
      <c r="O869" t="s">
        <v>22</v>
      </c>
      <c r="P869" t="s">
        <v>1136</v>
      </c>
      <c r="Q869" s="9" t="str">
        <f t="shared" si="27"/>
        <v>Valid</v>
      </c>
      <c r="R869">
        <v>9726841230</v>
      </c>
      <c r="S869" s="7" t="str">
        <f t="shared" si="26"/>
        <v>Valid</v>
      </c>
      <c r="T869" t="str">
        <f>IF(Table1[[#This Row],[Age]]&lt;25,"18-24",IF(Table1[[#This Row],[Age]]&lt;30,"25-29",IF(Table1[[#This Row],[Age]]&lt;35,"30-34",IF(Table1[[#This Row],[Age]]&lt;40,"35-39",IF(Table1[[#This Row],[Age]]&lt;50,"40-49","50+")))))</f>
        <v>40-49</v>
      </c>
    </row>
    <row r="870" spans="1:20" x14ac:dyDescent="0.35">
      <c r="A870">
        <v>1869</v>
      </c>
      <c r="B870" t="s">
        <v>64</v>
      </c>
      <c r="C870" t="s">
        <v>61</v>
      </c>
      <c r="D870" t="s">
        <v>27</v>
      </c>
      <c r="E870">
        <v>56</v>
      </c>
      <c r="F870" t="s">
        <v>18</v>
      </c>
      <c r="G870" t="s">
        <v>39</v>
      </c>
      <c r="H870" t="s">
        <v>56</v>
      </c>
      <c r="I870" s="1">
        <v>50527</v>
      </c>
      <c r="J870" t="s">
        <v>1137</v>
      </c>
      <c r="K870" t="s">
        <v>46</v>
      </c>
      <c r="L870">
        <v>14</v>
      </c>
      <c r="M870">
        <v>3</v>
      </c>
      <c r="N870" t="s">
        <v>22</v>
      </c>
      <c r="O870" t="s">
        <v>22</v>
      </c>
      <c r="P870" t="s">
        <v>1138</v>
      </c>
      <c r="Q870" s="9" t="str">
        <f t="shared" si="27"/>
        <v>Valid</v>
      </c>
      <c r="R870">
        <v>9380347057</v>
      </c>
      <c r="S870" s="7" t="str">
        <f t="shared" si="26"/>
        <v>Valid</v>
      </c>
      <c r="T870" t="str">
        <f>IF(Table1[[#This Row],[Age]]&lt;25,"18-24",IF(Table1[[#This Row],[Age]]&lt;30,"25-29",IF(Table1[[#This Row],[Age]]&lt;35,"30-34",IF(Table1[[#This Row],[Age]]&lt;40,"35-39",IF(Table1[[#This Row],[Age]]&lt;50,"40-49","50+")))))</f>
        <v>50+</v>
      </c>
    </row>
    <row r="871" spans="1:20" x14ac:dyDescent="0.35">
      <c r="A871">
        <v>1870</v>
      </c>
      <c r="B871" t="s">
        <v>37</v>
      </c>
      <c r="C871" t="s">
        <v>43</v>
      </c>
      <c r="D871" t="s">
        <v>27</v>
      </c>
      <c r="E871">
        <v>40</v>
      </c>
      <c r="F871" t="s">
        <v>69</v>
      </c>
      <c r="G871" t="s">
        <v>39</v>
      </c>
      <c r="H871" t="s">
        <v>56</v>
      </c>
      <c r="I871" s="1">
        <v>61383</v>
      </c>
      <c r="J871" t="s">
        <v>1825</v>
      </c>
      <c r="K871" t="s">
        <v>21</v>
      </c>
      <c r="L871">
        <v>14</v>
      </c>
      <c r="M871">
        <v>5</v>
      </c>
      <c r="N871" t="s">
        <v>23</v>
      </c>
      <c r="O871" t="s">
        <v>23</v>
      </c>
      <c r="P871" t="s">
        <v>1139</v>
      </c>
      <c r="Q871" s="9" t="str">
        <f t="shared" si="27"/>
        <v>Valid</v>
      </c>
      <c r="R871">
        <v>9009771845</v>
      </c>
      <c r="S871" s="7" t="str">
        <f t="shared" si="26"/>
        <v>Valid</v>
      </c>
      <c r="T871" t="str">
        <f>IF(Table1[[#This Row],[Age]]&lt;25,"18-24",IF(Table1[[#This Row],[Age]]&lt;30,"25-29",IF(Table1[[#This Row],[Age]]&lt;35,"30-34",IF(Table1[[#This Row],[Age]]&lt;40,"35-39",IF(Table1[[#This Row],[Age]]&lt;50,"40-49","50+")))))</f>
        <v>40-49</v>
      </c>
    </row>
    <row r="872" spans="1:20" x14ac:dyDescent="0.35">
      <c r="A872">
        <v>1871</v>
      </c>
      <c r="B872" t="s">
        <v>82</v>
      </c>
      <c r="C872" t="s">
        <v>43</v>
      </c>
      <c r="D872" t="s">
        <v>27</v>
      </c>
      <c r="E872">
        <v>37</v>
      </c>
      <c r="F872" t="s">
        <v>62</v>
      </c>
      <c r="G872" t="s">
        <v>34</v>
      </c>
      <c r="H872" t="s">
        <v>28</v>
      </c>
      <c r="I872" s="1">
        <v>90360</v>
      </c>
      <c r="J872" t="s">
        <v>1826</v>
      </c>
      <c r="K872" t="s">
        <v>40</v>
      </c>
      <c r="L872">
        <v>4</v>
      </c>
      <c r="M872">
        <v>3</v>
      </c>
      <c r="N872" t="s">
        <v>22</v>
      </c>
      <c r="O872" t="s">
        <v>23</v>
      </c>
      <c r="P872" t="s">
        <v>1140</v>
      </c>
      <c r="Q872" s="9" t="str">
        <f t="shared" si="27"/>
        <v>Valid</v>
      </c>
      <c r="R872">
        <v>9418257783</v>
      </c>
      <c r="S872" s="7" t="str">
        <f t="shared" si="26"/>
        <v>Valid</v>
      </c>
      <c r="T872" t="str">
        <f>IF(Table1[[#This Row],[Age]]&lt;25,"18-24",IF(Table1[[#This Row],[Age]]&lt;30,"25-29",IF(Table1[[#This Row],[Age]]&lt;35,"30-34",IF(Table1[[#This Row],[Age]]&lt;40,"35-39",IF(Table1[[#This Row],[Age]]&lt;50,"40-49","50+")))))</f>
        <v>35-39</v>
      </c>
    </row>
    <row r="873" spans="1:20" x14ac:dyDescent="0.35">
      <c r="A873">
        <v>1872</v>
      </c>
      <c r="B873" t="s">
        <v>82</v>
      </c>
      <c r="C873" t="s">
        <v>26</v>
      </c>
      <c r="D873" t="s">
        <v>27</v>
      </c>
      <c r="E873">
        <v>48</v>
      </c>
      <c r="F873" t="s">
        <v>38</v>
      </c>
      <c r="G873" t="s">
        <v>39</v>
      </c>
      <c r="H873" t="s">
        <v>35</v>
      </c>
      <c r="I873" s="1">
        <v>93006</v>
      </c>
      <c r="J873" t="s">
        <v>1827</v>
      </c>
      <c r="K873" t="s">
        <v>40</v>
      </c>
      <c r="L873">
        <v>8</v>
      </c>
      <c r="M873">
        <v>4</v>
      </c>
      <c r="N873" t="s">
        <v>23</v>
      </c>
      <c r="O873" t="s">
        <v>23</v>
      </c>
      <c r="P873" t="s">
        <v>1141</v>
      </c>
      <c r="Q873" s="9" t="str">
        <f t="shared" si="27"/>
        <v>Valid</v>
      </c>
      <c r="R873">
        <v>9507418120</v>
      </c>
      <c r="S873" s="7" t="str">
        <f t="shared" si="26"/>
        <v>Valid</v>
      </c>
      <c r="T873" t="str">
        <f>IF(Table1[[#This Row],[Age]]&lt;25,"18-24",IF(Table1[[#This Row],[Age]]&lt;30,"25-29",IF(Table1[[#This Row],[Age]]&lt;35,"30-34",IF(Table1[[#This Row],[Age]]&lt;40,"35-39",IF(Table1[[#This Row],[Age]]&lt;50,"40-49","50+")))))</f>
        <v>40-49</v>
      </c>
    </row>
    <row r="874" spans="1:20" x14ac:dyDescent="0.35">
      <c r="A874">
        <v>1873</v>
      </c>
      <c r="B874" t="s">
        <v>67</v>
      </c>
      <c r="C874" t="s">
        <v>16</v>
      </c>
      <c r="D874" t="s">
        <v>27</v>
      </c>
      <c r="E874">
        <v>57</v>
      </c>
      <c r="F874" t="s">
        <v>62</v>
      </c>
      <c r="G874" t="s">
        <v>55</v>
      </c>
      <c r="H874" t="s">
        <v>35</v>
      </c>
      <c r="I874" s="1">
        <v>115649</v>
      </c>
      <c r="J874" t="s">
        <v>1828</v>
      </c>
      <c r="K874" t="s">
        <v>40</v>
      </c>
      <c r="L874">
        <v>24</v>
      </c>
      <c r="M874">
        <v>3</v>
      </c>
      <c r="N874" t="s">
        <v>23</v>
      </c>
      <c r="O874" t="s">
        <v>22</v>
      </c>
      <c r="P874" t="s">
        <v>1142</v>
      </c>
      <c r="Q874" s="9" t="str">
        <f t="shared" si="27"/>
        <v>Valid</v>
      </c>
      <c r="R874">
        <v>9406821238</v>
      </c>
      <c r="S874" s="7" t="str">
        <f t="shared" si="26"/>
        <v>Valid</v>
      </c>
      <c r="T874" t="str">
        <f>IF(Table1[[#This Row],[Age]]&lt;25,"18-24",IF(Table1[[#This Row],[Age]]&lt;30,"25-29",IF(Table1[[#This Row],[Age]]&lt;35,"30-34",IF(Table1[[#This Row],[Age]]&lt;40,"35-39",IF(Table1[[#This Row],[Age]]&lt;50,"40-49","50+")))))</f>
        <v>50+</v>
      </c>
    </row>
    <row r="875" spans="1:20" x14ac:dyDescent="0.35">
      <c r="A875">
        <v>1874</v>
      </c>
      <c r="B875" t="s">
        <v>60</v>
      </c>
      <c r="C875" t="s">
        <v>26</v>
      </c>
      <c r="D875" t="s">
        <v>27</v>
      </c>
      <c r="E875">
        <v>46</v>
      </c>
      <c r="F875" t="s">
        <v>18</v>
      </c>
      <c r="G875" t="s">
        <v>55</v>
      </c>
      <c r="H875" t="s">
        <v>28</v>
      </c>
      <c r="I875" s="1">
        <v>112421</v>
      </c>
      <c r="J875" t="s">
        <v>1829</v>
      </c>
      <c r="K875" t="s">
        <v>30</v>
      </c>
      <c r="L875">
        <v>4</v>
      </c>
      <c r="M875">
        <v>2</v>
      </c>
      <c r="N875" t="s">
        <v>22</v>
      </c>
      <c r="O875" t="s">
        <v>22</v>
      </c>
      <c r="P875" t="s">
        <v>1143</v>
      </c>
      <c r="Q875" s="9" t="str">
        <f t="shared" si="27"/>
        <v>Valid</v>
      </c>
      <c r="R875">
        <v>9737119282</v>
      </c>
      <c r="S875" s="7" t="str">
        <f t="shared" si="26"/>
        <v>Valid</v>
      </c>
      <c r="T875" t="str">
        <f>IF(Table1[[#This Row],[Age]]&lt;25,"18-24",IF(Table1[[#This Row],[Age]]&lt;30,"25-29",IF(Table1[[#This Row],[Age]]&lt;35,"30-34",IF(Table1[[#This Row],[Age]]&lt;40,"35-39",IF(Table1[[#This Row],[Age]]&lt;50,"40-49","50+")))))</f>
        <v>40-49</v>
      </c>
    </row>
    <row r="876" spans="1:20" x14ac:dyDescent="0.35">
      <c r="A876">
        <v>1875</v>
      </c>
      <c r="B876" t="s">
        <v>60</v>
      </c>
      <c r="C876" t="s">
        <v>61</v>
      </c>
      <c r="D876" t="s">
        <v>27</v>
      </c>
      <c r="E876">
        <v>42</v>
      </c>
      <c r="F876" t="s">
        <v>33</v>
      </c>
      <c r="G876" t="s">
        <v>19</v>
      </c>
      <c r="H876" t="s">
        <v>44</v>
      </c>
      <c r="I876" s="1">
        <v>44888</v>
      </c>
      <c r="J876" t="s">
        <v>1144</v>
      </c>
      <c r="K876" t="s">
        <v>40</v>
      </c>
      <c r="L876">
        <v>1</v>
      </c>
      <c r="M876">
        <v>3</v>
      </c>
      <c r="N876" t="s">
        <v>22</v>
      </c>
      <c r="O876" t="s">
        <v>23</v>
      </c>
      <c r="P876" t="s">
        <v>1145</v>
      </c>
      <c r="Q876" s="9" t="str">
        <f t="shared" si="27"/>
        <v>Valid</v>
      </c>
      <c r="R876">
        <v>9574197369</v>
      </c>
      <c r="S876" s="7" t="str">
        <f t="shared" si="26"/>
        <v>Valid</v>
      </c>
      <c r="T876" t="str">
        <f>IF(Table1[[#This Row],[Age]]&lt;25,"18-24",IF(Table1[[#This Row],[Age]]&lt;30,"25-29",IF(Table1[[#This Row],[Age]]&lt;35,"30-34",IF(Table1[[#This Row],[Age]]&lt;40,"35-39",IF(Table1[[#This Row],[Age]]&lt;50,"40-49","50+")))))</f>
        <v>40-49</v>
      </c>
    </row>
    <row r="877" spans="1:20" x14ac:dyDescent="0.35">
      <c r="A877">
        <v>1876</v>
      </c>
      <c r="B877" t="s">
        <v>42</v>
      </c>
      <c r="C877" t="s">
        <v>26</v>
      </c>
      <c r="D877" t="s">
        <v>17</v>
      </c>
      <c r="E877">
        <v>57</v>
      </c>
      <c r="F877" t="s">
        <v>69</v>
      </c>
      <c r="G877" t="s">
        <v>55</v>
      </c>
      <c r="H877" t="s">
        <v>35</v>
      </c>
      <c r="I877" s="1">
        <v>112034</v>
      </c>
      <c r="J877" t="s">
        <v>1830</v>
      </c>
      <c r="K877" t="s">
        <v>40</v>
      </c>
      <c r="L877">
        <v>15</v>
      </c>
      <c r="M877">
        <v>4</v>
      </c>
      <c r="N877" t="s">
        <v>23</v>
      </c>
      <c r="O877" t="s">
        <v>23</v>
      </c>
      <c r="P877" t="s">
        <v>1146</v>
      </c>
      <c r="Q877" s="9" t="str">
        <f t="shared" si="27"/>
        <v>Valid</v>
      </c>
      <c r="R877">
        <v>9727167053</v>
      </c>
      <c r="S877" s="7" t="str">
        <f t="shared" si="26"/>
        <v>Valid</v>
      </c>
      <c r="T877" t="str">
        <f>IF(Table1[[#This Row],[Age]]&lt;25,"18-24",IF(Table1[[#This Row],[Age]]&lt;30,"25-29",IF(Table1[[#This Row],[Age]]&lt;35,"30-34",IF(Table1[[#This Row],[Age]]&lt;40,"35-39",IF(Table1[[#This Row],[Age]]&lt;50,"40-49","50+")))))</f>
        <v>50+</v>
      </c>
    </row>
    <row r="878" spans="1:20" x14ac:dyDescent="0.35">
      <c r="A878">
        <v>1877</v>
      </c>
      <c r="B878" t="s">
        <v>42</v>
      </c>
      <c r="C878" t="s">
        <v>26</v>
      </c>
      <c r="D878" t="s">
        <v>17</v>
      </c>
      <c r="E878">
        <v>53</v>
      </c>
      <c r="F878" t="s">
        <v>62</v>
      </c>
      <c r="G878" t="s">
        <v>34</v>
      </c>
      <c r="H878" t="s">
        <v>28</v>
      </c>
      <c r="I878" s="1">
        <v>114946</v>
      </c>
      <c r="J878" t="s">
        <v>1831</v>
      </c>
      <c r="K878" t="s">
        <v>40</v>
      </c>
      <c r="L878">
        <v>12</v>
      </c>
      <c r="M878">
        <v>2</v>
      </c>
      <c r="N878" t="s">
        <v>22</v>
      </c>
      <c r="O878" t="s">
        <v>22</v>
      </c>
      <c r="P878" t="s">
        <v>1147</v>
      </c>
      <c r="Q878" s="9" t="str">
        <f t="shared" si="27"/>
        <v>Valid</v>
      </c>
      <c r="R878">
        <v>9080479146</v>
      </c>
      <c r="S878" s="7" t="str">
        <f t="shared" si="26"/>
        <v>Valid</v>
      </c>
      <c r="T878" t="str">
        <f>IF(Table1[[#This Row],[Age]]&lt;25,"18-24",IF(Table1[[#This Row],[Age]]&lt;30,"25-29",IF(Table1[[#This Row],[Age]]&lt;35,"30-34",IF(Table1[[#This Row],[Age]]&lt;40,"35-39",IF(Table1[[#This Row],[Age]]&lt;50,"40-49","50+")))))</f>
        <v>50+</v>
      </c>
    </row>
    <row r="879" spans="1:20" x14ac:dyDescent="0.35">
      <c r="A879">
        <v>1878</v>
      </c>
      <c r="B879" t="s">
        <v>82</v>
      </c>
      <c r="C879" t="s">
        <v>16</v>
      </c>
      <c r="D879" t="s">
        <v>27</v>
      </c>
      <c r="E879">
        <v>28</v>
      </c>
      <c r="F879" t="s">
        <v>62</v>
      </c>
      <c r="G879" t="s">
        <v>77</v>
      </c>
      <c r="H879" t="s">
        <v>44</v>
      </c>
      <c r="I879" s="1">
        <v>62425</v>
      </c>
      <c r="J879" t="s">
        <v>1148</v>
      </c>
      <c r="K879" t="s">
        <v>21</v>
      </c>
      <c r="L879">
        <v>17</v>
      </c>
      <c r="M879">
        <v>4</v>
      </c>
      <c r="N879" t="s">
        <v>23</v>
      </c>
      <c r="O879" t="s">
        <v>23</v>
      </c>
      <c r="P879" t="s">
        <v>1149</v>
      </c>
      <c r="Q879" s="9" t="str">
        <f t="shared" si="27"/>
        <v>Invalid</v>
      </c>
      <c r="R879">
        <v>9886941946</v>
      </c>
      <c r="S879" s="7" t="str">
        <f t="shared" si="26"/>
        <v>Valid</v>
      </c>
      <c r="T879" t="str">
        <f>IF(Table1[[#This Row],[Age]]&lt;25,"18-24",IF(Table1[[#This Row],[Age]]&lt;30,"25-29",IF(Table1[[#This Row],[Age]]&lt;35,"30-34",IF(Table1[[#This Row],[Age]]&lt;40,"35-39",IF(Table1[[#This Row],[Age]]&lt;50,"40-49","50+")))))</f>
        <v>25-29</v>
      </c>
    </row>
    <row r="880" spans="1:20" x14ac:dyDescent="0.35">
      <c r="A880">
        <v>1879</v>
      </c>
      <c r="B880" t="s">
        <v>54</v>
      </c>
      <c r="C880" t="s">
        <v>32</v>
      </c>
      <c r="D880" t="s">
        <v>27</v>
      </c>
      <c r="E880">
        <v>54</v>
      </c>
      <c r="F880" t="s">
        <v>38</v>
      </c>
      <c r="G880" t="s">
        <v>55</v>
      </c>
      <c r="H880" t="s">
        <v>56</v>
      </c>
      <c r="I880" s="1">
        <v>102033</v>
      </c>
      <c r="J880" t="s">
        <v>1150</v>
      </c>
      <c r="K880" t="s">
        <v>40</v>
      </c>
      <c r="L880">
        <v>13</v>
      </c>
      <c r="M880">
        <v>4</v>
      </c>
      <c r="N880" t="s">
        <v>23</v>
      </c>
      <c r="O880" t="s">
        <v>22</v>
      </c>
      <c r="P880" t="s">
        <v>1151</v>
      </c>
      <c r="Q880" s="9" t="str">
        <f t="shared" si="27"/>
        <v>Valid</v>
      </c>
      <c r="R880">
        <v>9211328926</v>
      </c>
      <c r="S880" s="7" t="str">
        <f t="shared" si="26"/>
        <v>Valid</v>
      </c>
      <c r="T880" t="str">
        <f>IF(Table1[[#This Row],[Age]]&lt;25,"18-24",IF(Table1[[#This Row],[Age]]&lt;30,"25-29",IF(Table1[[#This Row],[Age]]&lt;35,"30-34",IF(Table1[[#This Row],[Age]]&lt;40,"35-39",IF(Table1[[#This Row],[Age]]&lt;50,"40-49","50+")))))</f>
        <v>50+</v>
      </c>
    </row>
    <row r="881" spans="1:20" x14ac:dyDescent="0.35">
      <c r="A881">
        <v>1880</v>
      </c>
      <c r="B881" t="s">
        <v>67</v>
      </c>
      <c r="C881" t="s">
        <v>43</v>
      </c>
      <c r="D881" t="s">
        <v>17</v>
      </c>
      <c r="E881">
        <v>54</v>
      </c>
      <c r="F881" t="s">
        <v>38</v>
      </c>
      <c r="G881" t="s">
        <v>19</v>
      </c>
      <c r="H881" t="s">
        <v>56</v>
      </c>
      <c r="I881" s="1">
        <v>75468</v>
      </c>
      <c r="J881" t="s">
        <v>1152</v>
      </c>
      <c r="K881" t="s">
        <v>49</v>
      </c>
      <c r="L881">
        <v>24</v>
      </c>
      <c r="M881">
        <v>4</v>
      </c>
      <c r="N881" t="s">
        <v>23</v>
      </c>
      <c r="O881" t="s">
        <v>22</v>
      </c>
      <c r="P881" t="s">
        <v>1153</v>
      </c>
      <c r="Q881" s="9" t="str">
        <f t="shared" si="27"/>
        <v>Valid</v>
      </c>
      <c r="R881">
        <v>9798260680</v>
      </c>
      <c r="S881" s="7" t="str">
        <f t="shared" si="26"/>
        <v>Valid</v>
      </c>
      <c r="T881" t="str">
        <f>IF(Table1[[#This Row],[Age]]&lt;25,"18-24",IF(Table1[[#This Row],[Age]]&lt;30,"25-29",IF(Table1[[#This Row],[Age]]&lt;35,"30-34",IF(Table1[[#This Row],[Age]]&lt;40,"35-39",IF(Table1[[#This Row],[Age]]&lt;50,"40-49","50+")))))</f>
        <v>50+</v>
      </c>
    </row>
    <row r="882" spans="1:20" x14ac:dyDescent="0.35">
      <c r="A882">
        <v>1881</v>
      </c>
      <c r="B882" t="s">
        <v>60</v>
      </c>
      <c r="C882" t="s">
        <v>32</v>
      </c>
      <c r="D882" t="s">
        <v>27</v>
      </c>
      <c r="E882">
        <v>37</v>
      </c>
      <c r="F882" t="s">
        <v>69</v>
      </c>
      <c r="G882" t="s">
        <v>19</v>
      </c>
      <c r="H882" t="s">
        <v>20</v>
      </c>
      <c r="I882" s="1">
        <v>74178</v>
      </c>
      <c r="J882" t="s">
        <v>1758</v>
      </c>
      <c r="K882" t="s">
        <v>46</v>
      </c>
      <c r="L882">
        <v>2</v>
      </c>
      <c r="M882">
        <v>2</v>
      </c>
      <c r="N882" t="s">
        <v>23</v>
      </c>
      <c r="O882" t="s">
        <v>22</v>
      </c>
      <c r="P882" t="s">
        <v>1154</v>
      </c>
      <c r="Q882" s="9" t="str">
        <f t="shared" si="27"/>
        <v>Valid</v>
      </c>
      <c r="R882">
        <v>9088679002</v>
      </c>
      <c r="S882" s="7" t="str">
        <f t="shared" si="26"/>
        <v>Valid</v>
      </c>
      <c r="T882" t="str">
        <f>IF(Table1[[#This Row],[Age]]&lt;25,"18-24",IF(Table1[[#This Row],[Age]]&lt;30,"25-29",IF(Table1[[#This Row],[Age]]&lt;35,"30-34",IF(Table1[[#This Row],[Age]]&lt;40,"35-39",IF(Table1[[#This Row],[Age]]&lt;50,"40-49","50+")))))</f>
        <v>35-39</v>
      </c>
    </row>
    <row r="883" spans="1:20" x14ac:dyDescent="0.35">
      <c r="A883">
        <v>1882</v>
      </c>
      <c r="B883" t="s">
        <v>64</v>
      </c>
      <c r="C883" t="s">
        <v>16</v>
      </c>
      <c r="D883" t="s">
        <v>27</v>
      </c>
      <c r="E883">
        <v>54</v>
      </c>
      <c r="F883" t="s">
        <v>18</v>
      </c>
      <c r="G883" t="s">
        <v>55</v>
      </c>
      <c r="H883" t="s">
        <v>20</v>
      </c>
      <c r="I883" s="1">
        <v>86179</v>
      </c>
      <c r="J883" t="s">
        <v>1155</v>
      </c>
      <c r="K883" t="s">
        <v>30</v>
      </c>
      <c r="L883">
        <v>2</v>
      </c>
      <c r="M883">
        <v>1</v>
      </c>
      <c r="N883" t="s">
        <v>22</v>
      </c>
      <c r="O883" t="s">
        <v>23</v>
      </c>
      <c r="P883" t="s">
        <v>1156</v>
      </c>
      <c r="Q883" s="9" t="str">
        <f t="shared" si="27"/>
        <v>Valid</v>
      </c>
      <c r="R883">
        <v>9486469383</v>
      </c>
      <c r="S883" s="7" t="str">
        <f t="shared" si="26"/>
        <v>Valid</v>
      </c>
      <c r="T883" t="str">
        <f>IF(Table1[[#This Row],[Age]]&lt;25,"18-24",IF(Table1[[#This Row],[Age]]&lt;30,"25-29",IF(Table1[[#This Row],[Age]]&lt;35,"30-34",IF(Table1[[#This Row],[Age]]&lt;40,"35-39",IF(Table1[[#This Row],[Age]]&lt;50,"40-49","50+")))))</f>
        <v>50+</v>
      </c>
    </row>
    <row r="884" spans="1:20" x14ac:dyDescent="0.35">
      <c r="A884">
        <v>1883</v>
      </c>
      <c r="B884" t="s">
        <v>25</v>
      </c>
      <c r="C884" t="s">
        <v>16</v>
      </c>
      <c r="D884" t="s">
        <v>27</v>
      </c>
      <c r="E884">
        <v>29</v>
      </c>
      <c r="F884" t="s">
        <v>33</v>
      </c>
      <c r="G884" t="s">
        <v>77</v>
      </c>
      <c r="H884" t="s">
        <v>20</v>
      </c>
      <c r="I884" s="1">
        <v>56443</v>
      </c>
      <c r="J884" t="s">
        <v>1157</v>
      </c>
      <c r="K884" t="s">
        <v>21</v>
      </c>
      <c r="L884">
        <v>14</v>
      </c>
      <c r="M884">
        <v>5</v>
      </c>
      <c r="N884" t="s">
        <v>22</v>
      </c>
      <c r="O884" t="s">
        <v>23</v>
      </c>
      <c r="P884" t="s">
        <v>1158</v>
      </c>
      <c r="Q884" s="9" t="str">
        <f t="shared" si="27"/>
        <v>Valid</v>
      </c>
      <c r="R884">
        <v>9569981756</v>
      </c>
      <c r="S884" s="7" t="str">
        <f t="shared" si="26"/>
        <v>Valid</v>
      </c>
      <c r="T884" t="str">
        <f>IF(Table1[[#This Row],[Age]]&lt;25,"18-24",IF(Table1[[#This Row],[Age]]&lt;30,"25-29",IF(Table1[[#This Row],[Age]]&lt;35,"30-34",IF(Table1[[#This Row],[Age]]&lt;40,"35-39",IF(Table1[[#This Row],[Age]]&lt;50,"40-49","50+")))))</f>
        <v>25-29</v>
      </c>
    </row>
    <row r="885" spans="1:20" x14ac:dyDescent="0.35">
      <c r="A885">
        <v>1884</v>
      </c>
      <c r="B885" t="s">
        <v>67</v>
      </c>
      <c r="C885" t="s">
        <v>32</v>
      </c>
      <c r="D885" t="s">
        <v>27</v>
      </c>
      <c r="E885">
        <v>48</v>
      </c>
      <c r="F885" t="s">
        <v>33</v>
      </c>
      <c r="G885" t="s">
        <v>19</v>
      </c>
      <c r="H885" t="s">
        <v>28</v>
      </c>
      <c r="I885" s="1">
        <v>105037</v>
      </c>
      <c r="J885" t="s">
        <v>1159</v>
      </c>
      <c r="K885" t="s">
        <v>46</v>
      </c>
      <c r="L885">
        <v>20</v>
      </c>
      <c r="M885">
        <v>1</v>
      </c>
      <c r="N885" t="s">
        <v>23</v>
      </c>
      <c r="O885" t="s">
        <v>22</v>
      </c>
      <c r="P885" t="s">
        <v>1160</v>
      </c>
      <c r="Q885" s="9" t="str">
        <f t="shared" si="27"/>
        <v>Valid</v>
      </c>
      <c r="R885">
        <v>9040647985</v>
      </c>
      <c r="S885" s="7" t="str">
        <f t="shared" si="26"/>
        <v>Valid</v>
      </c>
      <c r="T885" t="str">
        <f>IF(Table1[[#This Row],[Age]]&lt;25,"18-24",IF(Table1[[#This Row],[Age]]&lt;30,"25-29",IF(Table1[[#This Row],[Age]]&lt;35,"30-34",IF(Table1[[#This Row],[Age]]&lt;40,"35-39",IF(Table1[[#This Row],[Age]]&lt;50,"40-49","50+")))))</f>
        <v>40-49</v>
      </c>
    </row>
    <row r="886" spans="1:20" x14ac:dyDescent="0.35">
      <c r="A886">
        <v>1885</v>
      </c>
      <c r="B886" t="s">
        <v>42</v>
      </c>
      <c r="C886" t="s">
        <v>16</v>
      </c>
      <c r="D886" t="s">
        <v>17</v>
      </c>
      <c r="E886">
        <v>49</v>
      </c>
      <c r="F886" t="s">
        <v>33</v>
      </c>
      <c r="G886" t="s">
        <v>77</v>
      </c>
      <c r="H886" t="s">
        <v>44</v>
      </c>
      <c r="I886" s="1">
        <v>50355</v>
      </c>
      <c r="J886" t="s">
        <v>1161</v>
      </c>
      <c r="K886" t="s">
        <v>30</v>
      </c>
      <c r="L886">
        <v>20</v>
      </c>
      <c r="M886">
        <v>5</v>
      </c>
      <c r="N886" t="s">
        <v>23</v>
      </c>
      <c r="O886" t="s">
        <v>22</v>
      </c>
      <c r="P886" t="s">
        <v>1162</v>
      </c>
      <c r="Q886" s="9" t="str">
        <f t="shared" si="27"/>
        <v>Valid</v>
      </c>
      <c r="R886">
        <v>9084882888</v>
      </c>
      <c r="S886" s="7" t="str">
        <f t="shared" si="26"/>
        <v>Valid</v>
      </c>
      <c r="T886" t="str">
        <f>IF(Table1[[#This Row],[Age]]&lt;25,"18-24",IF(Table1[[#This Row],[Age]]&lt;30,"25-29",IF(Table1[[#This Row],[Age]]&lt;35,"30-34",IF(Table1[[#This Row],[Age]]&lt;40,"35-39",IF(Table1[[#This Row],[Age]]&lt;50,"40-49","50+")))))</f>
        <v>40-49</v>
      </c>
    </row>
    <row r="887" spans="1:20" x14ac:dyDescent="0.35">
      <c r="A887">
        <v>1886</v>
      </c>
      <c r="B887" t="s">
        <v>58</v>
      </c>
      <c r="C887" t="s">
        <v>43</v>
      </c>
      <c r="D887" t="s">
        <v>17</v>
      </c>
      <c r="E887">
        <v>50</v>
      </c>
      <c r="F887" t="s">
        <v>62</v>
      </c>
      <c r="G887" t="s">
        <v>19</v>
      </c>
      <c r="H887" t="s">
        <v>20</v>
      </c>
      <c r="I887" s="1">
        <v>76284</v>
      </c>
      <c r="J887" t="s">
        <v>1240</v>
      </c>
      <c r="K887" t="s">
        <v>46</v>
      </c>
      <c r="L887">
        <v>17</v>
      </c>
      <c r="M887">
        <v>4</v>
      </c>
      <c r="N887" t="s">
        <v>23</v>
      </c>
      <c r="O887" t="s">
        <v>23</v>
      </c>
      <c r="P887" t="s">
        <v>1163</v>
      </c>
      <c r="Q887" s="9" t="str">
        <f t="shared" si="27"/>
        <v>Valid</v>
      </c>
      <c r="R887">
        <v>9187848214</v>
      </c>
      <c r="S887" s="7" t="str">
        <f t="shared" si="26"/>
        <v>Valid</v>
      </c>
      <c r="T887" t="str">
        <f>IF(Table1[[#This Row],[Age]]&lt;25,"18-24",IF(Table1[[#This Row],[Age]]&lt;30,"25-29",IF(Table1[[#This Row],[Age]]&lt;35,"30-34",IF(Table1[[#This Row],[Age]]&lt;40,"35-39",IF(Table1[[#This Row],[Age]]&lt;50,"40-49","50+")))))</f>
        <v>50+</v>
      </c>
    </row>
    <row r="888" spans="1:20" x14ac:dyDescent="0.35">
      <c r="A888">
        <v>1887</v>
      </c>
      <c r="B888" t="s">
        <v>82</v>
      </c>
      <c r="C888" t="s">
        <v>32</v>
      </c>
      <c r="D888" t="s">
        <v>27</v>
      </c>
      <c r="E888">
        <v>55</v>
      </c>
      <c r="F888" t="s">
        <v>62</v>
      </c>
      <c r="G888" t="s">
        <v>55</v>
      </c>
      <c r="H888" t="s">
        <v>56</v>
      </c>
      <c r="I888" s="1">
        <v>91335</v>
      </c>
      <c r="J888" t="s">
        <v>1164</v>
      </c>
      <c r="K888" t="s">
        <v>40</v>
      </c>
      <c r="L888">
        <v>12</v>
      </c>
      <c r="M888">
        <v>3</v>
      </c>
      <c r="N888" t="s">
        <v>22</v>
      </c>
      <c r="O888" t="s">
        <v>22</v>
      </c>
      <c r="P888" t="s">
        <v>1165</v>
      </c>
      <c r="Q888" s="9" t="str">
        <f t="shared" si="27"/>
        <v>Valid</v>
      </c>
      <c r="R888">
        <v>9669594038</v>
      </c>
      <c r="S888" s="7" t="str">
        <f t="shared" si="26"/>
        <v>Valid</v>
      </c>
      <c r="T888" t="str">
        <f>IF(Table1[[#This Row],[Age]]&lt;25,"18-24",IF(Table1[[#This Row],[Age]]&lt;30,"25-29",IF(Table1[[#This Row],[Age]]&lt;35,"30-34",IF(Table1[[#This Row],[Age]]&lt;40,"35-39",IF(Table1[[#This Row],[Age]]&lt;50,"40-49","50+")))))</f>
        <v>50+</v>
      </c>
    </row>
    <row r="889" spans="1:20" x14ac:dyDescent="0.35">
      <c r="A889">
        <v>1888</v>
      </c>
      <c r="B889" t="s">
        <v>25</v>
      </c>
      <c r="C889" t="s">
        <v>43</v>
      </c>
      <c r="D889" t="s">
        <v>27</v>
      </c>
      <c r="E889">
        <v>40</v>
      </c>
      <c r="F889" t="s">
        <v>38</v>
      </c>
      <c r="G889" t="s">
        <v>39</v>
      </c>
      <c r="H889" t="s">
        <v>28</v>
      </c>
      <c r="I889" s="1">
        <v>64570</v>
      </c>
      <c r="J889" t="s">
        <v>1832</v>
      </c>
      <c r="K889" t="s">
        <v>30</v>
      </c>
      <c r="L889">
        <v>12</v>
      </c>
      <c r="M889">
        <v>4</v>
      </c>
      <c r="N889" t="s">
        <v>23</v>
      </c>
      <c r="O889" t="s">
        <v>22</v>
      </c>
      <c r="P889" t="s">
        <v>1166</v>
      </c>
      <c r="Q889" s="9" t="str">
        <f t="shared" si="27"/>
        <v>Valid</v>
      </c>
      <c r="R889">
        <v>9196584383</v>
      </c>
      <c r="S889" s="7" t="str">
        <f t="shared" si="26"/>
        <v>Valid</v>
      </c>
      <c r="T889" t="str">
        <f>IF(Table1[[#This Row],[Age]]&lt;25,"18-24",IF(Table1[[#This Row],[Age]]&lt;30,"25-29",IF(Table1[[#This Row],[Age]]&lt;35,"30-34",IF(Table1[[#This Row],[Age]]&lt;40,"35-39",IF(Table1[[#This Row],[Age]]&lt;50,"40-49","50+")))))</f>
        <v>40-49</v>
      </c>
    </row>
    <row r="890" spans="1:20" x14ac:dyDescent="0.35">
      <c r="A890">
        <v>1889</v>
      </c>
      <c r="B890" t="s">
        <v>37</v>
      </c>
      <c r="C890" t="s">
        <v>26</v>
      </c>
      <c r="D890" t="s">
        <v>27</v>
      </c>
      <c r="E890">
        <v>38</v>
      </c>
      <c r="F890" t="s">
        <v>69</v>
      </c>
      <c r="G890" t="s">
        <v>39</v>
      </c>
      <c r="H890" t="s">
        <v>20</v>
      </c>
      <c r="I890" s="1">
        <v>105981</v>
      </c>
      <c r="J890" t="s">
        <v>1833</v>
      </c>
      <c r="K890" t="s">
        <v>30</v>
      </c>
      <c r="L890">
        <v>14</v>
      </c>
      <c r="M890">
        <v>2</v>
      </c>
      <c r="N890" t="s">
        <v>22</v>
      </c>
      <c r="O890" t="s">
        <v>22</v>
      </c>
      <c r="P890" t="s">
        <v>1167</v>
      </c>
      <c r="Q890" s="9" t="str">
        <f t="shared" si="27"/>
        <v>Valid</v>
      </c>
      <c r="R890">
        <v>9001351207</v>
      </c>
      <c r="S890" s="7" t="str">
        <f t="shared" si="26"/>
        <v>Valid</v>
      </c>
      <c r="T890" t="str">
        <f>IF(Table1[[#This Row],[Age]]&lt;25,"18-24",IF(Table1[[#This Row],[Age]]&lt;30,"25-29",IF(Table1[[#This Row],[Age]]&lt;35,"30-34",IF(Table1[[#This Row],[Age]]&lt;40,"35-39",IF(Table1[[#This Row],[Age]]&lt;50,"40-49","50+")))))</f>
        <v>35-39</v>
      </c>
    </row>
    <row r="891" spans="1:20" x14ac:dyDescent="0.35">
      <c r="A891">
        <v>1890</v>
      </c>
      <c r="B891" t="s">
        <v>82</v>
      </c>
      <c r="C891" t="s">
        <v>26</v>
      </c>
      <c r="D891" t="s">
        <v>27</v>
      </c>
      <c r="E891">
        <v>31</v>
      </c>
      <c r="F891" t="s">
        <v>18</v>
      </c>
      <c r="G891" t="s">
        <v>39</v>
      </c>
      <c r="H891" t="s">
        <v>56</v>
      </c>
      <c r="I891" s="1">
        <v>104409</v>
      </c>
      <c r="J891" t="s">
        <v>1834</v>
      </c>
      <c r="K891" t="s">
        <v>30</v>
      </c>
      <c r="L891">
        <v>6</v>
      </c>
      <c r="M891">
        <v>4</v>
      </c>
      <c r="N891" t="s">
        <v>22</v>
      </c>
      <c r="O891" t="s">
        <v>23</v>
      </c>
      <c r="P891" t="s">
        <v>1168</v>
      </c>
      <c r="Q891" s="9" t="str">
        <f t="shared" si="27"/>
        <v>Valid</v>
      </c>
      <c r="R891">
        <v>9591226147</v>
      </c>
      <c r="S891" s="7" t="str">
        <f t="shared" si="26"/>
        <v>Valid</v>
      </c>
      <c r="T891" t="str">
        <f>IF(Table1[[#This Row],[Age]]&lt;25,"18-24",IF(Table1[[#This Row],[Age]]&lt;30,"25-29",IF(Table1[[#This Row],[Age]]&lt;35,"30-34",IF(Table1[[#This Row],[Age]]&lt;40,"35-39",IF(Table1[[#This Row],[Age]]&lt;50,"40-49","50+")))))</f>
        <v>30-34</v>
      </c>
    </row>
    <row r="892" spans="1:20" x14ac:dyDescent="0.35">
      <c r="A892">
        <v>1891</v>
      </c>
      <c r="B892" t="s">
        <v>82</v>
      </c>
      <c r="C892" t="s">
        <v>61</v>
      </c>
      <c r="D892" t="s">
        <v>27</v>
      </c>
      <c r="E892">
        <v>28</v>
      </c>
      <c r="F892" t="s">
        <v>69</v>
      </c>
      <c r="G892" t="s">
        <v>34</v>
      </c>
      <c r="H892" t="s">
        <v>20</v>
      </c>
      <c r="I892" s="1">
        <v>90028</v>
      </c>
      <c r="J892" t="s">
        <v>1835</v>
      </c>
      <c r="K892" t="s">
        <v>40</v>
      </c>
      <c r="L892">
        <v>2</v>
      </c>
      <c r="M892">
        <v>3</v>
      </c>
      <c r="N892" t="s">
        <v>22</v>
      </c>
      <c r="O892" t="s">
        <v>23</v>
      </c>
      <c r="P892" t="s">
        <v>1169</v>
      </c>
      <c r="Q892" s="9" t="str">
        <f t="shared" si="27"/>
        <v>Valid</v>
      </c>
      <c r="R892">
        <v>9493504708</v>
      </c>
      <c r="S892" s="7" t="str">
        <f t="shared" si="26"/>
        <v>Valid</v>
      </c>
      <c r="T892" t="str">
        <f>IF(Table1[[#This Row],[Age]]&lt;25,"18-24",IF(Table1[[#This Row],[Age]]&lt;30,"25-29",IF(Table1[[#This Row],[Age]]&lt;35,"30-34",IF(Table1[[#This Row],[Age]]&lt;40,"35-39",IF(Table1[[#This Row],[Age]]&lt;50,"40-49","50+")))))</f>
        <v>25-29</v>
      </c>
    </row>
    <row r="893" spans="1:20" x14ac:dyDescent="0.35">
      <c r="A893">
        <v>1892</v>
      </c>
      <c r="B893" t="s">
        <v>42</v>
      </c>
      <c r="C893" t="s">
        <v>26</v>
      </c>
      <c r="D893" t="s">
        <v>27</v>
      </c>
      <c r="E893">
        <v>29</v>
      </c>
      <c r="F893" t="s">
        <v>62</v>
      </c>
      <c r="G893" t="s">
        <v>55</v>
      </c>
      <c r="H893" t="s">
        <v>28</v>
      </c>
      <c r="I893" s="1">
        <v>56726</v>
      </c>
      <c r="J893" t="s">
        <v>1836</v>
      </c>
      <c r="K893" t="s">
        <v>49</v>
      </c>
      <c r="L893">
        <v>6</v>
      </c>
      <c r="M893">
        <v>3</v>
      </c>
      <c r="N893" t="s">
        <v>22</v>
      </c>
      <c r="O893" t="s">
        <v>22</v>
      </c>
      <c r="P893" s="3" t="s">
        <v>1318</v>
      </c>
      <c r="Q893" s="9" t="str">
        <f t="shared" si="27"/>
        <v>Invalid</v>
      </c>
      <c r="R893">
        <v>9036112575</v>
      </c>
      <c r="S893" s="7" t="str">
        <f t="shared" si="26"/>
        <v>Valid</v>
      </c>
      <c r="T893" t="str">
        <f>IF(Table1[[#This Row],[Age]]&lt;25,"18-24",IF(Table1[[#This Row],[Age]]&lt;30,"25-29",IF(Table1[[#This Row],[Age]]&lt;35,"30-34",IF(Table1[[#This Row],[Age]]&lt;40,"35-39",IF(Table1[[#This Row],[Age]]&lt;50,"40-49","50+")))))</f>
        <v>25-29</v>
      </c>
    </row>
    <row r="894" spans="1:20" x14ac:dyDescent="0.35">
      <c r="A894">
        <v>1893</v>
      </c>
      <c r="B894" t="s">
        <v>64</v>
      </c>
      <c r="C894" t="s">
        <v>32</v>
      </c>
      <c r="D894" t="s">
        <v>17</v>
      </c>
      <c r="E894">
        <v>44</v>
      </c>
      <c r="F894" t="s">
        <v>18</v>
      </c>
      <c r="G894" t="s">
        <v>39</v>
      </c>
      <c r="H894" t="s">
        <v>44</v>
      </c>
      <c r="I894" s="1">
        <v>104517</v>
      </c>
      <c r="J894" t="s">
        <v>1170</v>
      </c>
      <c r="K894" t="s">
        <v>40</v>
      </c>
      <c r="L894">
        <v>25</v>
      </c>
      <c r="M894">
        <v>2</v>
      </c>
      <c r="N894" t="s">
        <v>22</v>
      </c>
      <c r="O894" t="s">
        <v>23</v>
      </c>
      <c r="P894" t="s">
        <v>1171</v>
      </c>
      <c r="Q894" s="9" t="str">
        <f t="shared" si="27"/>
        <v>Valid</v>
      </c>
      <c r="R894">
        <v>9508273599</v>
      </c>
      <c r="S894" s="7" t="str">
        <f t="shared" si="26"/>
        <v>Valid</v>
      </c>
      <c r="T894" t="str">
        <f>IF(Table1[[#This Row],[Age]]&lt;25,"18-24",IF(Table1[[#This Row],[Age]]&lt;30,"25-29",IF(Table1[[#This Row],[Age]]&lt;35,"30-34",IF(Table1[[#This Row],[Age]]&lt;40,"35-39",IF(Table1[[#This Row],[Age]]&lt;50,"40-49","50+")))))</f>
        <v>40-49</v>
      </c>
    </row>
    <row r="895" spans="1:20" x14ac:dyDescent="0.35">
      <c r="A895">
        <v>1894</v>
      </c>
      <c r="B895" t="s">
        <v>37</v>
      </c>
      <c r="C895" t="s">
        <v>26</v>
      </c>
      <c r="D895" t="s">
        <v>27</v>
      </c>
      <c r="E895">
        <v>57</v>
      </c>
      <c r="F895" t="s">
        <v>38</v>
      </c>
      <c r="G895" t="s">
        <v>34</v>
      </c>
      <c r="H895" t="s">
        <v>44</v>
      </c>
      <c r="I895" s="1">
        <v>59354</v>
      </c>
      <c r="J895" t="s">
        <v>1172</v>
      </c>
      <c r="K895" t="s">
        <v>21</v>
      </c>
      <c r="L895">
        <v>2</v>
      </c>
      <c r="M895">
        <v>4</v>
      </c>
      <c r="N895" t="s">
        <v>23</v>
      </c>
      <c r="O895" t="s">
        <v>22</v>
      </c>
      <c r="P895" t="s">
        <v>1173</v>
      </c>
      <c r="Q895" s="9" t="str">
        <f t="shared" si="27"/>
        <v>Invalid</v>
      </c>
      <c r="R895">
        <v>9581686218</v>
      </c>
      <c r="S895" s="7" t="str">
        <f t="shared" si="26"/>
        <v>Valid</v>
      </c>
      <c r="T895" t="str">
        <f>IF(Table1[[#This Row],[Age]]&lt;25,"18-24",IF(Table1[[#This Row],[Age]]&lt;30,"25-29",IF(Table1[[#This Row],[Age]]&lt;35,"30-34",IF(Table1[[#This Row],[Age]]&lt;40,"35-39",IF(Table1[[#This Row],[Age]]&lt;50,"40-49","50+")))))</f>
        <v>50+</v>
      </c>
    </row>
    <row r="896" spans="1:20" x14ac:dyDescent="0.35">
      <c r="A896">
        <v>1895</v>
      </c>
      <c r="B896" t="s">
        <v>25</v>
      </c>
      <c r="C896" t="s">
        <v>32</v>
      </c>
      <c r="D896" t="s">
        <v>17</v>
      </c>
      <c r="E896">
        <v>26</v>
      </c>
      <c r="F896" t="s">
        <v>62</v>
      </c>
      <c r="G896" t="s">
        <v>55</v>
      </c>
      <c r="H896" t="s">
        <v>56</v>
      </c>
      <c r="I896" s="1">
        <v>54554</v>
      </c>
      <c r="J896" t="s">
        <v>1553</v>
      </c>
      <c r="K896" t="s">
        <v>46</v>
      </c>
      <c r="L896">
        <v>5</v>
      </c>
      <c r="M896">
        <v>2</v>
      </c>
      <c r="N896" t="s">
        <v>22</v>
      </c>
      <c r="O896" t="s">
        <v>23</v>
      </c>
      <c r="P896" t="s">
        <v>1174</v>
      </c>
      <c r="Q896" s="9" t="str">
        <f t="shared" si="27"/>
        <v>Valid</v>
      </c>
      <c r="R896">
        <v>9575952770</v>
      </c>
      <c r="S896" s="7" t="str">
        <f t="shared" si="26"/>
        <v>Valid</v>
      </c>
      <c r="T896" t="str">
        <f>IF(Table1[[#This Row],[Age]]&lt;25,"18-24",IF(Table1[[#This Row],[Age]]&lt;30,"25-29",IF(Table1[[#This Row],[Age]]&lt;35,"30-34",IF(Table1[[#This Row],[Age]]&lt;40,"35-39",IF(Table1[[#This Row],[Age]]&lt;50,"40-49","50+")))))</f>
        <v>25-29</v>
      </c>
    </row>
    <row r="897" spans="1:20" x14ac:dyDescent="0.35">
      <c r="A897">
        <v>1896</v>
      </c>
      <c r="B897" t="s">
        <v>82</v>
      </c>
      <c r="C897" t="s">
        <v>32</v>
      </c>
      <c r="D897" t="s">
        <v>17</v>
      </c>
      <c r="E897">
        <v>57</v>
      </c>
      <c r="F897" t="s">
        <v>18</v>
      </c>
      <c r="G897" t="s">
        <v>77</v>
      </c>
      <c r="H897" t="s">
        <v>56</v>
      </c>
      <c r="I897" s="1">
        <v>47628</v>
      </c>
      <c r="J897" t="s">
        <v>1175</v>
      </c>
      <c r="K897" t="s">
        <v>40</v>
      </c>
      <c r="L897">
        <v>20</v>
      </c>
      <c r="M897">
        <v>3</v>
      </c>
      <c r="N897" t="s">
        <v>22</v>
      </c>
      <c r="O897" t="s">
        <v>23</v>
      </c>
      <c r="P897" t="s">
        <v>1176</v>
      </c>
      <c r="Q897" s="9" t="str">
        <f t="shared" si="27"/>
        <v>Valid</v>
      </c>
      <c r="R897">
        <v>9356835300</v>
      </c>
      <c r="S897" s="7" t="str">
        <f t="shared" si="26"/>
        <v>Valid</v>
      </c>
      <c r="T897" t="str">
        <f>IF(Table1[[#This Row],[Age]]&lt;25,"18-24",IF(Table1[[#This Row],[Age]]&lt;30,"25-29",IF(Table1[[#This Row],[Age]]&lt;35,"30-34",IF(Table1[[#This Row],[Age]]&lt;40,"35-39",IF(Table1[[#This Row],[Age]]&lt;50,"40-49","50+")))))</f>
        <v>50+</v>
      </c>
    </row>
    <row r="898" spans="1:20" x14ac:dyDescent="0.35">
      <c r="A898">
        <v>1897</v>
      </c>
      <c r="B898" t="s">
        <v>60</v>
      </c>
      <c r="C898" t="s">
        <v>26</v>
      </c>
      <c r="D898" t="s">
        <v>17</v>
      </c>
      <c r="E898">
        <v>26</v>
      </c>
      <c r="F898" t="s">
        <v>62</v>
      </c>
      <c r="G898" t="s">
        <v>19</v>
      </c>
      <c r="H898" t="s">
        <v>35</v>
      </c>
      <c r="I898" s="1">
        <v>107764</v>
      </c>
      <c r="J898" t="s">
        <v>170</v>
      </c>
      <c r="K898" t="s">
        <v>40</v>
      </c>
      <c r="L898">
        <v>9</v>
      </c>
      <c r="M898">
        <v>2</v>
      </c>
      <c r="N898" t="s">
        <v>23</v>
      </c>
      <c r="O898" t="s">
        <v>23</v>
      </c>
      <c r="P898" t="s">
        <v>1177</v>
      </c>
      <c r="Q898" s="9" t="str">
        <f t="shared" si="27"/>
        <v>Valid</v>
      </c>
      <c r="R898">
        <v>9192144276</v>
      </c>
      <c r="S898" s="7" t="str">
        <f t="shared" ref="S898:S961" si="28">IF(AND(ISNUMBER(R898),LEN(R898)=10),"Valid","Invalid")</f>
        <v>Valid</v>
      </c>
      <c r="T898" t="str">
        <f>IF(Table1[[#This Row],[Age]]&lt;25,"18-24",IF(Table1[[#This Row],[Age]]&lt;30,"25-29",IF(Table1[[#This Row],[Age]]&lt;35,"30-34",IF(Table1[[#This Row],[Age]]&lt;40,"35-39",IF(Table1[[#This Row],[Age]]&lt;50,"40-49","50+")))))</f>
        <v>25-29</v>
      </c>
    </row>
    <row r="899" spans="1:20" x14ac:dyDescent="0.35">
      <c r="A899">
        <v>1898</v>
      </c>
      <c r="B899" t="s">
        <v>60</v>
      </c>
      <c r="C899" t="s">
        <v>43</v>
      </c>
      <c r="D899" t="s">
        <v>27</v>
      </c>
      <c r="E899">
        <v>38</v>
      </c>
      <c r="F899" t="s">
        <v>62</v>
      </c>
      <c r="G899" t="s">
        <v>77</v>
      </c>
      <c r="H899" t="s">
        <v>44</v>
      </c>
      <c r="I899" s="1">
        <v>34845</v>
      </c>
      <c r="J899" t="s">
        <v>1178</v>
      </c>
      <c r="K899" t="s">
        <v>49</v>
      </c>
      <c r="L899">
        <v>21</v>
      </c>
      <c r="M899">
        <v>2</v>
      </c>
      <c r="N899" t="s">
        <v>23</v>
      </c>
      <c r="O899" t="s">
        <v>22</v>
      </c>
      <c r="P899" t="s">
        <v>1179</v>
      </c>
      <c r="Q899" s="9" t="str">
        <f t="shared" ref="Q899:Q962" si="29">IF(AND(ISNUMBER(SEARCH("@",P899)),ISNUMBER(SEARCH(".",P899))),"Valid","Invalid")</f>
        <v>Valid</v>
      </c>
      <c r="R899">
        <v>9662236261</v>
      </c>
      <c r="S899" s="7" t="str">
        <f t="shared" si="28"/>
        <v>Valid</v>
      </c>
      <c r="T899" t="str">
        <f>IF(Table1[[#This Row],[Age]]&lt;25,"18-24",IF(Table1[[#This Row],[Age]]&lt;30,"25-29",IF(Table1[[#This Row],[Age]]&lt;35,"30-34",IF(Table1[[#This Row],[Age]]&lt;40,"35-39",IF(Table1[[#This Row],[Age]]&lt;50,"40-49","50+")))))</f>
        <v>35-39</v>
      </c>
    </row>
    <row r="900" spans="1:20" x14ac:dyDescent="0.35">
      <c r="A900">
        <v>1899</v>
      </c>
      <c r="B900" t="s">
        <v>37</v>
      </c>
      <c r="C900" t="s">
        <v>32</v>
      </c>
      <c r="D900" t="s">
        <v>17</v>
      </c>
      <c r="E900">
        <v>36</v>
      </c>
      <c r="F900" t="s">
        <v>38</v>
      </c>
      <c r="G900" t="s">
        <v>34</v>
      </c>
      <c r="H900" t="s">
        <v>35</v>
      </c>
      <c r="I900" s="1">
        <v>70932</v>
      </c>
      <c r="J900" t="s">
        <v>1180</v>
      </c>
      <c r="K900" t="s">
        <v>21</v>
      </c>
      <c r="L900">
        <v>12</v>
      </c>
      <c r="M900">
        <v>5</v>
      </c>
      <c r="N900" t="s">
        <v>22</v>
      </c>
      <c r="O900" t="s">
        <v>22</v>
      </c>
      <c r="P900" t="s">
        <v>1181</v>
      </c>
      <c r="Q900" s="9" t="str">
        <f t="shared" si="29"/>
        <v>Valid</v>
      </c>
      <c r="R900">
        <v>9523001282</v>
      </c>
      <c r="S900" s="7" t="str">
        <f t="shared" si="28"/>
        <v>Valid</v>
      </c>
      <c r="T900" t="str">
        <f>IF(Table1[[#This Row],[Age]]&lt;25,"18-24",IF(Table1[[#This Row],[Age]]&lt;30,"25-29",IF(Table1[[#This Row],[Age]]&lt;35,"30-34",IF(Table1[[#This Row],[Age]]&lt;40,"35-39",IF(Table1[[#This Row],[Age]]&lt;50,"40-49","50+")))))</f>
        <v>35-39</v>
      </c>
    </row>
    <row r="901" spans="1:20" x14ac:dyDescent="0.35">
      <c r="A901">
        <v>1900</v>
      </c>
      <c r="B901" t="s">
        <v>67</v>
      </c>
      <c r="C901" t="s">
        <v>43</v>
      </c>
      <c r="D901" t="s">
        <v>27</v>
      </c>
      <c r="E901">
        <v>29</v>
      </c>
      <c r="F901" t="s">
        <v>69</v>
      </c>
      <c r="G901" t="s">
        <v>55</v>
      </c>
      <c r="H901" t="s">
        <v>44</v>
      </c>
      <c r="I901" s="1">
        <v>43178</v>
      </c>
      <c r="J901" t="s">
        <v>991</v>
      </c>
      <c r="K901" t="s">
        <v>46</v>
      </c>
      <c r="L901">
        <v>0</v>
      </c>
      <c r="M901">
        <v>4</v>
      </c>
      <c r="N901" t="s">
        <v>23</v>
      </c>
      <c r="O901" t="s">
        <v>22</v>
      </c>
      <c r="P901" t="s">
        <v>1182</v>
      </c>
      <c r="Q901" s="9" t="str">
        <f t="shared" si="29"/>
        <v>Invalid</v>
      </c>
      <c r="R901">
        <v>9863455377</v>
      </c>
      <c r="S901" s="7" t="str">
        <f t="shared" si="28"/>
        <v>Valid</v>
      </c>
      <c r="T901" t="str">
        <f>IF(Table1[[#This Row],[Age]]&lt;25,"18-24",IF(Table1[[#This Row],[Age]]&lt;30,"25-29",IF(Table1[[#This Row],[Age]]&lt;35,"30-34",IF(Table1[[#This Row],[Age]]&lt;40,"35-39",IF(Table1[[#This Row],[Age]]&lt;50,"40-49","50+")))))</f>
        <v>25-29</v>
      </c>
    </row>
    <row r="902" spans="1:20" x14ac:dyDescent="0.35">
      <c r="A902">
        <v>1901</v>
      </c>
      <c r="B902" t="s">
        <v>25</v>
      </c>
      <c r="C902" t="s">
        <v>16</v>
      </c>
      <c r="D902" t="s">
        <v>17</v>
      </c>
      <c r="E902">
        <v>40</v>
      </c>
      <c r="F902" t="s">
        <v>38</v>
      </c>
      <c r="G902" t="s">
        <v>55</v>
      </c>
      <c r="H902" t="s">
        <v>28</v>
      </c>
      <c r="I902" s="1">
        <v>32216</v>
      </c>
      <c r="J902" t="s">
        <v>1183</v>
      </c>
      <c r="K902" t="s">
        <v>21</v>
      </c>
      <c r="L902">
        <v>4</v>
      </c>
      <c r="M902">
        <v>4</v>
      </c>
      <c r="N902" t="s">
        <v>23</v>
      </c>
      <c r="O902" t="s">
        <v>22</v>
      </c>
      <c r="P902" t="s">
        <v>1184</v>
      </c>
      <c r="Q902" s="9" t="str">
        <f t="shared" si="29"/>
        <v>Valid</v>
      </c>
      <c r="R902">
        <v>9497579095</v>
      </c>
      <c r="S902" s="7" t="str">
        <f t="shared" si="28"/>
        <v>Valid</v>
      </c>
      <c r="T902" t="str">
        <f>IF(Table1[[#This Row],[Age]]&lt;25,"18-24",IF(Table1[[#This Row],[Age]]&lt;30,"25-29",IF(Table1[[#This Row],[Age]]&lt;35,"30-34",IF(Table1[[#This Row],[Age]]&lt;40,"35-39",IF(Table1[[#This Row],[Age]]&lt;50,"40-49","50+")))))</f>
        <v>40-49</v>
      </c>
    </row>
    <row r="903" spans="1:20" x14ac:dyDescent="0.35">
      <c r="A903">
        <v>1902</v>
      </c>
      <c r="B903" t="s">
        <v>15</v>
      </c>
      <c r="C903" t="s">
        <v>61</v>
      </c>
      <c r="D903" t="s">
        <v>17</v>
      </c>
      <c r="E903">
        <v>46</v>
      </c>
      <c r="F903" t="s">
        <v>69</v>
      </c>
      <c r="G903" t="s">
        <v>77</v>
      </c>
      <c r="H903" t="s">
        <v>35</v>
      </c>
      <c r="I903" s="1">
        <v>67241</v>
      </c>
      <c r="J903" t="s">
        <v>1185</v>
      </c>
      <c r="K903" t="s">
        <v>30</v>
      </c>
      <c r="L903">
        <v>16</v>
      </c>
      <c r="M903">
        <v>3</v>
      </c>
      <c r="N903" t="s">
        <v>22</v>
      </c>
      <c r="O903" t="s">
        <v>22</v>
      </c>
      <c r="P903" t="s">
        <v>1186</v>
      </c>
      <c r="Q903" s="9" t="str">
        <f t="shared" si="29"/>
        <v>Valid</v>
      </c>
      <c r="R903">
        <v>9665985927</v>
      </c>
      <c r="S903" s="7" t="str">
        <f t="shared" si="28"/>
        <v>Valid</v>
      </c>
      <c r="T903" t="str">
        <f>IF(Table1[[#This Row],[Age]]&lt;25,"18-24",IF(Table1[[#This Row],[Age]]&lt;30,"25-29",IF(Table1[[#This Row],[Age]]&lt;35,"30-34",IF(Table1[[#This Row],[Age]]&lt;40,"35-39",IF(Table1[[#This Row],[Age]]&lt;50,"40-49","50+")))))</f>
        <v>40-49</v>
      </c>
    </row>
    <row r="904" spans="1:20" x14ac:dyDescent="0.35">
      <c r="A904">
        <v>1903</v>
      </c>
      <c r="B904" t="s">
        <v>58</v>
      </c>
      <c r="C904" t="s">
        <v>26</v>
      </c>
      <c r="D904" t="s">
        <v>17</v>
      </c>
      <c r="E904">
        <v>55</v>
      </c>
      <c r="F904" t="s">
        <v>69</v>
      </c>
      <c r="G904" t="s">
        <v>55</v>
      </c>
      <c r="H904" t="s">
        <v>56</v>
      </c>
      <c r="I904" s="1">
        <v>68201</v>
      </c>
      <c r="J904" t="s">
        <v>1187</v>
      </c>
      <c r="K904" t="s">
        <v>30</v>
      </c>
      <c r="L904">
        <v>8</v>
      </c>
      <c r="M904">
        <v>3</v>
      </c>
      <c r="N904" t="s">
        <v>23</v>
      </c>
      <c r="O904" t="s">
        <v>23</v>
      </c>
      <c r="P904" t="s">
        <v>1188</v>
      </c>
      <c r="Q904" s="9" t="str">
        <f t="shared" si="29"/>
        <v>Valid</v>
      </c>
      <c r="R904">
        <v>9083893176</v>
      </c>
      <c r="S904" s="7" t="str">
        <f t="shared" si="28"/>
        <v>Valid</v>
      </c>
      <c r="T904" t="str">
        <f>IF(Table1[[#This Row],[Age]]&lt;25,"18-24",IF(Table1[[#This Row],[Age]]&lt;30,"25-29",IF(Table1[[#This Row],[Age]]&lt;35,"30-34",IF(Table1[[#This Row],[Age]]&lt;40,"35-39",IF(Table1[[#This Row],[Age]]&lt;50,"40-49","50+")))))</f>
        <v>50+</v>
      </c>
    </row>
    <row r="905" spans="1:20" x14ac:dyDescent="0.35">
      <c r="A905">
        <v>1904</v>
      </c>
      <c r="B905" t="s">
        <v>54</v>
      </c>
      <c r="C905" t="s">
        <v>26</v>
      </c>
      <c r="D905" t="s">
        <v>27</v>
      </c>
      <c r="E905">
        <v>23</v>
      </c>
      <c r="F905" t="s">
        <v>69</v>
      </c>
      <c r="G905" t="s">
        <v>34</v>
      </c>
      <c r="H905" t="s">
        <v>44</v>
      </c>
      <c r="I905" s="1">
        <v>98981</v>
      </c>
      <c r="J905" t="s">
        <v>1724</v>
      </c>
      <c r="K905" t="s">
        <v>30</v>
      </c>
      <c r="L905">
        <v>21</v>
      </c>
      <c r="M905">
        <v>3</v>
      </c>
      <c r="N905" t="s">
        <v>23</v>
      </c>
      <c r="O905" t="s">
        <v>22</v>
      </c>
      <c r="P905" t="s">
        <v>1189</v>
      </c>
      <c r="Q905" s="9" t="str">
        <f t="shared" si="29"/>
        <v>Invalid</v>
      </c>
      <c r="R905">
        <v>9477774969</v>
      </c>
      <c r="S905" s="7" t="str">
        <f t="shared" si="28"/>
        <v>Valid</v>
      </c>
      <c r="T905" t="str">
        <f>IF(Table1[[#This Row],[Age]]&lt;25,"18-24",IF(Table1[[#This Row],[Age]]&lt;30,"25-29",IF(Table1[[#This Row],[Age]]&lt;35,"30-34",IF(Table1[[#This Row],[Age]]&lt;40,"35-39",IF(Table1[[#This Row],[Age]]&lt;50,"40-49","50+")))))</f>
        <v>18-24</v>
      </c>
    </row>
    <row r="906" spans="1:20" x14ac:dyDescent="0.35">
      <c r="A906">
        <v>1905</v>
      </c>
      <c r="B906" t="s">
        <v>54</v>
      </c>
      <c r="C906" t="s">
        <v>26</v>
      </c>
      <c r="D906" t="s">
        <v>17</v>
      </c>
      <c r="E906">
        <v>25</v>
      </c>
      <c r="F906" t="s">
        <v>62</v>
      </c>
      <c r="G906" t="s">
        <v>39</v>
      </c>
      <c r="H906" t="s">
        <v>44</v>
      </c>
      <c r="I906" s="2" t="s">
        <v>1316</v>
      </c>
      <c r="J906" t="s">
        <v>1190</v>
      </c>
      <c r="K906" t="s">
        <v>46</v>
      </c>
      <c r="L906">
        <v>24</v>
      </c>
      <c r="M906">
        <v>4</v>
      </c>
      <c r="N906" t="s">
        <v>23</v>
      </c>
      <c r="O906" t="s">
        <v>22</v>
      </c>
      <c r="P906" t="s">
        <v>1191</v>
      </c>
      <c r="Q906" s="9" t="str">
        <f t="shared" si="29"/>
        <v>Valid</v>
      </c>
      <c r="R906">
        <v>9591166360</v>
      </c>
      <c r="S906" s="7" t="str">
        <f t="shared" si="28"/>
        <v>Valid</v>
      </c>
      <c r="T906" t="str">
        <f>IF(Table1[[#This Row],[Age]]&lt;25,"18-24",IF(Table1[[#This Row],[Age]]&lt;30,"25-29",IF(Table1[[#This Row],[Age]]&lt;35,"30-34",IF(Table1[[#This Row],[Age]]&lt;40,"35-39",IF(Table1[[#This Row],[Age]]&lt;50,"40-49","50+")))))</f>
        <v>25-29</v>
      </c>
    </row>
    <row r="907" spans="1:20" x14ac:dyDescent="0.35">
      <c r="A907">
        <v>1906</v>
      </c>
      <c r="B907" t="s">
        <v>82</v>
      </c>
      <c r="C907" t="s">
        <v>61</v>
      </c>
      <c r="D907" t="s">
        <v>17</v>
      </c>
      <c r="E907">
        <v>45</v>
      </c>
      <c r="F907" t="s">
        <v>38</v>
      </c>
      <c r="G907" t="s">
        <v>55</v>
      </c>
      <c r="H907" t="s">
        <v>56</v>
      </c>
      <c r="I907" s="1">
        <v>35861</v>
      </c>
      <c r="J907" t="s">
        <v>1327</v>
      </c>
      <c r="K907" t="s">
        <v>46</v>
      </c>
      <c r="L907">
        <v>23</v>
      </c>
      <c r="M907">
        <v>4</v>
      </c>
      <c r="N907" t="s">
        <v>23</v>
      </c>
      <c r="O907" t="s">
        <v>22</v>
      </c>
      <c r="P907" t="s">
        <v>1192</v>
      </c>
      <c r="Q907" s="9" t="str">
        <f t="shared" si="29"/>
        <v>Valid</v>
      </c>
      <c r="R907">
        <v>9315924421</v>
      </c>
      <c r="S907" s="7" t="str">
        <f t="shared" si="28"/>
        <v>Valid</v>
      </c>
      <c r="T907" t="str">
        <f>IF(Table1[[#This Row],[Age]]&lt;25,"18-24",IF(Table1[[#This Row],[Age]]&lt;30,"25-29",IF(Table1[[#This Row],[Age]]&lt;35,"30-34",IF(Table1[[#This Row],[Age]]&lt;40,"35-39",IF(Table1[[#This Row],[Age]]&lt;50,"40-49","50+")))))</f>
        <v>40-49</v>
      </c>
    </row>
    <row r="908" spans="1:20" x14ac:dyDescent="0.35">
      <c r="A908">
        <v>1907</v>
      </c>
      <c r="B908" t="s">
        <v>60</v>
      </c>
      <c r="C908" t="s">
        <v>43</v>
      </c>
      <c r="D908" t="s">
        <v>17</v>
      </c>
      <c r="E908">
        <v>52</v>
      </c>
      <c r="F908" t="s">
        <v>33</v>
      </c>
      <c r="G908" t="s">
        <v>55</v>
      </c>
      <c r="H908" t="s">
        <v>56</v>
      </c>
      <c r="I908" s="1">
        <v>-71802</v>
      </c>
      <c r="J908" t="s">
        <v>1193</v>
      </c>
      <c r="K908" t="s">
        <v>30</v>
      </c>
      <c r="L908">
        <v>13</v>
      </c>
      <c r="M908">
        <v>3</v>
      </c>
      <c r="N908" t="s">
        <v>23</v>
      </c>
      <c r="O908" t="s">
        <v>22</v>
      </c>
      <c r="P908" t="s">
        <v>1194</v>
      </c>
      <c r="Q908" s="9" t="str">
        <f t="shared" si="29"/>
        <v>Valid</v>
      </c>
      <c r="R908">
        <v>9336664200</v>
      </c>
      <c r="S908" s="7" t="str">
        <f t="shared" si="28"/>
        <v>Valid</v>
      </c>
      <c r="T908" t="str">
        <f>IF(Table1[[#This Row],[Age]]&lt;25,"18-24",IF(Table1[[#This Row],[Age]]&lt;30,"25-29",IF(Table1[[#This Row],[Age]]&lt;35,"30-34",IF(Table1[[#This Row],[Age]]&lt;40,"35-39",IF(Table1[[#This Row],[Age]]&lt;50,"40-49","50+")))))</f>
        <v>50+</v>
      </c>
    </row>
    <row r="909" spans="1:20" x14ac:dyDescent="0.35">
      <c r="A909">
        <v>1908</v>
      </c>
      <c r="B909" t="s">
        <v>54</v>
      </c>
      <c r="C909" t="s">
        <v>61</v>
      </c>
      <c r="D909" t="s">
        <v>17</v>
      </c>
      <c r="E909">
        <v>38</v>
      </c>
      <c r="F909" t="s">
        <v>69</v>
      </c>
      <c r="G909" t="s">
        <v>19</v>
      </c>
      <c r="H909" t="s">
        <v>44</v>
      </c>
      <c r="I909" s="1">
        <v>109589</v>
      </c>
      <c r="J909" t="s">
        <v>1837</v>
      </c>
      <c r="K909" t="s">
        <v>49</v>
      </c>
      <c r="L909">
        <v>16</v>
      </c>
      <c r="M909">
        <v>2</v>
      </c>
      <c r="N909" t="s">
        <v>22</v>
      </c>
      <c r="O909" t="s">
        <v>23</v>
      </c>
      <c r="P909" t="s">
        <v>1195</v>
      </c>
      <c r="Q909" s="9" t="str">
        <f t="shared" si="29"/>
        <v>Valid</v>
      </c>
      <c r="R909">
        <v>9779943893</v>
      </c>
      <c r="S909" s="7" t="str">
        <f t="shared" si="28"/>
        <v>Valid</v>
      </c>
      <c r="T909" t="str">
        <f>IF(Table1[[#This Row],[Age]]&lt;25,"18-24",IF(Table1[[#This Row],[Age]]&lt;30,"25-29",IF(Table1[[#This Row],[Age]]&lt;35,"30-34",IF(Table1[[#This Row],[Age]]&lt;40,"35-39",IF(Table1[[#This Row],[Age]]&lt;50,"40-49","50+")))))</f>
        <v>35-39</v>
      </c>
    </row>
    <row r="910" spans="1:20" x14ac:dyDescent="0.35">
      <c r="A910">
        <v>1909</v>
      </c>
      <c r="B910" t="s">
        <v>82</v>
      </c>
      <c r="C910" t="s">
        <v>32</v>
      </c>
      <c r="D910" t="s">
        <v>17</v>
      </c>
      <c r="E910">
        <v>38</v>
      </c>
      <c r="F910" t="s">
        <v>38</v>
      </c>
      <c r="G910" t="s">
        <v>39</v>
      </c>
      <c r="H910" t="s">
        <v>28</v>
      </c>
      <c r="I910" s="1">
        <v>115453</v>
      </c>
      <c r="J910" t="s">
        <v>974</v>
      </c>
      <c r="K910" t="s">
        <v>21</v>
      </c>
      <c r="L910">
        <v>22</v>
      </c>
      <c r="M910">
        <v>4</v>
      </c>
      <c r="N910" t="s">
        <v>22</v>
      </c>
      <c r="O910" t="s">
        <v>23</v>
      </c>
      <c r="P910" t="s">
        <v>1196</v>
      </c>
      <c r="Q910" s="9" t="str">
        <f t="shared" si="29"/>
        <v>Valid</v>
      </c>
      <c r="R910">
        <v>9824262883</v>
      </c>
      <c r="S910" s="7" t="str">
        <f t="shared" si="28"/>
        <v>Valid</v>
      </c>
      <c r="T910" t="str">
        <f>IF(Table1[[#This Row],[Age]]&lt;25,"18-24",IF(Table1[[#This Row],[Age]]&lt;30,"25-29",IF(Table1[[#This Row],[Age]]&lt;35,"30-34",IF(Table1[[#This Row],[Age]]&lt;40,"35-39",IF(Table1[[#This Row],[Age]]&lt;50,"40-49","50+")))))</f>
        <v>35-39</v>
      </c>
    </row>
    <row r="911" spans="1:20" x14ac:dyDescent="0.35">
      <c r="A911">
        <v>1910</v>
      </c>
      <c r="B911" t="s">
        <v>54</v>
      </c>
      <c r="C911" t="s">
        <v>32</v>
      </c>
      <c r="D911" t="s">
        <v>17</v>
      </c>
      <c r="E911">
        <v>54</v>
      </c>
      <c r="F911" t="s">
        <v>38</v>
      </c>
      <c r="G911" t="s">
        <v>34</v>
      </c>
      <c r="H911" t="s">
        <v>28</v>
      </c>
      <c r="I911" s="1">
        <v>109810</v>
      </c>
      <c r="J911" t="s">
        <v>1838</v>
      </c>
      <c r="K911" t="s">
        <v>46</v>
      </c>
      <c r="L911">
        <v>1</v>
      </c>
      <c r="M911">
        <v>2</v>
      </c>
      <c r="N911" t="s">
        <v>22</v>
      </c>
      <c r="O911" t="s">
        <v>23</v>
      </c>
      <c r="P911" t="s">
        <v>1197</v>
      </c>
      <c r="Q911" s="9" t="str">
        <f t="shared" si="29"/>
        <v>Valid</v>
      </c>
      <c r="R911">
        <v>9878818695</v>
      </c>
      <c r="S911" s="7" t="str">
        <f t="shared" si="28"/>
        <v>Valid</v>
      </c>
      <c r="T911" t="str">
        <f>IF(Table1[[#This Row],[Age]]&lt;25,"18-24",IF(Table1[[#This Row],[Age]]&lt;30,"25-29",IF(Table1[[#This Row],[Age]]&lt;35,"30-34",IF(Table1[[#This Row],[Age]]&lt;40,"35-39",IF(Table1[[#This Row],[Age]]&lt;50,"40-49","50+")))))</f>
        <v>50+</v>
      </c>
    </row>
    <row r="912" spans="1:20" x14ac:dyDescent="0.35">
      <c r="A912">
        <v>1911</v>
      </c>
      <c r="B912" t="s">
        <v>15</v>
      </c>
      <c r="C912" t="s">
        <v>61</v>
      </c>
      <c r="D912" t="s">
        <v>27</v>
      </c>
      <c r="E912">
        <v>26</v>
      </c>
      <c r="F912" t="s">
        <v>33</v>
      </c>
      <c r="G912" t="s">
        <v>39</v>
      </c>
      <c r="H912" t="s">
        <v>44</v>
      </c>
      <c r="I912" s="1">
        <v>69537</v>
      </c>
      <c r="J912" t="s">
        <v>1198</v>
      </c>
      <c r="K912" t="s">
        <v>21</v>
      </c>
      <c r="L912">
        <v>4</v>
      </c>
      <c r="M912">
        <v>5</v>
      </c>
      <c r="N912" t="s">
        <v>23</v>
      </c>
      <c r="O912" t="s">
        <v>22</v>
      </c>
      <c r="P912" t="s">
        <v>1199</v>
      </c>
      <c r="Q912" s="9" t="str">
        <f t="shared" si="29"/>
        <v>Valid</v>
      </c>
      <c r="R912">
        <v>9399842699</v>
      </c>
      <c r="S912" s="7" t="str">
        <f t="shared" si="28"/>
        <v>Valid</v>
      </c>
      <c r="T912" t="str">
        <f>IF(Table1[[#This Row],[Age]]&lt;25,"18-24",IF(Table1[[#This Row],[Age]]&lt;30,"25-29",IF(Table1[[#This Row],[Age]]&lt;35,"30-34",IF(Table1[[#This Row],[Age]]&lt;40,"35-39",IF(Table1[[#This Row],[Age]]&lt;50,"40-49","50+")))))</f>
        <v>25-29</v>
      </c>
    </row>
    <row r="913" spans="1:20" x14ac:dyDescent="0.35">
      <c r="A913">
        <v>1912</v>
      </c>
      <c r="B913" t="s">
        <v>15</v>
      </c>
      <c r="C913" t="s">
        <v>26</v>
      </c>
      <c r="D913" t="s">
        <v>17</v>
      </c>
      <c r="E913">
        <v>47</v>
      </c>
      <c r="F913" t="s">
        <v>33</v>
      </c>
      <c r="G913" t="s">
        <v>77</v>
      </c>
      <c r="H913" t="s">
        <v>35</v>
      </c>
      <c r="I913" s="1">
        <v>84593</v>
      </c>
      <c r="J913" t="s">
        <v>1039</v>
      </c>
      <c r="K913" t="s">
        <v>46</v>
      </c>
      <c r="L913">
        <v>22</v>
      </c>
      <c r="M913">
        <v>3</v>
      </c>
      <c r="N913" t="s">
        <v>23</v>
      </c>
      <c r="O913" t="s">
        <v>23</v>
      </c>
      <c r="P913" t="s">
        <v>1200</v>
      </c>
      <c r="Q913" s="9" t="str">
        <f t="shared" si="29"/>
        <v>Valid</v>
      </c>
      <c r="R913">
        <v>9782123844</v>
      </c>
      <c r="S913" s="7" t="str">
        <f t="shared" si="28"/>
        <v>Valid</v>
      </c>
      <c r="T913" t="str">
        <f>IF(Table1[[#This Row],[Age]]&lt;25,"18-24",IF(Table1[[#This Row],[Age]]&lt;30,"25-29",IF(Table1[[#This Row],[Age]]&lt;35,"30-34",IF(Table1[[#This Row],[Age]]&lt;40,"35-39",IF(Table1[[#This Row],[Age]]&lt;50,"40-49","50+")))))</f>
        <v>40-49</v>
      </c>
    </row>
    <row r="914" spans="1:20" x14ac:dyDescent="0.35">
      <c r="A914">
        <v>1913</v>
      </c>
      <c r="B914" t="s">
        <v>25</v>
      </c>
      <c r="C914" t="s">
        <v>16</v>
      </c>
      <c r="D914" t="s">
        <v>27</v>
      </c>
      <c r="E914">
        <v>41</v>
      </c>
      <c r="F914" t="s">
        <v>38</v>
      </c>
      <c r="G914" t="s">
        <v>34</v>
      </c>
      <c r="H914" t="s">
        <v>44</v>
      </c>
      <c r="I914" s="1">
        <v>50548</v>
      </c>
      <c r="J914" t="s">
        <v>1839</v>
      </c>
      <c r="K914" t="s">
        <v>46</v>
      </c>
      <c r="L914">
        <v>5</v>
      </c>
      <c r="M914">
        <v>1</v>
      </c>
      <c r="N914" t="s">
        <v>23</v>
      </c>
      <c r="O914" t="s">
        <v>23</v>
      </c>
      <c r="P914" t="s">
        <v>1201</v>
      </c>
      <c r="Q914" s="9" t="str">
        <f t="shared" si="29"/>
        <v>Valid</v>
      </c>
      <c r="R914">
        <v>9088155414</v>
      </c>
      <c r="S914" s="7" t="str">
        <f t="shared" si="28"/>
        <v>Valid</v>
      </c>
      <c r="T914" t="str">
        <f>IF(Table1[[#This Row],[Age]]&lt;25,"18-24",IF(Table1[[#This Row],[Age]]&lt;30,"25-29",IF(Table1[[#This Row],[Age]]&lt;35,"30-34",IF(Table1[[#This Row],[Age]]&lt;40,"35-39",IF(Table1[[#This Row],[Age]]&lt;50,"40-49","50+")))))</f>
        <v>40-49</v>
      </c>
    </row>
    <row r="915" spans="1:20" x14ac:dyDescent="0.35">
      <c r="A915">
        <v>1914</v>
      </c>
      <c r="B915" t="s">
        <v>37</v>
      </c>
      <c r="C915" t="s">
        <v>43</v>
      </c>
      <c r="D915" t="s">
        <v>27</v>
      </c>
      <c r="E915">
        <v>31</v>
      </c>
      <c r="F915" t="s">
        <v>18</v>
      </c>
      <c r="G915" t="s">
        <v>39</v>
      </c>
      <c r="H915" t="s">
        <v>28</v>
      </c>
      <c r="I915" s="1">
        <v>90168</v>
      </c>
      <c r="J915" t="s">
        <v>1202</v>
      </c>
      <c r="K915" t="s">
        <v>21</v>
      </c>
      <c r="L915">
        <v>15</v>
      </c>
      <c r="M915">
        <v>2</v>
      </c>
      <c r="N915" t="s">
        <v>23</v>
      </c>
      <c r="O915" t="s">
        <v>22</v>
      </c>
      <c r="P915" t="s">
        <v>1203</v>
      </c>
      <c r="Q915" s="9" t="str">
        <f t="shared" si="29"/>
        <v>Valid</v>
      </c>
      <c r="R915">
        <v>9096387939</v>
      </c>
      <c r="S915" s="7" t="str">
        <f t="shared" si="28"/>
        <v>Valid</v>
      </c>
      <c r="T915" t="str">
        <f>IF(Table1[[#This Row],[Age]]&lt;25,"18-24",IF(Table1[[#This Row],[Age]]&lt;30,"25-29",IF(Table1[[#This Row],[Age]]&lt;35,"30-34",IF(Table1[[#This Row],[Age]]&lt;40,"35-39",IF(Table1[[#This Row],[Age]]&lt;50,"40-49","50+")))))</f>
        <v>30-34</v>
      </c>
    </row>
    <row r="916" spans="1:20" x14ac:dyDescent="0.35">
      <c r="A916">
        <v>1915</v>
      </c>
      <c r="B916" t="s">
        <v>64</v>
      </c>
      <c r="C916" t="s">
        <v>26</v>
      </c>
      <c r="D916" t="s">
        <v>17</v>
      </c>
      <c r="E916">
        <v>53</v>
      </c>
      <c r="F916" t="s">
        <v>38</v>
      </c>
      <c r="G916" t="s">
        <v>34</v>
      </c>
      <c r="H916" t="s">
        <v>35</v>
      </c>
      <c r="I916" s="1">
        <v>114723</v>
      </c>
      <c r="J916" t="s">
        <v>1840</v>
      </c>
      <c r="K916" t="s">
        <v>46</v>
      </c>
      <c r="L916">
        <v>22</v>
      </c>
      <c r="M916">
        <v>1</v>
      </c>
      <c r="N916" t="s">
        <v>23</v>
      </c>
      <c r="O916" t="s">
        <v>22</v>
      </c>
      <c r="P916" t="s">
        <v>1204</v>
      </c>
      <c r="Q916" s="9" t="str">
        <f t="shared" si="29"/>
        <v>Valid</v>
      </c>
      <c r="R916">
        <v>9324390227</v>
      </c>
      <c r="S916" s="7" t="str">
        <f t="shared" si="28"/>
        <v>Valid</v>
      </c>
      <c r="T916" t="str">
        <f>IF(Table1[[#This Row],[Age]]&lt;25,"18-24",IF(Table1[[#This Row],[Age]]&lt;30,"25-29",IF(Table1[[#This Row],[Age]]&lt;35,"30-34",IF(Table1[[#This Row],[Age]]&lt;40,"35-39",IF(Table1[[#This Row],[Age]]&lt;50,"40-49","50+")))))</f>
        <v>50+</v>
      </c>
    </row>
    <row r="917" spans="1:20" x14ac:dyDescent="0.35">
      <c r="A917">
        <v>1916</v>
      </c>
      <c r="B917" t="s">
        <v>42</v>
      </c>
      <c r="C917" t="s">
        <v>26</v>
      </c>
      <c r="D917" t="s">
        <v>17</v>
      </c>
      <c r="E917">
        <v>50</v>
      </c>
      <c r="F917" t="s">
        <v>18</v>
      </c>
      <c r="G917" t="s">
        <v>19</v>
      </c>
      <c r="H917" t="s">
        <v>44</v>
      </c>
      <c r="I917" s="1">
        <v>44247</v>
      </c>
      <c r="J917" t="s">
        <v>1205</v>
      </c>
      <c r="K917" t="s">
        <v>46</v>
      </c>
      <c r="L917">
        <v>2</v>
      </c>
      <c r="M917">
        <v>3</v>
      </c>
      <c r="N917" t="s">
        <v>23</v>
      </c>
      <c r="O917" t="s">
        <v>22</v>
      </c>
      <c r="P917" t="s">
        <v>1206</v>
      </c>
      <c r="Q917" s="9" t="str">
        <f t="shared" si="29"/>
        <v>Valid</v>
      </c>
      <c r="R917">
        <v>9266657791</v>
      </c>
      <c r="S917" s="7" t="str">
        <f t="shared" si="28"/>
        <v>Valid</v>
      </c>
      <c r="T917" t="str">
        <f>IF(Table1[[#This Row],[Age]]&lt;25,"18-24",IF(Table1[[#This Row],[Age]]&lt;30,"25-29",IF(Table1[[#This Row],[Age]]&lt;35,"30-34",IF(Table1[[#This Row],[Age]]&lt;40,"35-39",IF(Table1[[#This Row],[Age]]&lt;50,"40-49","50+")))))</f>
        <v>50+</v>
      </c>
    </row>
    <row r="918" spans="1:20" x14ac:dyDescent="0.35">
      <c r="A918">
        <v>1917</v>
      </c>
      <c r="B918" t="s">
        <v>64</v>
      </c>
      <c r="C918" t="s">
        <v>43</v>
      </c>
      <c r="D918" t="s">
        <v>17</v>
      </c>
      <c r="E918">
        <v>49</v>
      </c>
      <c r="F918" t="s">
        <v>62</v>
      </c>
      <c r="G918" t="s">
        <v>77</v>
      </c>
      <c r="H918" t="s">
        <v>44</v>
      </c>
      <c r="I918" s="1">
        <v>57003</v>
      </c>
      <c r="J918" t="s">
        <v>1486</v>
      </c>
      <c r="K918" t="s">
        <v>40</v>
      </c>
      <c r="L918">
        <v>25</v>
      </c>
      <c r="M918">
        <v>5</v>
      </c>
      <c r="N918" t="s">
        <v>23</v>
      </c>
      <c r="O918" t="s">
        <v>22</v>
      </c>
      <c r="P918" t="s">
        <v>1207</v>
      </c>
      <c r="Q918" s="9" t="str">
        <f t="shared" si="29"/>
        <v>Valid</v>
      </c>
      <c r="R918">
        <v>9031823643</v>
      </c>
      <c r="S918" s="7" t="str">
        <f t="shared" si="28"/>
        <v>Valid</v>
      </c>
      <c r="T918" t="str">
        <f>IF(Table1[[#This Row],[Age]]&lt;25,"18-24",IF(Table1[[#This Row],[Age]]&lt;30,"25-29",IF(Table1[[#This Row],[Age]]&lt;35,"30-34",IF(Table1[[#This Row],[Age]]&lt;40,"35-39",IF(Table1[[#This Row],[Age]]&lt;50,"40-49","50+")))))</f>
        <v>40-49</v>
      </c>
    </row>
    <row r="919" spans="1:20" x14ac:dyDescent="0.35">
      <c r="A919">
        <v>1918</v>
      </c>
      <c r="B919" t="s">
        <v>54</v>
      </c>
      <c r="C919" t="s">
        <v>61</v>
      </c>
      <c r="D919" t="s">
        <v>27</v>
      </c>
      <c r="E919">
        <v>54</v>
      </c>
      <c r="F919" t="s">
        <v>62</v>
      </c>
      <c r="G919" t="s">
        <v>19</v>
      </c>
      <c r="H919" t="s">
        <v>20</v>
      </c>
      <c r="I919" s="1">
        <v>36976</v>
      </c>
      <c r="J919" t="s">
        <v>1841</v>
      </c>
      <c r="K919" t="s">
        <v>46</v>
      </c>
      <c r="L919">
        <v>5</v>
      </c>
      <c r="M919">
        <v>5</v>
      </c>
      <c r="N919" t="s">
        <v>22</v>
      </c>
      <c r="O919" t="s">
        <v>22</v>
      </c>
      <c r="P919" t="s">
        <v>1208</v>
      </c>
      <c r="Q919" s="9" t="str">
        <f t="shared" si="29"/>
        <v>Valid</v>
      </c>
      <c r="R919">
        <v>9232011920</v>
      </c>
      <c r="S919" s="7" t="str">
        <f t="shared" si="28"/>
        <v>Valid</v>
      </c>
      <c r="T919" t="str">
        <f>IF(Table1[[#This Row],[Age]]&lt;25,"18-24",IF(Table1[[#This Row],[Age]]&lt;30,"25-29",IF(Table1[[#This Row],[Age]]&lt;35,"30-34",IF(Table1[[#This Row],[Age]]&lt;40,"35-39",IF(Table1[[#This Row],[Age]]&lt;50,"40-49","50+")))))</f>
        <v>50+</v>
      </c>
    </row>
    <row r="920" spans="1:20" x14ac:dyDescent="0.35">
      <c r="A920">
        <v>1919</v>
      </c>
      <c r="B920" t="s">
        <v>64</v>
      </c>
      <c r="C920" t="s">
        <v>43</v>
      </c>
      <c r="D920" t="s">
        <v>17</v>
      </c>
      <c r="E920">
        <v>45</v>
      </c>
      <c r="F920" t="s">
        <v>38</v>
      </c>
      <c r="G920" t="s">
        <v>77</v>
      </c>
      <c r="H920" t="s">
        <v>35</v>
      </c>
      <c r="I920" s="1">
        <v>90493</v>
      </c>
      <c r="J920" t="s">
        <v>476</v>
      </c>
      <c r="K920" t="s">
        <v>40</v>
      </c>
      <c r="L920">
        <v>19</v>
      </c>
      <c r="M920">
        <v>4</v>
      </c>
      <c r="N920" t="s">
        <v>23</v>
      </c>
      <c r="O920" t="s">
        <v>23</v>
      </c>
      <c r="P920" t="s">
        <v>1209</v>
      </c>
      <c r="Q920" s="9" t="str">
        <f t="shared" si="29"/>
        <v>Valid</v>
      </c>
      <c r="R920">
        <v>9422616994</v>
      </c>
      <c r="S920" s="7" t="str">
        <f t="shared" si="28"/>
        <v>Valid</v>
      </c>
      <c r="T920" t="str">
        <f>IF(Table1[[#This Row],[Age]]&lt;25,"18-24",IF(Table1[[#This Row],[Age]]&lt;30,"25-29",IF(Table1[[#This Row],[Age]]&lt;35,"30-34",IF(Table1[[#This Row],[Age]]&lt;40,"35-39",IF(Table1[[#This Row],[Age]]&lt;50,"40-49","50+")))))</f>
        <v>40-49</v>
      </c>
    </row>
    <row r="921" spans="1:20" x14ac:dyDescent="0.35">
      <c r="A921">
        <v>1920</v>
      </c>
      <c r="B921" t="s">
        <v>42</v>
      </c>
      <c r="C921" t="s">
        <v>61</v>
      </c>
      <c r="D921" t="s">
        <v>27</v>
      </c>
      <c r="E921">
        <v>53</v>
      </c>
      <c r="F921" t="s">
        <v>69</v>
      </c>
      <c r="G921" t="s">
        <v>39</v>
      </c>
      <c r="H921" t="s">
        <v>20</v>
      </c>
      <c r="I921" s="1">
        <v>33786</v>
      </c>
      <c r="J921" t="s">
        <v>1514</v>
      </c>
      <c r="K921" t="s">
        <v>49</v>
      </c>
      <c r="L921">
        <v>2</v>
      </c>
      <c r="M921">
        <v>5</v>
      </c>
      <c r="N921" t="s">
        <v>23</v>
      </c>
      <c r="O921" t="s">
        <v>23</v>
      </c>
      <c r="P921" t="s">
        <v>1210</v>
      </c>
      <c r="Q921" s="9" t="str">
        <f t="shared" si="29"/>
        <v>Valid</v>
      </c>
      <c r="R921">
        <v>9772005224</v>
      </c>
      <c r="S921" s="7" t="str">
        <f t="shared" si="28"/>
        <v>Valid</v>
      </c>
      <c r="T921" t="str">
        <f>IF(Table1[[#This Row],[Age]]&lt;25,"18-24",IF(Table1[[#This Row],[Age]]&lt;30,"25-29",IF(Table1[[#This Row],[Age]]&lt;35,"30-34",IF(Table1[[#This Row],[Age]]&lt;40,"35-39",IF(Table1[[#This Row],[Age]]&lt;50,"40-49","50+")))))</f>
        <v>50+</v>
      </c>
    </row>
    <row r="922" spans="1:20" x14ac:dyDescent="0.35">
      <c r="A922">
        <v>1921</v>
      </c>
      <c r="B922" t="s">
        <v>67</v>
      </c>
      <c r="C922" t="s">
        <v>26</v>
      </c>
      <c r="D922" t="s">
        <v>17</v>
      </c>
      <c r="E922">
        <v>30</v>
      </c>
      <c r="F922" t="s">
        <v>62</v>
      </c>
      <c r="G922" t="s">
        <v>55</v>
      </c>
      <c r="H922" t="s">
        <v>28</v>
      </c>
      <c r="I922" s="1">
        <v>87121</v>
      </c>
      <c r="J922" t="s">
        <v>1842</v>
      </c>
      <c r="K922" t="s">
        <v>49</v>
      </c>
      <c r="L922">
        <v>9</v>
      </c>
      <c r="M922">
        <v>3</v>
      </c>
      <c r="N922" t="s">
        <v>23</v>
      </c>
      <c r="O922" t="s">
        <v>23</v>
      </c>
      <c r="P922" t="s">
        <v>1211</v>
      </c>
      <c r="Q922" s="9" t="str">
        <f t="shared" si="29"/>
        <v>Valid</v>
      </c>
      <c r="R922">
        <v>9031298047</v>
      </c>
      <c r="S922" s="7" t="str">
        <f t="shared" si="28"/>
        <v>Valid</v>
      </c>
      <c r="T922" t="str">
        <f>IF(Table1[[#This Row],[Age]]&lt;25,"18-24",IF(Table1[[#This Row],[Age]]&lt;30,"25-29",IF(Table1[[#This Row],[Age]]&lt;35,"30-34",IF(Table1[[#This Row],[Age]]&lt;40,"35-39",IF(Table1[[#This Row],[Age]]&lt;50,"40-49","50+")))))</f>
        <v>30-34</v>
      </c>
    </row>
    <row r="923" spans="1:20" x14ac:dyDescent="0.35">
      <c r="A923">
        <v>1922</v>
      </c>
      <c r="B923" t="s">
        <v>67</v>
      </c>
      <c r="C923" t="s">
        <v>32</v>
      </c>
      <c r="D923" t="s">
        <v>17</v>
      </c>
      <c r="E923">
        <v>49</v>
      </c>
      <c r="F923" t="s">
        <v>18</v>
      </c>
      <c r="G923" t="s">
        <v>39</v>
      </c>
      <c r="H923" t="s">
        <v>20</v>
      </c>
      <c r="I923" s="1">
        <v>65557</v>
      </c>
      <c r="J923" t="s">
        <v>1212</v>
      </c>
      <c r="K923" t="s">
        <v>30</v>
      </c>
      <c r="L923">
        <v>16</v>
      </c>
      <c r="M923">
        <v>2</v>
      </c>
      <c r="N923" t="s">
        <v>22</v>
      </c>
      <c r="O923" t="s">
        <v>23</v>
      </c>
      <c r="P923" t="s">
        <v>1213</v>
      </c>
      <c r="Q923" s="9" t="str">
        <f t="shared" si="29"/>
        <v>Valid</v>
      </c>
      <c r="R923">
        <v>9720125618</v>
      </c>
      <c r="S923" s="7" t="str">
        <f t="shared" si="28"/>
        <v>Valid</v>
      </c>
      <c r="T923" t="str">
        <f>IF(Table1[[#This Row],[Age]]&lt;25,"18-24",IF(Table1[[#This Row],[Age]]&lt;30,"25-29",IF(Table1[[#This Row],[Age]]&lt;35,"30-34",IF(Table1[[#This Row],[Age]]&lt;40,"35-39",IF(Table1[[#This Row],[Age]]&lt;50,"40-49","50+")))))</f>
        <v>40-49</v>
      </c>
    </row>
    <row r="924" spans="1:20" x14ac:dyDescent="0.35">
      <c r="A924">
        <v>1923</v>
      </c>
      <c r="B924" t="s">
        <v>54</v>
      </c>
      <c r="C924" t="s">
        <v>26</v>
      </c>
      <c r="D924" t="s">
        <v>17</v>
      </c>
      <c r="E924">
        <v>24</v>
      </c>
      <c r="F924" t="s">
        <v>33</v>
      </c>
      <c r="G924" t="s">
        <v>39</v>
      </c>
      <c r="H924" t="s">
        <v>28</v>
      </c>
      <c r="I924" s="1">
        <v>87521</v>
      </c>
      <c r="J924" t="s">
        <v>1843</v>
      </c>
      <c r="K924" t="s">
        <v>30</v>
      </c>
      <c r="L924">
        <v>14</v>
      </c>
      <c r="M924">
        <v>4</v>
      </c>
      <c r="N924" t="s">
        <v>23</v>
      </c>
      <c r="O924" t="s">
        <v>23</v>
      </c>
      <c r="P924" t="s">
        <v>1214</v>
      </c>
      <c r="Q924" s="9" t="str">
        <f t="shared" si="29"/>
        <v>Valid</v>
      </c>
      <c r="R924">
        <v>9802032541</v>
      </c>
      <c r="S924" s="7" t="str">
        <f t="shared" si="28"/>
        <v>Valid</v>
      </c>
      <c r="T924" t="str">
        <f>IF(Table1[[#This Row],[Age]]&lt;25,"18-24",IF(Table1[[#This Row],[Age]]&lt;30,"25-29",IF(Table1[[#This Row],[Age]]&lt;35,"30-34",IF(Table1[[#This Row],[Age]]&lt;40,"35-39",IF(Table1[[#This Row],[Age]]&lt;50,"40-49","50+")))))</f>
        <v>18-24</v>
      </c>
    </row>
    <row r="925" spans="1:20" x14ac:dyDescent="0.35">
      <c r="A925">
        <v>1924</v>
      </c>
      <c r="B925" t="s">
        <v>15</v>
      </c>
      <c r="C925" t="s">
        <v>43</v>
      </c>
      <c r="D925" t="s">
        <v>27</v>
      </c>
      <c r="E925">
        <v>24</v>
      </c>
      <c r="F925" t="s">
        <v>33</v>
      </c>
      <c r="G925" t="s">
        <v>39</v>
      </c>
      <c r="H925" t="s">
        <v>20</v>
      </c>
      <c r="I925" s="1">
        <v>117371</v>
      </c>
      <c r="J925" t="s">
        <v>1581</v>
      </c>
      <c r="K925" t="s">
        <v>49</v>
      </c>
      <c r="L925">
        <v>9</v>
      </c>
      <c r="M925">
        <v>1</v>
      </c>
      <c r="N925" t="s">
        <v>22</v>
      </c>
      <c r="O925" t="s">
        <v>23</v>
      </c>
      <c r="P925" t="s">
        <v>1215</v>
      </c>
      <c r="Q925" s="9" t="str">
        <f t="shared" si="29"/>
        <v>Valid</v>
      </c>
      <c r="R925">
        <v>9299776379</v>
      </c>
      <c r="S925" s="7" t="str">
        <f t="shared" si="28"/>
        <v>Valid</v>
      </c>
      <c r="T925" t="str">
        <f>IF(Table1[[#This Row],[Age]]&lt;25,"18-24",IF(Table1[[#This Row],[Age]]&lt;30,"25-29",IF(Table1[[#This Row],[Age]]&lt;35,"30-34",IF(Table1[[#This Row],[Age]]&lt;40,"35-39",IF(Table1[[#This Row],[Age]]&lt;50,"40-49","50+")))))</f>
        <v>18-24</v>
      </c>
    </row>
    <row r="926" spans="1:20" x14ac:dyDescent="0.35">
      <c r="A926">
        <v>1925</v>
      </c>
      <c r="B926" t="s">
        <v>42</v>
      </c>
      <c r="C926" t="s">
        <v>26</v>
      </c>
      <c r="D926" t="s">
        <v>17</v>
      </c>
      <c r="E926">
        <v>56</v>
      </c>
      <c r="F926" t="s">
        <v>33</v>
      </c>
      <c r="G926" t="s">
        <v>19</v>
      </c>
      <c r="H926" t="s">
        <v>35</v>
      </c>
      <c r="I926" s="1">
        <v>79027</v>
      </c>
      <c r="J926" t="s">
        <v>1216</v>
      </c>
      <c r="K926" t="s">
        <v>49</v>
      </c>
      <c r="L926">
        <v>0</v>
      </c>
      <c r="M926">
        <v>2</v>
      </c>
      <c r="N926" t="s">
        <v>23</v>
      </c>
      <c r="O926" t="s">
        <v>23</v>
      </c>
      <c r="P926" t="s">
        <v>1217</v>
      </c>
      <c r="Q926" s="9" t="str">
        <f t="shared" si="29"/>
        <v>Valid</v>
      </c>
      <c r="R926">
        <v>9819154584</v>
      </c>
      <c r="S926" s="7" t="str">
        <f t="shared" si="28"/>
        <v>Valid</v>
      </c>
      <c r="T926" t="str">
        <f>IF(Table1[[#This Row],[Age]]&lt;25,"18-24",IF(Table1[[#This Row],[Age]]&lt;30,"25-29",IF(Table1[[#This Row],[Age]]&lt;35,"30-34",IF(Table1[[#This Row],[Age]]&lt;40,"35-39",IF(Table1[[#This Row],[Age]]&lt;50,"40-49","50+")))))</f>
        <v>50+</v>
      </c>
    </row>
    <row r="927" spans="1:20" x14ac:dyDescent="0.35">
      <c r="A927">
        <v>1926</v>
      </c>
      <c r="B927" t="s">
        <v>42</v>
      </c>
      <c r="C927" t="s">
        <v>16</v>
      </c>
      <c r="D927" t="s">
        <v>27</v>
      </c>
      <c r="E927">
        <v>57</v>
      </c>
      <c r="F927" t="s">
        <v>62</v>
      </c>
      <c r="G927" t="s">
        <v>19</v>
      </c>
      <c r="H927" t="s">
        <v>28</v>
      </c>
      <c r="I927" s="1">
        <v>35458</v>
      </c>
      <c r="J927" t="s">
        <v>1218</v>
      </c>
      <c r="K927" t="s">
        <v>46</v>
      </c>
      <c r="L927">
        <v>10</v>
      </c>
      <c r="M927">
        <v>5</v>
      </c>
      <c r="N927" t="s">
        <v>23</v>
      </c>
      <c r="O927" t="s">
        <v>22</v>
      </c>
      <c r="P927" t="s">
        <v>1219</v>
      </c>
      <c r="Q927" s="9" t="str">
        <f t="shared" si="29"/>
        <v>Valid</v>
      </c>
      <c r="R927">
        <v>9346253336</v>
      </c>
      <c r="S927" s="7" t="str">
        <f t="shared" si="28"/>
        <v>Valid</v>
      </c>
      <c r="T927" t="str">
        <f>IF(Table1[[#This Row],[Age]]&lt;25,"18-24",IF(Table1[[#This Row],[Age]]&lt;30,"25-29",IF(Table1[[#This Row],[Age]]&lt;35,"30-34",IF(Table1[[#This Row],[Age]]&lt;40,"35-39",IF(Table1[[#This Row],[Age]]&lt;50,"40-49","50+")))))</f>
        <v>50+</v>
      </c>
    </row>
    <row r="928" spans="1:20" x14ac:dyDescent="0.35">
      <c r="A928">
        <v>1927</v>
      </c>
      <c r="B928" t="s">
        <v>82</v>
      </c>
      <c r="C928" t="s">
        <v>43</v>
      </c>
      <c r="D928" t="s">
        <v>17</v>
      </c>
      <c r="E928">
        <v>42</v>
      </c>
      <c r="F928" t="s">
        <v>38</v>
      </c>
      <c r="G928" t="s">
        <v>19</v>
      </c>
      <c r="H928" t="s">
        <v>44</v>
      </c>
      <c r="I928" s="1">
        <v>25100</v>
      </c>
      <c r="J928" t="s">
        <v>1844</v>
      </c>
      <c r="K928" t="s">
        <v>30</v>
      </c>
      <c r="L928">
        <v>17</v>
      </c>
      <c r="M928">
        <v>1</v>
      </c>
      <c r="N928" t="s">
        <v>23</v>
      </c>
      <c r="O928" t="s">
        <v>22</v>
      </c>
      <c r="P928" t="s">
        <v>1220</v>
      </c>
      <c r="Q928" s="9" t="str">
        <f t="shared" si="29"/>
        <v>Valid</v>
      </c>
      <c r="R928">
        <v>9784442224</v>
      </c>
      <c r="S928" s="7" t="str">
        <f t="shared" si="28"/>
        <v>Valid</v>
      </c>
      <c r="T928" t="str">
        <f>IF(Table1[[#This Row],[Age]]&lt;25,"18-24",IF(Table1[[#This Row],[Age]]&lt;30,"25-29",IF(Table1[[#This Row],[Age]]&lt;35,"30-34",IF(Table1[[#This Row],[Age]]&lt;40,"35-39",IF(Table1[[#This Row],[Age]]&lt;50,"40-49","50+")))))</f>
        <v>40-49</v>
      </c>
    </row>
    <row r="929" spans="1:20" x14ac:dyDescent="0.35">
      <c r="A929">
        <v>1928</v>
      </c>
      <c r="B929" t="s">
        <v>25</v>
      </c>
      <c r="C929" t="s">
        <v>32</v>
      </c>
      <c r="D929" t="s">
        <v>17</v>
      </c>
      <c r="E929">
        <v>36</v>
      </c>
      <c r="F929" t="s">
        <v>62</v>
      </c>
      <c r="G929" t="s">
        <v>55</v>
      </c>
      <c r="H929" t="s">
        <v>35</v>
      </c>
      <c r="I929" s="1">
        <v>70323</v>
      </c>
      <c r="J929" t="s">
        <v>1807</v>
      </c>
      <c r="K929" t="s">
        <v>49</v>
      </c>
      <c r="L929">
        <v>24</v>
      </c>
      <c r="M929">
        <v>4</v>
      </c>
      <c r="N929" t="s">
        <v>23</v>
      </c>
      <c r="O929" t="s">
        <v>22</v>
      </c>
      <c r="P929" t="s">
        <v>1221</v>
      </c>
      <c r="Q929" s="9" t="str">
        <f t="shared" si="29"/>
        <v>Valid</v>
      </c>
      <c r="R929">
        <v>9077055583</v>
      </c>
      <c r="S929" s="7" t="str">
        <f t="shared" si="28"/>
        <v>Valid</v>
      </c>
      <c r="T929" t="str">
        <f>IF(Table1[[#This Row],[Age]]&lt;25,"18-24",IF(Table1[[#This Row],[Age]]&lt;30,"25-29",IF(Table1[[#This Row],[Age]]&lt;35,"30-34",IF(Table1[[#This Row],[Age]]&lt;40,"35-39",IF(Table1[[#This Row],[Age]]&lt;50,"40-49","50+")))))</f>
        <v>35-39</v>
      </c>
    </row>
    <row r="930" spans="1:20" x14ac:dyDescent="0.35">
      <c r="A930">
        <v>1929</v>
      </c>
      <c r="B930" t="s">
        <v>37</v>
      </c>
      <c r="C930" t="s">
        <v>26</v>
      </c>
      <c r="D930" t="s">
        <v>27</v>
      </c>
      <c r="E930">
        <v>56</v>
      </c>
      <c r="F930" t="s">
        <v>18</v>
      </c>
      <c r="G930" t="s">
        <v>77</v>
      </c>
      <c r="H930" t="s">
        <v>35</v>
      </c>
      <c r="I930" s="1">
        <v>40926</v>
      </c>
      <c r="J930" t="s">
        <v>1222</v>
      </c>
      <c r="K930" t="s">
        <v>21</v>
      </c>
      <c r="L930">
        <v>18</v>
      </c>
      <c r="M930">
        <v>1</v>
      </c>
      <c r="N930" t="s">
        <v>22</v>
      </c>
      <c r="O930" t="s">
        <v>22</v>
      </c>
      <c r="P930" t="s">
        <v>1223</v>
      </c>
      <c r="Q930" s="9" t="str">
        <f t="shared" si="29"/>
        <v>Valid</v>
      </c>
      <c r="R930">
        <v>9039283627</v>
      </c>
      <c r="S930" s="7" t="str">
        <f t="shared" si="28"/>
        <v>Valid</v>
      </c>
      <c r="T930" t="str">
        <f>IF(Table1[[#This Row],[Age]]&lt;25,"18-24",IF(Table1[[#This Row],[Age]]&lt;30,"25-29",IF(Table1[[#This Row],[Age]]&lt;35,"30-34",IF(Table1[[#This Row],[Age]]&lt;40,"35-39",IF(Table1[[#This Row],[Age]]&lt;50,"40-49","50+")))))</f>
        <v>50+</v>
      </c>
    </row>
    <row r="931" spans="1:20" x14ac:dyDescent="0.35">
      <c r="A931">
        <v>1930</v>
      </c>
      <c r="B931" t="s">
        <v>58</v>
      </c>
      <c r="C931" t="s">
        <v>32</v>
      </c>
      <c r="D931" t="s">
        <v>27</v>
      </c>
      <c r="E931">
        <v>48</v>
      </c>
      <c r="F931" t="s">
        <v>38</v>
      </c>
      <c r="G931" t="s">
        <v>55</v>
      </c>
      <c r="H931" t="s">
        <v>56</v>
      </c>
      <c r="I931" s="1">
        <v>58603</v>
      </c>
      <c r="J931" t="s">
        <v>1845</v>
      </c>
      <c r="K931" t="s">
        <v>40</v>
      </c>
      <c r="L931">
        <v>3</v>
      </c>
      <c r="M931">
        <v>2</v>
      </c>
      <c r="N931" t="s">
        <v>23</v>
      </c>
      <c r="O931" t="s">
        <v>23</v>
      </c>
      <c r="P931" t="s">
        <v>1224</v>
      </c>
      <c r="Q931" s="9" t="str">
        <f t="shared" si="29"/>
        <v>Valid</v>
      </c>
      <c r="R931">
        <v>9401384849</v>
      </c>
      <c r="S931" s="7" t="str">
        <f t="shared" si="28"/>
        <v>Valid</v>
      </c>
      <c r="T931" t="str">
        <f>IF(Table1[[#This Row],[Age]]&lt;25,"18-24",IF(Table1[[#This Row],[Age]]&lt;30,"25-29",IF(Table1[[#This Row],[Age]]&lt;35,"30-34",IF(Table1[[#This Row],[Age]]&lt;40,"35-39",IF(Table1[[#This Row],[Age]]&lt;50,"40-49","50+")))))</f>
        <v>40-49</v>
      </c>
    </row>
    <row r="932" spans="1:20" x14ac:dyDescent="0.35">
      <c r="A932">
        <v>1931</v>
      </c>
      <c r="B932" t="s">
        <v>67</v>
      </c>
      <c r="C932" t="s">
        <v>43</v>
      </c>
      <c r="D932" t="s">
        <v>27</v>
      </c>
      <c r="E932">
        <v>50</v>
      </c>
      <c r="F932" t="s">
        <v>38</v>
      </c>
      <c r="G932" t="s">
        <v>77</v>
      </c>
      <c r="H932" t="s">
        <v>20</v>
      </c>
      <c r="I932" s="1">
        <v>31095</v>
      </c>
      <c r="J932" t="s">
        <v>1225</v>
      </c>
      <c r="K932" t="s">
        <v>21</v>
      </c>
      <c r="L932">
        <v>17</v>
      </c>
      <c r="M932">
        <v>1</v>
      </c>
      <c r="N932" t="s">
        <v>22</v>
      </c>
      <c r="O932" t="s">
        <v>22</v>
      </c>
      <c r="P932" t="s">
        <v>1226</v>
      </c>
      <c r="Q932" s="9" t="str">
        <f t="shared" si="29"/>
        <v>Valid</v>
      </c>
      <c r="R932">
        <v>9706434012</v>
      </c>
      <c r="S932" s="7" t="str">
        <f t="shared" si="28"/>
        <v>Valid</v>
      </c>
      <c r="T932" t="str">
        <f>IF(Table1[[#This Row],[Age]]&lt;25,"18-24",IF(Table1[[#This Row],[Age]]&lt;30,"25-29",IF(Table1[[#This Row],[Age]]&lt;35,"30-34",IF(Table1[[#This Row],[Age]]&lt;40,"35-39",IF(Table1[[#This Row],[Age]]&lt;50,"40-49","50+")))))</f>
        <v>50+</v>
      </c>
    </row>
    <row r="933" spans="1:20" x14ac:dyDescent="0.35">
      <c r="A933">
        <v>1932</v>
      </c>
      <c r="B933" t="s">
        <v>82</v>
      </c>
      <c r="C933" t="s">
        <v>61</v>
      </c>
      <c r="D933" t="s">
        <v>17</v>
      </c>
      <c r="E933">
        <v>28</v>
      </c>
      <c r="F933" t="s">
        <v>62</v>
      </c>
      <c r="G933" t="s">
        <v>34</v>
      </c>
      <c r="H933" t="s">
        <v>44</v>
      </c>
      <c r="I933" s="1">
        <v>35890</v>
      </c>
      <c r="J933" t="s">
        <v>1546</v>
      </c>
      <c r="K933" t="s">
        <v>40</v>
      </c>
      <c r="L933">
        <v>12</v>
      </c>
      <c r="M933">
        <v>1</v>
      </c>
      <c r="N933" t="s">
        <v>23</v>
      </c>
      <c r="O933" t="s">
        <v>23</v>
      </c>
      <c r="P933" t="s">
        <v>1227</v>
      </c>
      <c r="Q933" s="9" t="str">
        <f t="shared" si="29"/>
        <v>Valid</v>
      </c>
      <c r="R933">
        <v>9577887500</v>
      </c>
      <c r="S933" s="7" t="str">
        <f t="shared" si="28"/>
        <v>Valid</v>
      </c>
      <c r="T933" t="str">
        <f>IF(Table1[[#This Row],[Age]]&lt;25,"18-24",IF(Table1[[#This Row],[Age]]&lt;30,"25-29",IF(Table1[[#This Row],[Age]]&lt;35,"30-34",IF(Table1[[#This Row],[Age]]&lt;40,"35-39",IF(Table1[[#This Row],[Age]]&lt;50,"40-49","50+")))))</f>
        <v>25-29</v>
      </c>
    </row>
    <row r="934" spans="1:20" x14ac:dyDescent="0.35">
      <c r="A934">
        <v>1933</v>
      </c>
      <c r="B934" t="s">
        <v>15</v>
      </c>
      <c r="C934" t="s">
        <v>16</v>
      </c>
      <c r="D934" t="s">
        <v>17</v>
      </c>
      <c r="E934">
        <v>25</v>
      </c>
      <c r="F934" t="s">
        <v>62</v>
      </c>
      <c r="G934" t="s">
        <v>19</v>
      </c>
      <c r="H934" t="s">
        <v>44</v>
      </c>
      <c r="I934" s="1">
        <v>113603</v>
      </c>
      <c r="J934" t="s">
        <v>1228</v>
      </c>
      <c r="K934" t="s">
        <v>30</v>
      </c>
      <c r="L934">
        <v>4</v>
      </c>
      <c r="M934">
        <v>3</v>
      </c>
      <c r="N934" t="s">
        <v>23</v>
      </c>
      <c r="O934" t="s">
        <v>22</v>
      </c>
      <c r="P934" s="3" t="s">
        <v>1318</v>
      </c>
      <c r="Q934" s="9" t="str">
        <f t="shared" si="29"/>
        <v>Invalid</v>
      </c>
      <c r="R934">
        <v>9659091211</v>
      </c>
      <c r="S934" s="7" t="str">
        <f t="shared" si="28"/>
        <v>Valid</v>
      </c>
      <c r="T934" t="str">
        <f>IF(Table1[[#This Row],[Age]]&lt;25,"18-24",IF(Table1[[#This Row],[Age]]&lt;30,"25-29",IF(Table1[[#This Row],[Age]]&lt;35,"30-34",IF(Table1[[#This Row],[Age]]&lt;40,"35-39",IF(Table1[[#This Row],[Age]]&lt;50,"40-49","50+")))))</f>
        <v>25-29</v>
      </c>
    </row>
    <row r="935" spans="1:20" x14ac:dyDescent="0.35">
      <c r="A935">
        <v>1934</v>
      </c>
      <c r="B935" t="s">
        <v>25</v>
      </c>
      <c r="C935" t="s">
        <v>16</v>
      </c>
      <c r="D935" t="s">
        <v>27</v>
      </c>
      <c r="E935">
        <v>54</v>
      </c>
      <c r="F935" t="s">
        <v>33</v>
      </c>
      <c r="G935" t="s">
        <v>39</v>
      </c>
      <c r="H935" t="s">
        <v>28</v>
      </c>
      <c r="I935" s="1">
        <v>106748</v>
      </c>
      <c r="J935" t="s">
        <v>1846</v>
      </c>
      <c r="K935" t="s">
        <v>40</v>
      </c>
      <c r="L935">
        <v>0</v>
      </c>
      <c r="M935">
        <v>2</v>
      </c>
      <c r="N935" t="s">
        <v>22</v>
      </c>
      <c r="O935" t="s">
        <v>22</v>
      </c>
      <c r="P935" t="s">
        <v>1229</v>
      </c>
      <c r="Q935" s="9" t="str">
        <f t="shared" si="29"/>
        <v>Valid</v>
      </c>
      <c r="R935">
        <v>9895820301</v>
      </c>
      <c r="S935" s="7" t="str">
        <f t="shared" si="28"/>
        <v>Valid</v>
      </c>
      <c r="T935" t="str">
        <f>IF(Table1[[#This Row],[Age]]&lt;25,"18-24",IF(Table1[[#This Row],[Age]]&lt;30,"25-29",IF(Table1[[#This Row],[Age]]&lt;35,"30-34",IF(Table1[[#This Row],[Age]]&lt;40,"35-39",IF(Table1[[#This Row],[Age]]&lt;50,"40-49","50+")))))</f>
        <v>50+</v>
      </c>
    </row>
    <row r="936" spans="1:20" x14ac:dyDescent="0.35">
      <c r="A936">
        <v>1935</v>
      </c>
      <c r="B936" t="s">
        <v>15</v>
      </c>
      <c r="C936" t="s">
        <v>26</v>
      </c>
      <c r="D936" t="s">
        <v>27</v>
      </c>
      <c r="E936">
        <v>33</v>
      </c>
      <c r="F936" t="s">
        <v>69</v>
      </c>
      <c r="G936" t="s">
        <v>77</v>
      </c>
      <c r="H936" t="s">
        <v>56</v>
      </c>
      <c r="I936" s="1">
        <v>58742</v>
      </c>
      <c r="J936" t="s">
        <v>1847</v>
      </c>
      <c r="K936" t="s">
        <v>49</v>
      </c>
      <c r="L936">
        <v>9</v>
      </c>
      <c r="M936">
        <v>2</v>
      </c>
      <c r="N936" t="s">
        <v>23</v>
      </c>
      <c r="O936" t="s">
        <v>23</v>
      </c>
      <c r="P936" t="s">
        <v>1230</v>
      </c>
      <c r="Q936" s="9" t="str">
        <f t="shared" si="29"/>
        <v>Valid</v>
      </c>
      <c r="R936">
        <v>9786234742</v>
      </c>
      <c r="S936" s="7" t="str">
        <f t="shared" si="28"/>
        <v>Valid</v>
      </c>
      <c r="T936" t="str">
        <f>IF(Table1[[#This Row],[Age]]&lt;25,"18-24",IF(Table1[[#This Row],[Age]]&lt;30,"25-29",IF(Table1[[#This Row],[Age]]&lt;35,"30-34",IF(Table1[[#This Row],[Age]]&lt;40,"35-39",IF(Table1[[#This Row],[Age]]&lt;50,"40-49","50+")))))</f>
        <v>30-34</v>
      </c>
    </row>
    <row r="937" spans="1:20" x14ac:dyDescent="0.35">
      <c r="A937">
        <v>1936</v>
      </c>
      <c r="B937" t="s">
        <v>15</v>
      </c>
      <c r="C937" t="s">
        <v>43</v>
      </c>
      <c r="D937" t="s">
        <v>27</v>
      </c>
      <c r="E937">
        <v>58</v>
      </c>
      <c r="F937" t="s">
        <v>18</v>
      </c>
      <c r="G937" t="s">
        <v>34</v>
      </c>
      <c r="H937" t="s">
        <v>35</v>
      </c>
      <c r="I937" s="1">
        <v>44953</v>
      </c>
      <c r="J937" t="s">
        <v>1848</v>
      </c>
      <c r="K937" t="s">
        <v>40</v>
      </c>
      <c r="L937">
        <v>16</v>
      </c>
      <c r="M937">
        <v>4</v>
      </c>
      <c r="N937" t="s">
        <v>22</v>
      </c>
      <c r="O937" t="s">
        <v>22</v>
      </c>
      <c r="P937" t="s">
        <v>1231</v>
      </c>
      <c r="Q937" s="9" t="str">
        <f t="shared" si="29"/>
        <v>Valid</v>
      </c>
      <c r="R937">
        <v>9189849669</v>
      </c>
      <c r="S937" s="7" t="str">
        <f t="shared" si="28"/>
        <v>Valid</v>
      </c>
      <c r="T937" t="str">
        <f>IF(Table1[[#This Row],[Age]]&lt;25,"18-24",IF(Table1[[#This Row],[Age]]&lt;30,"25-29",IF(Table1[[#This Row],[Age]]&lt;35,"30-34",IF(Table1[[#This Row],[Age]]&lt;40,"35-39",IF(Table1[[#This Row],[Age]]&lt;50,"40-49","50+")))))</f>
        <v>50+</v>
      </c>
    </row>
    <row r="938" spans="1:20" x14ac:dyDescent="0.35">
      <c r="A938">
        <v>1937</v>
      </c>
      <c r="B938" t="s">
        <v>58</v>
      </c>
      <c r="C938" t="s">
        <v>16</v>
      </c>
      <c r="D938" t="s">
        <v>17</v>
      </c>
      <c r="E938">
        <v>49</v>
      </c>
      <c r="F938" t="s">
        <v>38</v>
      </c>
      <c r="G938" t="s">
        <v>34</v>
      </c>
      <c r="H938" t="s">
        <v>35</v>
      </c>
      <c r="I938" s="1">
        <v>30331</v>
      </c>
      <c r="J938" t="s">
        <v>1849</v>
      </c>
      <c r="K938" t="s">
        <v>46</v>
      </c>
      <c r="L938">
        <v>18</v>
      </c>
      <c r="M938">
        <v>1</v>
      </c>
      <c r="N938" t="s">
        <v>22</v>
      </c>
      <c r="O938" t="s">
        <v>23</v>
      </c>
      <c r="P938" t="s">
        <v>1232</v>
      </c>
      <c r="Q938" s="9" t="str">
        <f t="shared" si="29"/>
        <v>Valid</v>
      </c>
      <c r="R938">
        <v>9774248622</v>
      </c>
      <c r="S938" s="7" t="str">
        <f t="shared" si="28"/>
        <v>Valid</v>
      </c>
      <c r="T938" t="str">
        <f>IF(Table1[[#This Row],[Age]]&lt;25,"18-24",IF(Table1[[#This Row],[Age]]&lt;30,"25-29",IF(Table1[[#This Row],[Age]]&lt;35,"30-34",IF(Table1[[#This Row],[Age]]&lt;40,"35-39",IF(Table1[[#This Row],[Age]]&lt;50,"40-49","50+")))))</f>
        <v>40-49</v>
      </c>
    </row>
    <row r="939" spans="1:20" x14ac:dyDescent="0.35">
      <c r="A939">
        <v>1938</v>
      </c>
      <c r="B939" t="s">
        <v>58</v>
      </c>
      <c r="C939" t="s">
        <v>43</v>
      </c>
      <c r="D939" t="s">
        <v>27</v>
      </c>
      <c r="E939">
        <v>25</v>
      </c>
      <c r="F939" t="s">
        <v>69</v>
      </c>
      <c r="G939" t="s">
        <v>55</v>
      </c>
      <c r="H939" t="s">
        <v>28</v>
      </c>
      <c r="I939" s="1">
        <v>115693</v>
      </c>
      <c r="J939" t="s">
        <v>1850</v>
      </c>
      <c r="K939" t="s">
        <v>46</v>
      </c>
      <c r="L939">
        <v>9</v>
      </c>
      <c r="M939">
        <v>4</v>
      </c>
      <c r="N939" t="s">
        <v>23</v>
      </c>
      <c r="O939" t="s">
        <v>22</v>
      </c>
      <c r="P939" t="s">
        <v>1233</v>
      </c>
      <c r="Q939" s="9" t="str">
        <f t="shared" si="29"/>
        <v>Valid</v>
      </c>
      <c r="R939">
        <v>9399390301</v>
      </c>
      <c r="S939" s="7" t="str">
        <f t="shared" si="28"/>
        <v>Valid</v>
      </c>
      <c r="T939" t="str">
        <f>IF(Table1[[#This Row],[Age]]&lt;25,"18-24",IF(Table1[[#This Row],[Age]]&lt;30,"25-29",IF(Table1[[#This Row],[Age]]&lt;35,"30-34",IF(Table1[[#This Row],[Age]]&lt;40,"35-39",IF(Table1[[#This Row],[Age]]&lt;50,"40-49","50+")))))</f>
        <v>25-29</v>
      </c>
    </row>
    <row r="940" spans="1:20" x14ac:dyDescent="0.35">
      <c r="A940">
        <v>1939</v>
      </c>
      <c r="B940" t="s">
        <v>67</v>
      </c>
      <c r="C940" t="s">
        <v>61</v>
      </c>
      <c r="D940" t="s">
        <v>27</v>
      </c>
      <c r="E940">
        <v>56</v>
      </c>
      <c r="F940" t="s">
        <v>18</v>
      </c>
      <c r="G940" t="s">
        <v>39</v>
      </c>
      <c r="H940" t="s">
        <v>44</v>
      </c>
      <c r="I940" s="1">
        <v>74714</v>
      </c>
      <c r="J940" t="s">
        <v>1234</v>
      </c>
      <c r="K940" t="s">
        <v>49</v>
      </c>
      <c r="L940">
        <v>6</v>
      </c>
      <c r="M940">
        <v>4</v>
      </c>
      <c r="N940" t="s">
        <v>23</v>
      </c>
      <c r="O940" t="s">
        <v>23</v>
      </c>
      <c r="P940" t="s">
        <v>1235</v>
      </c>
      <c r="Q940" s="9" t="str">
        <f t="shared" si="29"/>
        <v>Valid</v>
      </c>
      <c r="R940">
        <v>9673661910</v>
      </c>
      <c r="S940" s="7" t="str">
        <f t="shared" si="28"/>
        <v>Valid</v>
      </c>
      <c r="T940" t="str">
        <f>IF(Table1[[#This Row],[Age]]&lt;25,"18-24",IF(Table1[[#This Row],[Age]]&lt;30,"25-29",IF(Table1[[#This Row],[Age]]&lt;35,"30-34",IF(Table1[[#This Row],[Age]]&lt;40,"35-39",IF(Table1[[#This Row],[Age]]&lt;50,"40-49","50+")))))</f>
        <v>50+</v>
      </c>
    </row>
    <row r="941" spans="1:20" x14ac:dyDescent="0.35">
      <c r="A941">
        <v>1940</v>
      </c>
      <c r="B941" t="s">
        <v>42</v>
      </c>
      <c r="C941" t="s">
        <v>26</v>
      </c>
      <c r="D941" t="s">
        <v>17</v>
      </c>
      <c r="E941">
        <v>25</v>
      </c>
      <c r="F941" t="s">
        <v>18</v>
      </c>
      <c r="G941" t="s">
        <v>77</v>
      </c>
      <c r="H941" t="s">
        <v>44</v>
      </c>
      <c r="I941" s="1">
        <v>38440</v>
      </c>
      <c r="J941" t="s">
        <v>1001</v>
      </c>
      <c r="K941" t="s">
        <v>30</v>
      </c>
      <c r="L941">
        <v>7</v>
      </c>
      <c r="M941">
        <v>2</v>
      </c>
      <c r="N941" t="s">
        <v>22</v>
      </c>
      <c r="O941" t="s">
        <v>22</v>
      </c>
      <c r="P941" t="s">
        <v>1236</v>
      </c>
      <c r="Q941" s="9" t="str">
        <f t="shared" si="29"/>
        <v>Valid</v>
      </c>
      <c r="R941">
        <v>9297915911</v>
      </c>
      <c r="S941" s="7" t="str">
        <f t="shared" si="28"/>
        <v>Valid</v>
      </c>
      <c r="T941" t="str">
        <f>IF(Table1[[#This Row],[Age]]&lt;25,"18-24",IF(Table1[[#This Row],[Age]]&lt;30,"25-29",IF(Table1[[#This Row],[Age]]&lt;35,"30-34",IF(Table1[[#This Row],[Age]]&lt;40,"35-39",IF(Table1[[#This Row],[Age]]&lt;50,"40-49","50+")))))</f>
        <v>25-29</v>
      </c>
    </row>
    <row r="942" spans="1:20" x14ac:dyDescent="0.35">
      <c r="A942">
        <v>1941</v>
      </c>
      <c r="B942" t="s">
        <v>15</v>
      </c>
      <c r="C942" t="s">
        <v>61</v>
      </c>
      <c r="D942" t="s">
        <v>17</v>
      </c>
      <c r="E942">
        <v>35</v>
      </c>
      <c r="F942" t="s">
        <v>33</v>
      </c>
      <c r="G942" t="s">
        <v>77</v>
      </c>
      <c r="H942" t="s">
        <v>44</v>
      </c>
      <c r="I942" s="1">
        <v>45288</v>
      </c>
      <c r="J942" t="s">
        <v>1237</v>
      </c>
      <c r="K942" t="s">
        <v>40</v>
      </c>
      <c r="L942">
        <v>15</v>
      </c>
      <c r="M942">
        <v>3</v>
      </c>
      <c r="N942" t="s">
        <v>23</v>
      </c>
      <c r="O942" t="s">
        <v>22</v>
      </c>
      <c r="P942" t="s">
        <v>1238</v>
      </c>
      <c r="Q942" s="9" t="str">
        <f t="shared" si="29"/>
        <v>Valid</v>
      </c>
      <c r="R942">
        <v>9798496564</v>
      </c>
      <c r="S942" s="7" t="str">
        <f t="shared" si="28"/>
        <v>Valid</v>
      </c>
      <c r="T942" t="str">
        <f>IF(Table1[[#This Row],[Age]]&lt;25,"18-24",IF(Table1[[#This Row],[Age]]&lt;30,"25-29",IF(Table1[[#This Row],[Age]]&lt;35,"30-34",IF(Table1[[#This Row],[Age]]&lt;40,"35-39",IF(Table1[[#This Row],[Age]]&lt;50,"40-49","50+")))))</f>
        <v>35-39</v>
      </c>
    </row>
    <row r="943" spans="1:20" x14ac:dyDescent="0.35">
      <c r="A943">
        <v>1942</v>
      </c>
      <c r="B943" t="s">
        <v>67</v>
      </c>
      <c r="C943" t="s">
        <v>61</v>
      </c>
      <c r="D943" t="s">
        <v>27</v>
      </c>
      <c r="E943">
        <v>26</v>
      </c>
      <c r="F943" t="s">
        <v>18</v>
      </c>
      <c r="G943" t="s">
        <v>39</v>
      </c>
      <c r="H943" t="s">
        <v>35</v>
      </c>
      <c r="I943" s="1">
        <v>42311</v>
      </c>
      <c r="J943" t="s">
        <v>1851</v>
      </c>
      <c r="K943" t="s">
        <v>49</v>
      </c>
      <c r="L943">
        <v>8</v>
      </c>
      <c r="M943">
        <v>1</v>
      </c>
      <c r="N943" t="s">
        <v>23</v>
      </c>
      <c r="O943" t="s">
        <v>23</v>
      </c>
      <c r="P943" t="s">
        <v>1239</v>
      </c>
      <c r="Q943" s="9" t="str">
        <f t="shared" si="29"/>
        <v>Valid</v>
      </c>
      <c r="R943">
        <v>9933495069</v>
      </c>
      <c r="S943" s="7" t="str">
        <f t="shared" si="28"/>
        <v>Valid</v>
      </c>
      <c r="T943" t="str">
        <f>IF(Table1[[#This Row],[Age]]&lt;25,"18-24",IF(Table1[[#This Row],[Age]]&lt;30,"25-29",IF(Table1[[#This Row],[Age]]&lt;35,"30-34",IF(Table1[[#This Row],[Age]]&lt;40,"35-39",IF(Table1[[#This Row],[Age]]&lt;50,"40-49","50+")))))</f>
        <v>25-29</v>
      </c>
    </row>
    <row r="944" spans="1:20" x14ac:dyDescent="0.35">
      <c r="A944">
        <v>1943</v>
      </c>
      <c r="B944" t="s">
        <v>25</v>
      </c>
      <c r="C944" t="s">
        <v>26</v>
      </c>
      <c r="D944" t="s">
        <v>27</v>
      </c>
      <c r="E944">
        <v>43</v>
      </c>
      <c r="F944" t="s">
        <v>38</v>
      </c>
      <c r="G944" t="s">
        <v>55</v>
      </c>
      <c r="H944" t="s">
        <v>56</v>
      </c>
      <c r="I944" s="1">
        <v>116311</v>
      </c>
      <c r="J944" t="s">
        <v>1240</v>
      </c>
      <c r="K944" t="s">
        <v>21</v>
      </c>
      <c r="L944">
        <v>10</v>
      </c>
      <c r="M944">
        <v>3</v>
      </c>
      <c r="N944" t="s">
        <v>22</v>
      </c>
      <c r="O944" t="s">
        <v>23</v>
      </c>
      <c r="P944" t="s">
        <v>1241</v>
      </c>
      <c r="Q944" s="9" t="str">
        <f t="shared" si="29"/>
        <v>Valid</v>
      </c>
      <c r="R944">
        <v>9520772757</v>
      </c>
      <c r="S944" s="7" t="str">
        <f t="shared" si="28"/>
        <v>Valid</v>
      </c>
      <c r="T944" t="str">
        <f>IF(Table1[[#This Row],[Age]]&lt;25,"18-24",IF(Table1[[#This Row],[Age]]&lt;30,"25-29",IF(Table1[[#This Row],[Age]]&lt;35,"30-34",IF(Table1[[#This Row],[Age]]&lt;40,"35-39",IF(Table1[[#This Row],[Age]]&lt;50,"40-49","50+")))))</f>
        <v>40-49</v>
      </c>
    </row>
    <row r="945" spans="1:20" x14ac:dyDescent="0.35">
      <c r="A945">
        <v>1944</v>
      </c>
      <c r="B945" t="s">
        <v>64</v>
      </c>
      <c r="C945" t="s">
        <v>32</v>
      </c>
      <c r="D945" t="s">
        <v>17</v>
      </c>
      <c r="E945">
        <v>31</v>
      </c>
      <c r="F945" t="s">
        <v>18</v>
      </c>
      <c r="G945" t="s">
        <v>39</v>
      </c>
      <c r="H945" t="s">
        <v>56</v>
      </c>
      <c r="I945" s="1">
        <v>70909</v>
      </c>
      <c r="J945" t="s">
        <v>1852</v>
      </c>
      <c r="K945" t="s">
        <v>40</v>
      </c>
      <c r="L945">
        <v>10</v>
      </c>
      <c r="M945">
        <v>1</v>
      </c>
      <c r="N945" t="s">
        <v>22</v>
      </c>
      <c r="O945" t="s">
        <v>22</v>
      </c>
      <c r="P945" t="s">
        <v>1242</v>
      </c>
      <c r="Q945" s="9" t="str">
        <f t="shared" si="29"/>
        <v>Valid</v>
      </c>
      <c r="R945">
        <v>9790847862</v>
      </c>
      <c r="S945" s="7" t="str">
        <f t="shared" si="28"/>
        <v>Valid</v>
      </c>
      <c r="T945" t="str">
        <f>IF(Table1[[#This Row],[Age]]&lt;25,"18-24",IF(Table1[[#This Row],[Age]]&lt;30,"25-29",IF(Table1[[#This Row],[Age]]&lt;35,"30-34",IF(Table1[[#This Row],[Age]]&lt;40,"35-39",IF(Table1[[#This Row],[Age]]&lt;50,"40-49","50+")))))</f>
        <v>30-34</v>
      </c>
    </row>
    <row r="946" spans="1:20" x14ac:dyDescent="0.35">
      <c r="A946">
        <v>1945</v>
      </c>
      <c r="B946" t="s">
        <v>64</v>
      </c>
      <c r="C946" t="s">
        <v>32</v>
      </c>
      <c r="D946" t="s">
        <v>17</v>
      </c>
      <c r="E946">
        <v>50</v>
      </c>
      <c r="F946" t="s">
        <v>18</v>
      </c>
      <c r="G946" t="s">
        <v>77</v>
      </c>
      <c r="H946" t="s">
        <v>35</v>
      </c>
      <c r="I946" s="1">
        <v>116750</v>
      </c>
      <c r="J946" t="s">
        <v>857</v>
      </c>
      <c r="K946" t="s">
        <v>40</v>
      </c>
      <c r="L946">
        <v>13</v>
      </c>
      <c r="M946">
        <v>4</v>
      </c>
      <c r="N946" t="s">
        <v>23</v>
      </c>
      <c r="O946" t="s">
        <v>22</v>
      </c>
      <c r="P946" t="s">
        <v>1243</v>
      </c>
      <c r="Q946" s="9" t="str">
        <f t="shared" si="29"/>
        <v>Valid</v>
      </c>
      <c r="R946">
        <v>9709129125</v>
      </c>
      <c r="S946" s="7" t="str">
        <f t="shared" si="28"/>
        <v>Valid</v>
      </c>
      <c r="T946" t="str">
        <f>IF(Table1[[#This Row],[Age]]&lt;25,"18-24",IF(Table1[[#This Row],[Age]]&lt;30,"25-29",IF(Table1[[#This Row],[Age]]&lt;35,"30-34",IF(Table1[[#This Row],[Age]]&lt;40,"35-39",IF(Table1[[#This Row],[Age]]&lt;50,"40-49","50+")))))</f>
        <v>50+</v>
      </c>
    </row>
    <row r="947" spans="1:20" x14ac:dyDescent="0.35">
      <c r="A947">
        <v>1946</v>
      </c>
      <c r="B947" t="s">
        <v>54</v>
      </c>
      <c r="C947" t="s">
        <v>61</v>
      </c>
      <c r="D947" t="s">
        <v>17</v>
      </c>
      <c r="E947">
        <v>56</v>
      </c>
      <c r="F947" t="s">
        <v>38</v>
      </c>
      <c r="G947" t="s">
        <v>55</v>
      </c>
      <c r="H947" t="s">
        <v>56</v>
      </c>
      <c r="I947" s="1">
        <v>31412</v>
      </c>
      <c r="J947" t="s">
        <v>1838</v>
      </c>
      <c r="K947" t="s">
        <v>40</v>
      </c>
      <c r="L947">
        <v>5</v>
      </c>
      <c r="M947">
        <v>1</v>
      </c>
      <c r="N947" t="s">
        <v>22</v>
      </c>
      <c r="O947" t="s">
        <v>23</v>
      </c>
      <c r="P947" t="s">
        <v>1244</v>
      </c>
      <c r="Q947" s="9" t="str">
        <f t="shared" si="29"/>
        <v>Valid</v>
      </c>
      <c r="R947">
        <v>9120407474</v>
      </c>
      <c r="S947" s="7" t="str">
        <f t="shared" si="28"/>
        <v>Valid</v>
      </c>
      <c r="T947" t="str">
        <f>IF(Table1[[#This Row],[Age]]&lt;25,"18-24",IF(Table1[[#This Row],[Age]]&lt;30,"25-29",IF(Table1[[#This Row],[Age]]&lt;35,"30-34",IF(Table1[[#This Row],[Age]]&lt;40,"35-39",IF(Table1[[#This Row],[Age]]&lt;50,"40-49","50+")))))</f>
        <v>50+</v>
      </c>
    </row>
    <row r="948" spans="1:20" x14ac:dyDescent="0.35">
      <c r="A948">
        <v>1947</v>
      </c>
      <c r="B948" t="s">
        <v>64</v>
      </c>
      <c r="C948" t="s">
        <v>61</v>
      </c>
      <c r="D948" t="s">
        <v>17</v>
      </c>
      <c r="E948">
        <v>23</v>
      </c>
      <c r="F948" t="s">
        <v>18</v>
      </c>
      <c r="G948" t="s">
        <v>34</v>
      </c>
      <c r="H948" t="s">
        <v>28</v>
      </c>
      <c r="I948" s="1">
        <v>108736</v>
      </c>
      <c r="J948" t="s">
        <v>1853</v>
      </c>
      <c r="K948" t="s">
        <v>30</v>
      </c>
      <c r="L948">
        <v>12</v>
      </c>
      <c r="M948">
        <v>5</v>
      </c>
      <c r="N948" t="s">
        <v>22</v>
      </c>
      <c r="O948" t="s">
        <v>23</v>
      </c>
      <c r="P948" t="s">
        <v>1245</v>
      </c>
      <c r="Q948" s="9" t="str">
        <f t="shared" si="29"/>
        <v>Valid</v>
      </c>
      <c r="R948">
        <v>9994500645</v>
      </c>
      <c r="S948" s="7" t="str">
        <f t="shared" si="28"/>
        <v>Valid</v>
      </c>
      <c r="T948" t="str">
        <f>IF(Table1[[#This Row],[Age]]&lt;25,"18-24",IF(Table1[[#This Row],[Age]]&lt;30,"25-29",IF(Table1[[#This Row],[Age]]&lt;35,"30-34",IF(Table1[[#This Row],[Age]]&lt;40,"35-39",IF(Table1[[#This Row],[Age]]&lt;50,"40-49","50+")))))</f>
        <v>18-24</v>
      </c>
    </row>
    <row r="949" spans="1:20" x14ac:dyDescent="0.35">
      <c r="A949">
        <v>1948</v>
      </c>
      <c r="B949" t="s">
        <v>54</v>
      </c>
      <c r="C949" t="s">
        <v>43</v>
      </c>
      <c r="D949" t="s">
        <v>27</v>
      </c>
      <c r="E949">
        <v>37</v>
      </c>
      <c r="F949" t="s">
        <v>69</v>
      </c>
      <c r="G949" t="s">
        <v>19</v>
      </c>
      <c r="H949" t="s">
        <v>56</v>
      </c>
      <c r="I949" s="1">
        <v>56876</v>
      </c>
      <c r="J949" t="s">
        <v>302</v>
      </c>
      <c r="K949" t="s">
        <v>21</v>
      </c>
      <c r="L949">
        <v>3</v>
      </c>
      <c r="M949">
        <v>3</v>
      </c>
      <c r="N949" t="s">
        <v>23</v>
      </c>
      <c r="O949" t="s">
        <v>22</v>
      </c>
      <c r="P949" t="s">
        <v>1246</v>
      </c>
      <c r="Q949" s="9" t="str">
        <f t="shared" si="29"/>
        <v>Valid</v>
      </c>
      <c r="R949">
        <v>9921431810</v>
      </c>
      <c r="S949" s="7" t="str">
        <f t="shared" si="28"/>
        <v>Valid</v>
      </c>
      <c r="T949" t="str">
        <f>IF(Table1[[#This Row],[Age]]&lt;25,"18-24",IF(Table1[[#This Row],[Age]]&lt;30,"25-29",IF(Table1[[#This Row],[Age]]&lt;35,"30-34",IF(Table1[[#This Row],[Age]]&lt;40,"35-39",IF(Table1[[#This Row],[Age]]&lt;50,"40-49","50+")))))</f>
        <v>35-39</v>
      </c>
    </row>
    <row r="950" spans="1:20" x14ac:dyDescent="0.35">
      <c r="A950">
        <v>1949</v>
      </c>
      <c r="B950" t="s">
        <v>64</v>
      </c>
      <c r="C950" t="s">
        <v>16</v>
      </c>
      <c r="D950" t="s">
        <v>17</v>
      </c>
      <c r="E950">
        <v>44</v>
      </c>
      <c r="F950" t="s">
        <v>18</v>
      </c>
      <c r="G950" t="s">
        <v>55</v>
      </c>
      <c r="H950" t="s">
        <v>28</v>
      </c>
      <c r="I950" s="1">
        <v>34182</v>
      </c>
      <c r="J950" t="s">
        <v>1247</v>
      </c>
      <c r="K950" t="s">
        <v>21</v>
      </c>
      <c r="L950">
        <v>6</v>
      </c>
      <c r="M950">
        <v>5</v>
      </c>
      <c r="N950" t="s">
        <v>22</v>
      </c>
      <c r="O950" t="s">
        <v>23</v>
      </c>
      <c r="P950" t="s">
        <v>1248</v>
      </c>
      <c r="Q950" s="9" t="str">
        <f t="shared" si="29"/>
        <v>Valid</v>
      </c>
      <c r="R950">
        <v>9002024008</v>
      </c>
      <c r="S950" s="7" t="str">
        <f t="shared" si="28"/>
        <v>Valid</v>
      </c>
      <c r="T950" t="str">
        <f>IF(Table1[[#This Row],[Age]]&lt;25,"18-24",IF(Table1[[#This Row],[Age]]&lt;30,"25-29",IF(Table1[[#This Row],[Age]]&lt;35,"30-34",IF(Table1[[#This Row],[Age]]&lt;40,"35-39",IF(Table1[[#This Row],[Age]]&lt;50,"40-49","50+")))))</f>
        <v>40-49</v>
      </c>
    </row>
    <row r="951" spans="1:20" x14ac:dyDescent="0.35">
      <c r="A951">
        <v>1950</v>
      </c>
      <c r="B951" t="s">
        <v>15</v>
      </c>
      <c r="C951" t="s">
        <v>16</v>
      </c>
      <c r="D951" t="s">
        <v>17</v>
      </c>
      <c r="E951">
        <v>23</v>
      </c>
      <c r="F951" t="s">
        <v>18</v>
      </c>
      <c r="G951" t="s">
        <v>34</v>
      </c>
      <c r="H951" t="s">
        <v>56</v>
      </c>
      <c r="I951" s="1">
        <v>79721</v>
      </c>
      <c r="J951" t="s">
        <v>1854</v>
      </c>
      <c r="K951" t="s">
        <v>21</v>
      </c>
      <c r="L951">
        <v>9</v>
      </c>
      <c r="M951">
        <v>3</v>
      </c>
      <c r="N951" t="s">
        <v>22</v>
      </c>
      <c r="O951" t="s">
        <v>22</v>
      </c>
      <c r="P951" t="s">
        <v>1249</v>
      </c>
      <c r="Q951" s="9" t="str">
        <f t="shared" si="29"/>
        <v>Valid</v>
      </c>
      <c r="R951">
        <v>9051189334</v>
      </c>
      <c r="S951" s="7" t="str">
        <f t="shared" si="28"/>
        <v>Valid</v>
      </c>
      <c r="T951" t="str">
        <f>IF(Table1[[#This Row],[Age]]&lt;25,"18-24",IF(Table1[[#This Row],[Age]]&lt;30,"25-29",IF(Table1[[#This Row],[Age]]&lt;35,"30-34",IF(Table1[[#This Row],[Age]]&lt;40,"35-39",IF(Table1[[#This Row],[Age]]&lt;50,"40-49","50+")))))</f>
        <v>18-24</v>
      </c>
    </row>
    <row r="952" spans="1:20" x14ac:dyDescent="0.35">
      <c r="A952">
        <v>1951</v>
      </c>
      <c r="B952" t="s">
        <v>58</v>
      </c>
      <c r="C952" t="s">
        <v>26</v>
      </c>
      <c r="D952" t="s">
        <v>27</v>
      </c>
      <c r="E952">
        <v>46</v>
      </c>
      <c r="F952" t="s">
        <v>38</v>
      </c>
      <c r="G952" t="s">
        <v>39</v>
      </c>
      <c r="H952" t="s">
        <v>56</v>
      </c>
      <c r="I952" s="1">
        <v>118273</v>
      </c>
      <c r="J952" t="s">
        <v>808</v>
      </c>
      <c r="K952" t="s">
        <v>30</v>
      </c>
      <c r="L952">
        <v>7</v>
      </c>
      <c r="M952">
        <v>5</v>
      </c>
      <c r="N952" t="s">
        <v>23</v>
      </c>
      <c r="O952" t="s">
        <v>22</v>
      </c>
      <c r="P952" t="s">
        <v>1250</v>
      </c>
      <c r="Q952" s="9" t="str">
        <f t="shared" si="29"/>
        <v>Valid</v>
      </c>
      <c r="R952">
        <v>9421957644</v>
      </c>
      <c r="S952" s="7" t="str">
        <f t="shared" si="28"/>
        <v>Valid</v>
      </c>
      <c r="T952" t="str">
        <f>IF(Table1[[#This Row],[Age]]&lt;25,"18-24",IF(Table1[[#This Row],[Age]]&lt;30,"25-29",IF(Table1[[#This Row],[Age]]&lt;35,"30-34",IF(Table1[[#This Row],[Age]]&lt;40,"35-39",IF(Table1[[#This Row],[Age]]&lt;50,"40-49","50+")))))</f>
        <v>40-49</v>
      </c>
    </row>
    <row r="953" spans="1:20" x14ac:dyDescent="0.35">
      <c r="A953">
        <v>1952</v>
      </c>
      <c r="B953" t="s">
        <v>60</v>
      </c>
      <c r="C953" t="s">
        <v>26</v>
      </c>
      <c r="D953" t="s">
        <v>27</v>
      </c>
      <c r="E953">
        <v>30</v>
      </c>
      <c r="F953" t="s">
        <v>62</v>
      </c>
      <c r="G953" t="s">
        <v>34</v>
      </c>
      <c r="H953" t="s">
        <v>44</v>
      </c>
      <c r="I953" s="1">
        <v>54433</v>
      </c>
      <c r="J953" t="s">
        <v>1251</v>
      </c>
      <c r="K953" t="s">
        <v>46</v>
      </c>
      <c r="L953">
        <v>12</v>
      </c>
      <c r="M953">
        <v>5</v>
      </c>
      <c r="N953" t="s">
        <v>23</v>
      </c>
      <c r="O953" t="s">
        <v>23</v>
      </c>
      <c r="P953" t="s">
        <v>1252</v>
      </c>
      <c r="Q953" s="9" t="str">
        <f t="shared" si="29"/>
        <v>Valid</v>
      </c>
      <c r="R953">
        <v>9375148478</v>
      </c>
      <c r="S953" s="7" t="str">
        <f t="shared" si="28"/>
        <v>Valid</v>
      </c>
      <c r="T953" t="str">
        <f>IF(Table1[[#This Row],[Age]]&lt;25,"18-24",IF(Table1[[#This Row],[Age]]&lt;30,"25-29",IF(Table1[[#This Row],[Age]]&lt;35,"30-34",IF(Table1[[#This Row],[Age]]&lt;40,"35-39",IF(Table1[[#This Row],[Age]]&lt;50,"40-49","50+")))))</f>
        <v>30-34</v>
      </c>
    </row>
    <row r="954" spans="1:20" x14ac:dyDescent="0.35">
      <c r="A954">
        <v>1953</v>
      </c>
      <c r="B954" t="s">
        <v>60</v>
      </c>
      <c r="C954" t="s">
        <v>16</v>
      </c>
      <c r="D954" t="s">
        <v>27</v>
      </c>
      <c r="E954">
        <v>32</v>
      </c>
      <c r="F954" t="s">
        <v>69</v>
      </c>
      <c r="G954" t="s">
        <v>34</v>
      </c>
      <c r="H954" t="s">
        <v>56</v>
      </c>
      <c r="I954" s="1">
        <v>63272</v>
      </c>
      <c r="J954" t="s">
        <v>1405</v>
      </c>
      <c r="K954" t="s">
        <v>30</v>
      </c>
      <c r="L954">
        <v>23</v>
      </c>
      <c r="M954">
        <v>1</v>
      </c>
      <c r="N954" t="s">
        <v>23</v>
      </c>
      <c r="O954" t="s">
        <v>23</v>
      </c>
      <c r="P954" t="s">
        <v>1253</v>
      </c>
      <c r="Q954" s="9" t="str">
        <f t="shared" si="29"/>
        <v>Valid</v>
      </c>
      <c r="R954">
        <v>9371002420</v>
      </c>
      <c r="S954" s="7" t="str">
        <f t="shared" si="28"/>
        <v>Valid</v>
      </c>
      <c r="T954" t="str">
        <f>IF(Table1[[#This Row],[Age]]&lt;25,"18-24",IF(Table1[[#This Row],[Age]]&lt;30,"25-29",IF(Table1[[#This Row],[Age]]&lt;35,"30-34",IF(Table1[[#This Row],[Age]]&lt;40,"35-39",IF(Table1[[#This Row],[Age]]&lt;50,"40-49","50+")))))</f>
        <v>30-34</v>
      </c>
    </row>
    <row r="955" spans="1:20" x14ac:dyDescent="0.35">
      <c r="A955">
        <v>1954</v>
      </c>
      <c r="B955" t="s">
        <v>54</v>
      </c>
      <c r="C955" t="s">
        <v>43</v>
      </c>
      <c r="D955" t="s">
        <v>17</v>
      </c>
      <c r="E955">
        <v>57</v>
      </c>
      <c r="F955" t="s">
        <v>62</v>
      </c>
      <c r="G955" t="s">
        <v>55</v>
      </c>
      <c r="H955" t="s">
        <v>56</v>
      </c>
      <c r="I955" s="1">
        <v>81866</v>
      </c>
      <c r="J955" t="s">
        <v>1855</v>
      </c>
      <c r="K955" t="s">
        <v>49</v>
      </c>
      <c r="L955">
        <v>2</v>
      </c>
      <c r="M955">
        <v>5</v>
      </c>
      <c r="N955" t="s">
        <v>23</v>
      </c>
      <c r="O955" t="s">
        <v>22</v>
      </c>
      <c r="P955" t="s">
        <v>1254</v>
      </c>
      <c r="Q955" s="9" t="str">
        <f t="shared" si="29"/>
        <v>Invalid</v>
      </c>
      <c r="R955">
        <v>9901974256</v>
      </c>
      <c r="S955" s="7" t="str">
        <f t="shared" si="28"/>
        <v>Valid</v>
      </c>
      <c r="T955" t="str">
        <f>IF(Table1[[#This Row],[Age]]&lt;25,"18-24",IF(Table1[[#This Row],[Age]]&lt;30,"25-29",IF(Table1[[#This Row],[Age]]&lt;35,"30-34",IF(Table1[[#This Row],[Age]]&lt;40,"35-39",IF(Table1[[#This Row],[Age]]&lt;50,"40-49","50+")))))</f>
        <v>50+</v>
      </c>
    </row>
    <row r="956" spans="1:20" x14ac:dyDescent="0.35">
      <c r="A956">
        <v>1955</v>
      </c>
      <c r="B956" t="s">
        <v>82</v>
      </c>
      <c r="C956" t="s">
        <v>16</v>
      </c>
      <c r="D956" t="s">
        <v>27</v>
      </c>
      <c r="E956">
        <v>52</v>
      </c>
      <c r="F956" t="s">
        <v>18</v>
      </c>
      <c r="G956" t="s">
        <v>55</v>
      </c>
      <c r="H956" t="s">
        <v>20</v>
      </c>
      <c r="I956" s="1">
        <v>65253</v>
      </c>
      <c r="J956" t="s">
        <v>1255</v>
      </c>
      <c r="K956" t="s">
        <v>30</v>
      </c>
      <c r="L956">
        <v>19</v>
      </c>
      <c r="M956">
        <v>4</v>
      </c>
      <c r="N956" t="s">
        <v>23</v>
      </c>
      <c r="O956" t="s">
        <v>22</v>
      </c>
      <c r="P956" t="s">
        <v>1256</v>
      </c>
      <c r="Q956" s="9" t="str">
        <f t="shared" si="29"/>
        <v>Valid</v>
      </c>
      <c r="R956">
        <v>9156797869</v>
      </c>
      <c r="S956" s="7" t="str">
        <f t="shared" si="28"/>
        <v>Valid</v>
      </c>
      <c r="T956" t="str">
        <f>IF(Table1[[#This Row],[Age]]&lt;25,"18-24",IF(Table1[[#This Row],[Age]]&lt;30,"25-29",IF(Table1[[#This Row],[Age]]&lt;35,"30-34",IF(Table1[[#This Row],[Age]]&lt;40,"35-39",IF(Table1[[#This Row],[Age]]&lt;50,"40-49","50+")))))</f>
        <v>50+</v>
      </c>
    </row>
    <row r="957" spans="1:20" x14ac:dyDescent="0.35">
      <c r="A957">
        <v>1956</v>
      </c>
      <c r="B957" t="s">
        <v>15</v>
      </c>
      <c r="C957" t="s">
        <v>43</v>
      </c>
      <c r="D957" t="s">
        <v>17</v>
      </c>
      <c r="E957">
        <v>47</v>
      </c>
      <c r="F957" t="s">
        <v>18</v>
      </c>
      <c r="G957" t="s">
        <v>34</v>
      </c>
      <c r="H957" t="s">
        <v>35</v>
      </c>
      <c r="I957" s="1">
        <v>86435</v>
      </c>
      <c r="J957" t="s">
        <v>1257</v>
      </c>
      <c r="K957" t="s">
        <v>21</v>
      </c>
      <c r="L957">
        <v>6</v>
      </c>
      <c r="M957">
        <v>5</v>
      </c>
      <c r="N957" t="s">
        <v>22</v>
      </c>
      <c r="O957" t="s">
        <v>23</v>
      </c>
      <c r="P957" t="s">
        <v>1258</v>
      </c>
      <c r="Q957" s="9" t="str">
        <f t="shared" si="29"/>
        <v>Valid</v>
      </c>
      <c r="R957">
        <v>9343810995</v>
      </c>
      <c r="S957" s="7" t="str">
        <f t="shared" si="28"/>
        <v>Valid</v>
      </c>
      <c r="T957" t="str">
        <f>IF(Table1[[#This Row],[Age]]&lt;25,"18-24",IF(Table1[[#This Row],[Age]]&lt;30,"25-29",IF(Table1[[#This Row],[Age]]&lt;35,"30-34",IF(Table1[[#This Row],[Age]]&lt;40,"35-39",IF(Table1[[#This Row],[Age]]&lt;50,"40-49","50+")))))</f>
        <v>40-49</v>
      </c>
    </row>
    <row r="958" spans="1:20" x14ac:dyDescent="0.35">
      <c r="A958">
        <v>1957</v>
      </c>
      <c r="B958" t="s">
        <v>15</v>
      </c>
      <c r="C958" t="s">
        <v>61</v>
      </c>
      <c r="D958" t="s">
        <v>17</v>
      </c>
      <c r="E958">
        <v>49</v>
      </c>
      <c r="F958" t="s">
        <v>38</v>
      </c>
      <c r="G958" t="s">
        <v>77</v>
      </c>
      <c r="H958" t="s">
        <v>28</v>
      </c>
      <c r="I958" s="1">
        <v>70368</v>
      </c>
      <c r="J958" t="s">
        <v>492</v>
      </c>
      <c r="K958" t="s">
        <v>21</v>
      </c>
      <c r="L958">
        <v>7</v>
      </c>
      <c r="M958">
        <v>3</v>
      </c>
      <c r="N958" t="s">
        <v>23</v>
      </c>
      <c r="O958" t="s">
        <v>22</v>
      </c>
      <c r="P958" t="s">
        <v>1259</v>
      </c>
      <c r="Q958" s="9" t="str">
        <f t="shared" si="29"/>
        <v>Valid</v>
      </c>
      <c r="R958">
        <v>9044668470</v>
      </c>
      <c r="S958" s="7" t="str">
        <f t="shared" si="28"/>
        <v>Valid</v>
      </c>
      <c r="T958" t="str">
        <f>IF(Table1[[#This Row],[Age]]&lt;25,"18-24",IF(Table1[[#This Row],[Age]]&lt;30,"25-29",IF(Table1[[#This Row],[Age]]&lt;35,"30-34",IF(Table1[[#This Row],[Age]]&lt;40,"35-39",IF(Table1[[#This Row],[Age]]&lt;50,"40-49","50+")))))</f>
        <v>40-49</v>
      </c>
    </row>
    <row r="959" spans="1:20" x14ac:dyDescent="0.35">
      <c r="A959">
        <v>1958</v>
      </c>
      <c r="B959" t="s">
        <v>64</v>
      </c>
      <c r="C959" t="s">
        <v>26</v>
      </c>
      <c r="D959" t="s">
        <v>27</v>
      </c>
      <c r="E959">
        <v>36</v>
      </c>
      <c r="F959" t="s">
        <v>62</v>
      </c>
      <c r="G959" t="s">
        <v>55</v>
      </c>
      <c r="H959" t="s">
        <v>20</v>
      </c>
      <c r="I959" s="1">
        <v>118438</v>
      </c>
      <c r="J959" t="s">
        <v>1856</v>
      </c>
      <c r="K959" t="s">
        <v>46</v>
      </c>
      <c r="L959">
        <v>14</v>
      </c>
      <c r="M959">
        <v>3</v>
      </c>
      <c r="N959" t="s">
        <v>22</v>
      </c>
      <c r="O959" t="s">
        <v>22</v>
      </c>
      <c r="P959" t="s">
        <v>1260</v>
      </c>
      <c r="Q959" s="9" t="str">
        <f t="shared" si="29"/>
        <v>Valid</v>
      </c>
      <c r="R959">
        <v>9236008810</v>
      </c>
      <c r="S959" s="7" t="str">
        <f t="shared" si="28"/>
        <v>Valid</v>
      </c>
      <c r="T959" t="str">
        <f>IF(Table1[[#This Row],[Age]]&lt;25,"18-24",IF(Table1[[#This Row],[Age]]&lt;30,"25-29",IF(Table1[[#This Row],[Age]]&lt;35,"30-34",IF(Table1[[#This Row],[Age]]&lt;40,"35-39",IF(Table1[[#This Row],[Age]]&lt;50,"40-49","50+")))))</f>
        <v>35-39</v>
      </c>
    </row>
    <row r="960" spans="1:20" x14ac:dyDescent="0.35">
      <c r="A960">
        <v>1959</v>
      </c>
      <c r="B960" t="s">
        <v>82</v>
      </c>
      <c r="C960" t="s">
        <v>16</v>
      </c>
      <c r="D960" t="s">
        <v>17</v>
      </c>
      <c r="E960">
        <v>44</v>
      </c>
      <c r="F960" t="s">
        <v>33</v>
      </c>
      <c r="G960" t="s">
        <v>39</v>
      </c>
      <c r="H960" t="s">
        <v>28</v>
      </c>
      <c r="I960" s="1">
        <v>55491</v>
      </c>
      <c r="J960" t="s">
        <v>1584</v>
      </c>
      <c r="K960" t="s">
        <v>46</v>
      </c>
      <c r="L960">
        <v>18</v>
      </c>
      <c r="M960">
        <v>4</v>
      </c>
      <c r="N960" t="s">
        <v>23</v>
      </c>
      <c r="O960" t="s">
        <v>23</v>
      </c>
      <c r="P960" t="s">
        <v>1261</v>
      </c>
      <c r="Q960" s="9" t="str">
        <f t="shared" si="29"/>
        <v>Valid</v>
      </c>
      <c r="R960">
        <v>9026273982</v>
      </c>
      <c r="S960" s="7" t="str">
        <f t="shared" si="28"/>
        <v>Valid</v>
      </c>
      <c r="T960" t="str">
        <f>IF(Table1[[#This Row],[Age]]&lt;25,"18-24",IF(Table1[[#This Row],[Age]]&lt;30,"25-29",IF(Table1[[#This Row],[Age]]&lt;35,"30-34",IF(Table1[[#This Row],[Age]]&lt;40,"35-39",IF(Table1[[#This Row],[Age]]&lt;50,"40-49","50+")))))</f>
        <v>40-49</v>
      </c>
    </row>
    <row r="961" spans="1:20" x14ac:dyDescent="0.35">
      <c r="A961">
        <v>1960</v>
      </c>
      <c r="B961" t="s">
        <v>67</v>
      </c>
      <c r="C961" t="s">
        <v>32</v>
      </c>
      <c r="D961" t="s">
        <v>17</v>
      </c>
      <c r="E961">
        <v>54</v>
      </c>
      <c r="F961" t="s">
        <v>38</v>
      </c>
      <c r="G961" t="s">
        <v>39</v>
      </c>
      <c r="H961" t="s">
        <v>35</v>
      </c>
      <c r="I961" s="1">
        <v>101529</v>
      </c>
      <c r="J961" t="s">
        <v>1262</v>
      </c>
      <c r="K961" t="s">
        <v>21</v>
      </c>
      <c r="L961">
        <v>22</v>
      </c>
      <c r="M961">
        <v>1</v>
      </c>
      <c r="N961" t="s">
        <v>23</v>
      </c>
      <c r="O961" t="s">
        <v>23</v>
      </c>
      <c r="P961" t="s">
        <v>1263</v>
      </c>
      <c r="Q961" s="9" t="str">
        <f t="shared" si="29"/>
        <v>Valid</v>
      </c>
      <c r="R961">
        <v>9566751167</v>
      </c>
      <c r="S961" s="7" t="str">
        <f t="shared" si="28"/>
        <v>Valid</v>
      </c>
      <c r="T961" t="str">
        <f>IF(Table1[[#This Row],[Age]]&lt;25,"18-24",IF(Table1[[#This Row],[Age]]&lt;30,"25-29",IF(Table1[[#This Row],[Age]]&lt;35,"30-34",IF(Table1[[#This Row],[Age]]&lt;40,"35-39",IF(Table1[[#This Row],[Age]]&lt;50,"40-49","50+")))))</f>
        <v>50+</v>
      </c>
    </row>
    <row r="962" spans="1:20" x14ac:dyDescent="0.35">
      <c r="A962">
        <v>1961</v>
      </c>
      <c r="B962" t="s">
        <v>82</v>
      </c>
      <c r="C962" t="s">
        <v>16</v>
      </c>
      <c r="D962" t="s">
        <v>17</v>
      </c>
      <c r="E962">
        <v>52</v>
      </c>
      <c r="F962" t="s">
        <v>38</v>
      </c>
      <c r="G962" t="s">
        <v>19</v>
      </c>
      <c r="H962" t="s">
        <v>28</v>
      </c>
      <c r="I962" s="1">
        <v>95940</v>
      </c>
      <c r="J962" t="s">
        <v>1264</v>
      </c>
      <c r="K962" t="s">
        <v>40</v>
      </c>
      <c r="L962">
        <v>10</v>
      </c>
      <c r="M962">
        <v>1</v>
      </c>
      <c r="N962" t="s">
        <v>23</v>
      </c>
      <c r="O962" t="s">
        <v>22</v>
      </c>
      <c r="P962" t="s">
        <v>1265</v>
      </c>
      <c r="Q962" s="9" t="str">
        <f t="shared" si="29"/>
        <v>Valid</v>
      </c>
      <c r="R962">
        <v>9112749161</v>
      </c>
      <c r="S962" s="7" t="str">
        <f t="shared" ref="S962:S1001" si="30">IF(AND(ISNUMBER(R962),LEN(R962)=10),"Valid","Invalid")</f>
        <v>Valid</v>
      </c>
      <c r="T962" t="str">
        <f>IF(Table1[[#This Row],[Age]]&lt;25,"18-24",IF(Table1[[#This Row],[Age]]&lt;30,"25-29",IF(Table1[[#This Row],[Age]]&lt;35,"30-34",IF(Table1[[#This Row],[Age]]&lt;40,"35-39",IF(Table1[[#This Row],[Age]]&lt;50,"40-49","50+")))))</f>
        <v>50+</v>
      </c>
    </row>
    <row r="963" spans="1:20" x14ac:dyDescent="0.35">
      <c r="A963">
        <v>1962</v>
      </c>
      <c r="B963" t="s">
        <v>58</v>
      </c>
      <c r="C963" t="s">
        <v>61</v>
      </c>
      <c r="D963" t="s">
        <v>27</v>
      </c>
      <c r="E963">
        <v>29</v>
      </c>
      <c r="F963" t="s">
        <v>18</v>
      </c>
      <c r="G963" t="s">
        <v>34</v>
      </c>
      <c r="H963" t="s">
        <v>56</v>
      </c>
      <c r="I963" s="1">
        <v>32621</v>
      </c>
      <c r="J963" t="s">
        <v>733</v>
      </c>
      <c r="K963" t="s">
        <v>30</v>
      </c>
      <c r="L963">
        <v>18</v>
      </c>
      <c r="M963">
        <v>5</v>
      </c>
      <c r="N963" t="s">
        <v>22</v>
      </c>
      <c r="O963" t="s">
        <v>22</v>
      </c>
      <c r="P963" s="3" t="s">
        <v>1318</v>
      </c>
      <c r="Q963" s="9" t="str">
        <f t="shared" ref="Q963:Q1001" si="31">IF(AND(ISNUMBER(SEARCH("@",P963)),ISNUMBER(SEARCH(".",P963))),"Valid","Invalid")</f>
        <v>Invalid</v>
      </c>
      <c r="R963">
        <v>9085021609</v>
      </c>
      <c r="S963" s="7" t="str">
        <f t="shared" si="30"/>
        <v>Valid</v>
      </c>
      <c r="T963" t="str">
        <f>IF(Table1[[#This Row],[Age]]&lt;25,"18-24",IF(Table1[[#This Row],[Age]]&lt;30,"25-29",IF(Table1[[#This Row],[Age]]&lt;35,"30-34",IF(Table1[[#This Row],[Age]]&lt;40,"35-39",IF(Table1[[#This Row],[Age]]&lt;50,"40-49","50+")))))</f>
        <v>25-29</v>
      </c>
    </row>
    <row r="964" spans="1:20" x14ac:dyDescent="0.35">
      <c r="A964">
        <v>1963</v>
      </c>
      <c r="B964" t="s">
        <v>15</v>
      </c>
      <c r="C964" t="s">
        <v>61</v>
      </c>
      <c r="D964" t="s">
        <v>17</v>
      </c>
      <c r="E964">
        <v>29</v>
      </c>
      <c r="F964" t="s">
        <v>18</v>
      </c>
      <c r="G964" t="s">
        <v>39</v>
      </c>
      <c r="H964" t="s">
        <v>28</v>
      </c>
      <c r="I964" s="1">
        <v>81017</v>
      </c>
      <c r="J964" t="s">
        <v>1857</v>
      </c>
      <c r="K964" t="s">
        <v>40</v>
      </c>
      <c r="L964">
        <v>11</v>
      </c>
      <c r="M964">
        <v>2</v>
      </c>
      <c r="N964" t="s">
        <v>22</v>
      </c>
      <c r="O964" t="s">
        <v>23</v>
      </c>
      <c r="P964" t="s">
        <v>1266</v>
      </c>
      <c r="Q964" s="9" t="str">
        <f t="shared" si="31"/>
        <v>Valid</v>
      </c>
      <c r="R964">
        <v>9546665410</v>
      </c>
      <c r="S964" s="7" t="str">
        <f t="shared" si="30"/>
        <v>Valid</v>
      </c>
      <c r="T964" t="str">
        <f>IF(Table1[[#This Row],[Age]]&lt;25,"18-24",IF(Table1[[#This Row],[Age]]&lt;30,"25-29",IF(Table1[[#This Row],[Age]]&lt;35,"30-34",IF(Table1[[#This Row],[Age]]&lt;40,"35-39",IF(Table1[[#This Row],[Age]]&lt;50,"40-49","50+")))))</f>
        <v>25-29</v>
      </c>
    </row>
    <row r="965" spans="1:20" x14ac:dyDescent="0.35">
      <c r="A965">
        <v>1964</v>
      </c>
      <c r="B965" t="s">
        <v>37</v>
      </c>
      <c r="C965" t="s">
        <v>26</v>
      </c>
      <c r="D965" t="s">
        <v>17</v>
      </c>
      <c r="E965">
        <v>46</v>
      </c>
      <c r="F965" t="s">
        <v>38</v>
      </c>
      <c r="G965" t="s">
        <v>55</v>
      </c>
      <c r="H965" t="s">
        <v>44</v>
      </c>
      <c r="I965" s="1">
        <v>80874</v>
      </c>
      <c r="J965" t="s">
        <v>1858</v>
      </c>
      <c r="K965" t="s">
        <v>30</v>
      </c>
      <c r="L965">
        <v>17</v>
      </c>
      <c r="M965">
        <v>3</v>
      </c>
      <c r="N965" t="s">
        <v>23</v>
      </c>
      <c r="O965" t="s">
        <v>22</v>
      </c>
      <c r="P965" t="s">
        <v>1267</v>
      </c>
      <c r="Q965" s="9" t="str">
        <f t="shared" si="31"/>
        <v>Valid</v>
      </c>
      <c r="R965">
        <v>9489475833</v>
      </c>
      <c r="S965" s="7" t="str">
        <f t="shared" si="30"/>
        <v>Valid</v>
      </c>
      <c r="T965" t="str">
        <f>IF(Table1[[#This Row],[Age]]&lt;25,"18-24",IF(Table1[[#This Row],[Age]]&lt;30,"25-29",IF(Table1[[#This Row],[Age]]&lt;35,"30-34",IF(Table1[[#This Row],[Age]]&lt;40,"35-39",IF(Table1[[#This Row],[Age]]&lt;50,"40-49","50+")))))</f>
        <v>40-49</v>
      </c>
    </row>
    <row r="966" spans="1:20" x14ac:dyDescent="0.35">
      <c r="A966">
        <v>1965</v>
      </c>
      <c r="B966" t="s">
        <v>25</v>
      </c>
      <c r="C966" t="s">
        <v>43</v>
      </c>
      <c r="D966" t="s">
        <v>27</v>
      </c>
      <c r="E966">
        <v>26</v>
      </c>
      <c r="F966" t="s">
        <v>62</v>
      </c>
      <c r="G966" t="s">
        <v>34</v>
      </c>
      <c r="H966" t="s">
        <v>28</v>
      </c>
      <c r="I966" s="1">
        <v>73397</v>
      </c>
      <c r="J966" t="s">
        <v>766</v>
      </c>
      <c r="K966" t="s">
        <v>40</v>
      </c>
      <c r="L966">
        <v>12</v>
      </c>
      <c r="M966">
        <v>1</v>
      </c>
      <c r="N966" t="s">
        <v>23</v>
      </c>
      <c r="O966" t="s">
        <v>22</v>
      </c>
      <c r="P966" t="s">
        <v>1268</v>
      </c>
      <c r="Q966" s="9" t="str">
        <f t="shared" si="31"/>
        <v>Valid</v>
      </c>
      <c r="R966">
        <v>91938484</v>
      </c>
      <c r="S966" s="7" t="str">
        <f t="shared" si="30"/>
        <v>Invalid</v>
      </c>
      <c r="T966" t="str">
        <f>IF(Table1[[#This Row],[Age]]&lt;25,"18-24",IF(Table1[[#This Row],[Age]]&lt;30,"25-29",IF(Table1[[#This Row],[Age]]&lt;35,"30-34",IF(Table1[[#This Row],[Age]]&lt;40,"35-39",IF(Table1[[#This Row],[Age]]&lt;50,"40-49","50+")))))</f>
        <v>25-29</v>
      </c>
    </row>
    <row r="967" spans="1:20" x14ac:dyDescent="0.35">
      <c r="A967">
        <v>1966</v>
      </c>
      <c r="B967" t="s">
        <v>37</v>
      </c>
      <c r="C967" t="s">
        <v>61</v>
      </c>
      <c r="D967" t="s">
        <v>17</v>
      </c>
      <c r="E967">
        <v>28</v>
      </c>
      <c r="F967" t="s">
        <v>62</v>
      </c>
      <c r="G967" t="s">
        <v>34</v>
      </c>
      <c r="H967" t="s">
        <v>56</v>
      </c>
      <c r="I967" s="1">
        <v>109945</v>
      </c>
      <c r="J967" t="s">
        <v>98</v>
      </c>
      <c r="K967" t="s">
        <v>30</v>
      </c>
      <c r="L967">
        <v>2</v>
      </c>
      <c r="M967">
        <v>2</v>
      </c>
      <c r="N967" t="s">
        <v>22</v>
      </c>
      <c r="O967" t="s">
        <v>22</v>
      </c>
      <c r="P967" t="s">
        <v>1269</v>
      </c>
      <c r="Q967" s="9" t="str">
        <f t="shared" si="31"/>
        <v>Valid</v>
      </c>
      <c r="R967">
        <v>9662901425</v>
      </c>
      <c r="S967" s="7" t="str">
        <f t="shared" si="30"/>
        <v>Valid</v>
      </c>
      <c r="T967" t="str">
        <f>IF(Table1[[#This Row],[Age]]&lt;25,"18-24",IF(Table1[[#This Row],[Age]]&lt;30,"25-29",IF(Table1[[#This Row],[Age]]&lt;35,"30-34",IF(Table1[[#This Row],[Age]]&lt;40,"35-39",IF(Table1[[#This Row],[Age]]&lt;50,"40-49","50+")))))</f>
        <v>25-29</v>
      </c>
    </row>
    <row r="968" spans="1:20" x14ac:dyDescent="0.35">
      <c r="A968">
        <v>1967</v>
      </c>
      <c r="B968" t="s">
        <v>54</v>
      </c>
      <c r="C968" t="s">
        <v>26</v>
      </c>
      <c r="D968" t="s">
        <v>17</v>
      </c>
      <c r="E968">
        <v>53</v>
      </c>
      <c r="F968" t="s">
        <v>33</v>
      </c>
      <c r="G968" t="s">
        <v>55</v>
      </c>
      <c r="H968" t="s">
        <v>56</v>
      </c>
      <c r="I968" s="1">
        <v>85784</v>
      </c>
      <c r="J968" t="s">
        <v>1859</v>
      </c>
      <c r="K968" t="s">
        <v>21</v>
      </c>
      <c r="L968">
        <v>6</v>
      </c>
      <c r="M968">
        <v>4</v>
      </c>
      <c r="N968" t="s">
        <v>22</v>
      </c>
      <c r="O968" t="s">
        <v>22</v>
      </c>
      <c r="P968" t="s">
        <v>1270</v>
      </c>
      <c r="Q968" s="9" t="str">
        <f t="shared" si="31"/>
        <v>Valid</v>
      </c>
      <c r="R968">
        <v>9962095493</v>
      </c>
      <c r="S968" s="7" t="str">
        <f t="shared" si="30"/>
        <v>Valid</v>
      </c>
      <c r="T968" t="str">
        <f>IF(Table1[[#This Row],[Age]]&lt;25,"18-24",IF(Table1[[#This Row],[Age]]&lt;30,"25-29",IF(Table1[[#This Row],[Age]]&lt;35,"30-34",IF(Table1[[#This Row],[Age]]&lt;40,"35-39",IF(Table1[[#This Row],[Age]]&lt;50,"40-49","50+")))))</f>
        <v>50+</v>
      </c>
    </row>
    <row r="969" spans="1:20" x14ac:dyDescent="0.35">
      <c r="A969">
        <v>1968</v>
      </c>
      <c r="B969" t="s">
        <v>64</v>
      </c>
      <c r="C969" t="s">
        <v>16</v>
      </c>
      <c r="D969" t="s">
        <v>27</v>
      </c>
      <c r="E969">
        <v>41</v>
      </c>
      <c r="F969" t="s">
        <v>69</v>
      </c>
      <c r="G969" t="s">
        <v>77</v>
      </c>
      <c r="H969" t="s">
        <v>56</v>
      </c>
      <c r="I969" s="1">
        <v>61903</v>
      </c>
      <c r="J969" t="s">
        <v>1860</v>
      </c>
      <c r="K969" t="s">
        <v>40</v>
      </c>
      <c r="L969">
        <v>8</v>
      </c>
      <c r="M969">
        <v>1</v>
      </c>
      <c r="N969" t="s">
        <v>22</v>
      </c>
      <c r="O969" t="s">
        <v>23</v>
      </c>
      <c r="P969" t="s">
        <v>1271</v>
      </c>
      <c r="Q969" s="9" t="str">
        <f t="shared" si="31"/>
        <v>Valid</v>
      </c>
      <c r="R969">
        <v>9574786121</v>
      </c>
      <c r="S969" s="7" t="str">
        <f t="shared" si="30"/>
        <v>Valid</v>
      </c>
      <c r="T969" t="str">
        <f>IF(Table1[[#This Row],[Age]]&lt;25,"18-24",IF(Table1[[#This Row],[Age]]&lt;30,"25-29",IF(Table1[[#This Row],[Age]]&lt;35,"30-34",IF(Table1[[#This Row],[Age]]&lt;40,"35-39",IF(Table1[[#This Row],[Age]]&lt;50,"40-49","50+")))))</f>
        <v>40-49</v>
      </c>
    </row>
    <row r="970" spans="1:20" x14ac:dyDescent="0.35">
      <c r="A970">
        <v>1969</v>
      </c>
      <c r="B970" t="s">
        <v>67</v>
      </c>
      <c r="C970" t="s">
        <v>43</v>
      </c>
      <c r="D970" t="s">
        <v>27</v>
      </c>
      <c r="E970">
        <v>51</v>
      </c>
      <c r="F970" t="s">
        <v>18</v>
      </c>
      <c r="G970" t="s">
        <v>34</v>
      </c>
      <c r="H970" t="s">
        <v>56</v>
      </c>
      <c r="I970" s="1">
        <v>65361</v>
      </c>
      <c r="J970" t="s">
        <v>1861</v>
      </c>
      <c r="K970" t="s">
        <v>40</v>
      </c>
      <c r="L970">
        <v>19</v>
      </c>
      <c r="M970">
        <v>5</v>
      </c>
      <c r="N970" t="s">
        <v>23</v>
      </c>
      <c r="O970" t="s">
        <v>23</v>
      </c>
      <c r="P970" t="s">
        <v>1272</v>
      </c>
      <c r="Q970" s="9" t="str">
        <f t="shared" si="31"/>
        <v>Valid</v>
      </c>
      <c r="R970">
        <v>9605268855</v>
      </c>
      <c r="S970" s="7" t="str">
        <f t="shared" si="30"/>
        <v>Valid</v>
      </c>
      <c r="T970" t="str">
        <f>IF(Table1[[#This Row],[Age]]&lt;25,"18-24",IF(Table1[[#This Row],[Age]]&lt;30,"25-29",IF(Table1[[#This Row],[Age]]&lt;35,"30-34",IF(Table1[[#This Row],[Age]]&lt;40,"35-39",IF(Table1[[#This Row],[Age]]&lt;50,"40-49","50+")))))</f>
        <v>50+</v>
      </c>
    </row>
    <row r="971" spans="1:20" x14ac:dyDescent="0.35">
      <c r="A971">
        <v>1970</v>
      </c>
      <c r="B971" t="s">
        <v>15</v>
      </c>
      <c r="C971" t="s">
        <v>26</v>
      </c>
      <c r="D971" t="s">
        <v>17</v>
      </c>
      <c r="E971">
        <v>57</v>
      </c>
      <c r="F971" t="s">
        <v>62</v>
      </c>
      <c r="G971" t="s">
        <v>55</v>
      </c>
      <c r="H971" t="s">
        <v>35</v>
      </c>
      <c r="I971" s="1">
        <v>27358</v>
      </c>
      <c r="J971" t="s">
        <v>1505</v>
      </c>
      <c r="K971" t="s">
        <v>49</v>
      </c>
      <c r="L971">
        <v>1</v>
      </c>
      <c r="M971">
        <v>3</v>
      </c>
      <c r="N971" t="s">
        <v>23</v>
      </c>
      <c r="O971" t="s">
        <v>23</v>
      </c>
      <c r="P971" t="s">
        <v>1273</v>
      </c>
      <c r="Q971" s="9" t="str">
        <f t="shared" si="31"/>
        <v>Valid</v>
      </c>
      <c r="R971">
        <v>9395682865</v>
      </c>
      <c r="S971" s="7" t="str">
        <f t="shared" si="30"/>
        <v>Valid</v>
      </c>
      <c r="T971" t="str">
        <f>IF(Table1[[#This Row],[Age]]&lt;25,"18-24",IF(Table1[[#This Row],[Age]]&lt;30,"25-29",IF(Table1[[#This Row],[Age]]&lt;35,"30-34",IF(Table1[[#This Row],[Age]]&lt;40,"35-39",IF(Table1[[#This Row],[Age]]&lt;50,"40-49","50+")))))</f>
        <v>50+</v>
      </c>
    </row>
    <row r="972" spans="1:20" x14ac:dyDescent="0.35">
      <c r="A972">
        <v>1971</v>
      </c>
      <c r="B972" t="s">
        <v>60</v>
      </c>
      <c r="C972" t="s">
        <v>43</v>
      </c>
      <c r="D972" t="s">
        <v>27</v>
      </c>
      <c r="E972">
        <v>54</v>
      </c>
      <c r="F972" t="s">
        <v>69</v>
      </c>
      <c r="G972" t="s">
        <v>39</v>
      </c>
      <c r="H972" t="s">
        <v>44</v>
      </c>
      <c r="I972" s="1">
        <v>107107</v>
      </c>
      <c r="J972" t="s">
        <v>1274</v>
      </c>
      <c r="K972" t="s">
        <v>21</v>
      </c>
      <c r="L972">
        <v>11</v>
      </c>
      <c r="M972">
        <v>1</v>
      </c>
      <c r="N972" t="s">
        <v>23</v>
      </c>
      <c r="O972" t="s">
        <v>23</v>
      </c>
      <c r="P972" t="s">
        <v>1275</v>
      </c>
      <c r="Q972" s="9" t="str">
        <f t="shared" si="31"/>
        <v>Valid</v>
      </c>
      <c r="R972">
        <v>9050593989</v>
      </c>
      <c r="S972" s="7" t="str">
        <f t="shared" si="30"/>
        <v>Valid</v>
      </c>
      <c r="T972" t="str">
        <f>IF(Table1[[#This Row],[Age]]&lt;25,"18-24",IF(Table1[[#This Row],[Age]]&lt;30,"25-29",IF(Table1[[#This Row],[Age]]&lt;35,"30-34",IF(Table1[[#This Row],[Age]]&lt;40,"35-39",IF(Table1[[#This Row],[Age]]&lt;50,"40-49","50+")))))</f>
        <v>50+</v>
      </c>
    </row>
    <row r="973" spans="1:20" x14ac:dyDescent="0.35">
      <c r="A973">
        <v>1972</v>
      </c>
      <c r="B973" t="s">
        <v>54</v>
      </c>
      <c r="C973" t="s">
        <v>16</v>
      </c>
      <c r="D973" t="s">
        <v>17</v>
      </c>
      <c r="E973">
        <v>41</v>
      </c>
      <c r="F973" t="s">
        <v>62</v>
      </c>
      <c r="G973" t="s">
        <v>77</v>
      </c>
      <c r="H973" t="s">
        <v>44</v>
      </c>
      <c r="I973" s="1">
        <v>81249</v>
      </c>
      <c r="J973" t="s">
        <v>1180</v>
      </c>
      <c r="K973" t="s">
        <v>49</v>
      </c>
      <c r="L973">
        <v>10</v>
      </c>
      <c r="M973">
        <v>3</v>
      </c>
      <c r="N973" t="s">
        <v>23</v>
      </c>
      <c r="O973" t="s">
        <v>23</v>
      </c>
      <c r="P973" t="s">
        <v>1276</v>
      </c>
      <c r="Q973" s="9" t="str">
        <f t="shared" si="31"/>
        <v>Valid</v>
      </c>
      <c r="R973">
        <v>9372651542</v>
      </c>
      <c r="S973" s="7" t="str">
        <f t="shared" si="30"/>
        <v>Valid</v>
      </c>
      <c r="T973" t="str">
        <f>IF(Table1[[#This Row],[Age]]&lt;25,"18-24",IF(Table1[[#This Row],[Age]]&lt;30,"25-29",IF(Table1[[#This Row],[Age]]&lt;35,"30-34",IF(Table1[[#This Row],[Age]]&lt;40,"35-39",IF(Table1[[#This Row],[Age]]&lt;50,"40-49","50+")))))</f>
        <v>40-49</v>
      </c>
    </row>
    <row r="974" spans="1:20" x14ac:dyDescent="0.35">
      <c r="A974">
        <v>1973</v>
      </c>
      <c r="B974" t="s">
        <v>54</v>
      </c>
      <c r="C974" t="s">
        <v>61</v>
      </c>
      <c r="D974" t="s">
        <v>17</v>
      </c>
      <c r="E974">
        <v>48</v>
      </c>
      <c r="F974" t="s">
        <v>69</v>
      </c>
      <c r="G974" t="s">
        <v>34</v>
      </c>
      <c r="H974" t="s">
        <v>20</v>
      </c>
      <c r="I974" s="1">
        <v>116233</v>
      </c>
      <c r="J974" t="s">
        <v>1862</v>
      </c>
      <c r="K974" t="s">
        <v>30</v>
      </c>
      <c r="L974">
        <v>1</v>
      </c>
      <c r="M974">
        <v>3</v>
      </c>
      <c r="N974" t="s">
        <v>23</v>
      </c>
      <c r="O974" t="s">
        <v>23</v>
      </c>
      <c r="P974" t="s">
        <v>1277</v>
      </c>
      <c r="Q974" s="9" t="str">
        <f t="shared" si="31"/>
        <v>Valid</v>
      </c>
      <c r="R974">
        <v>9434654464</v>
      </c>
      <c r="S974" s="7" t="str">
        <f t="shared" si="30"/>
        <v>Valid</v>
      </c>
      <c r="T974" t="str">
        <f>IF(Table1[[#This Row],[Age]]&lt;25,"18-24",IF(Table1[[#This Row],[Age]]&lt;30,"25-29",IF(Table1[[#This Row],[Age]]&lt;35,"30-34",IF(Table1[[#This Row],[Age]]&lt;40,"35-39",IF(Table1[[#This Row],[Age]]&lt;50,"40-49","50+")))))</f>
        <v>40-49</v>
      </c>
    </row>
    <row r="975" spans="1:20" x14ac:dyDescent="0.35">
      <c r="A975">
        <v>1974</v>
      </c>
      <c r="B975" t="s">
        <v>60</v>
      </c>
      <c r="C975" t="s">
        <v>61</v>
      </c>
      <c r="D975" t="s">
        <v>17</v>
      </c>
      <c r="E975">
        <v>34</v>
      </c>
      <c r="F975" t="s">
        <v>62</v>
      </c>
      <c r="G975" t="s">
        <v>55</v>
      </c>
      <c r="H975" t="s">
        <v>56</v>
      </c>
      <c r="I975" s="1">
        <v>45787</v>
      </c>
      <c r="J975" t="s">
        <v>1278</v>
      </c>
      <c r="K975" t="s">
        <v>46</v>
      </c>
      <c r="L975">
        <v>14</v>
      </c>
      <c r="M975">
        <v>1</v>
      </c>
      <c r="N975" t="s">
        <v>23</v>
      </c>
      <c r="O975" t="s">
        <v>23</v>
      </c>
      <c r="P975" t="s">
        <v>1279</v>
      </c>
      <c r="Q975" s="9" t="str">
        <f t="shared" si="31"/>
        <v>Valid</v>
      </c>
      <c r="R975">
        <v>9291433484</v>
      </c>
      <c r="S975" s="7" t="str">
        <f t="shared" si="30"/>
        <v>Valid</v>
      </c>
      <c r="T975" t="str">
        <f>IF(Table1[[#This Row],[Age]]&lt;25,"18-24",IF(Table1[[#This Row],[Age]]&lt;30,"25-29",IF(Table1[[#This Row],[Age]]&lt;35,"30-34",IF(Table1[[#This Row],[Age]]&lt;40,"35-39",IF(Table1[[#This Row],[Age]]&lt;50,"40-49","50+")))))</f>
        <v>30-34</v>
      </c>
    </row>
    <row r="976" spans="1:20" x14ac:dyDescent="0.35">
      <c r="A976">
        <v>1975</v>
      </c>
      <c r="B976" t="s">
        <v>54</v>
      </c>
      <c r="C976" t="s">
        <v>32</v>
      </c>
      <c r="D976" t="s">
        <v>27</v>
      </c>
      <c r="E976">
        <v>35</v>
      </c>
      <c r="F976" t="s">
        <v>33</v>
      </c>
      <c r="G976" t="s">
        <v>55</v>
      </c>
      <c r="H976" t="s">
        <v>20</v>
      </c>
      <c r="I976" s="1">
        <v>64238</v>
      </c>
      <c r="J976" t="s">
        <v>1280</v>
      </c>
      <c r="K976" t="s">
        <v>40</v>
      </c>
      <c r="L976">
        <v>21</v>
      </c>
      <c r="M976">
        <v>2</v>
      </c>
      <c r="N976" t="s">
        <v>22</v>
      </c>
      <c r="O976" t="s">
        <v>22</v>
      </c>
      <c r="P976" s="3" t="s">
        <v>1318</v>
      </c>
      <c r="Q976" s="9" t="str">
        <f t="shared" si="31"/>
        <v>Invalid</v>
      </c>
      <c r="R976">
        <v>9179885255</v>
      </c>
      <c r="S976" s="7" t="str">
        <f t="shared" si="30"/>
        <v>Valid</v>
      </c>
      <c r="T976" t="str">
        <f>IF(Table1[[#This Row],[Age]]&lt;25,"18-24",IF(Table1[[#This Row],[Age]]&lt;30,"25-29",IF(Table1[[#This Row],[Age]]&lt;35,"30-34",IF(Table1[[#This Row],[Age]]&lt;40,"35-39",IF(Table1[[#This Row],[Age]]&lt;50,"40-49","50+")))))</f>
        <v>35-39</v>
      </c>
    </row>
    <row r="977" spans="1:20" x14ac:dyDescent="0.35">
      <c r="A977">
        <v>1976</v>
      </c>
      <c r="B977" t="s">
        <v>25</v>
      </c>
      <c r="C977" t="s">
        <v>43</v>
      </c>
      <c r="D977" t="s">
        <v>17</v>
      </c>
      <c r="E977">
        <v>47</v>
      </c>
      <c r="F977" t="s">
        <v>33</v>
      </c>
      <c r="G977" t="s">
        <v>19</v>
      </c>
      <c r="H977" t="s">
        <v>28</v>
      </c>
      <c r="I977" s="1">
        <v>77228</v>
      </c>
      <c r="J977" t="s">
        <v>1281</v>
      </c>
      <c r="K977" t="s">
        <v>46</v>
      </c>
      <c r="L977">
        <v>15</v>
      </c>
      <c r="M977">
        <v>4</v>
      </c>
      <c r="N977" t="s">
        <v>23</v>
      </c>
      <c r="O977" t="s">
        <v>22</v>
      </c>
      <c r="P977" t="s">
        <v>1282</v>
      </c>
      <c r="Q977" s="9" t="str">
        <f t="shared" si="31"/>
        <v>Valid</v>
      </c>
      <c r="R977">
        <v>9504603063</v>
      </c>
      <c r="S977" s="7" t="str">
        <f t="shared" si="30"/>
        <v>Valid</v>
      </c>
      <c r="T977" t="str">
        <f>IF(Table1[[#This Row],[Age]]&lt;25,"18-24",IF(Table1[[#This Row],[Age]]&lt;30,"25-29",IF(Table1[[#This Row],[Age]]&lt;35,"30-34",IF(Table1[[#This Row],[Age]]&lt;40,"35-39",IF(Table1[[#This Row],[Age]]&lt;50,"40-49","50+")))))</f>
        <v>40-49</v>
      </c>
    </row>
    <row r="978" spans="1:20" x14ac:dyDescent="0.35">
      <c r="A978">
        <v>1977</v>
      </c>
      <c r="B978" t="s">
        <v>37</v>
      </c>
      <c r="C978" t="s">
        <v>26</v>
      </c>
      <c r="D978" t="s">
        <v>17</v>
      </c>
      <c r="E978">
        <v>28</v>
      </c>
      <c r="F978" t="s">
        <v>62</v>
      </c>
      <c r="G978" t="s">
        <v>55</v>
      </c>
      <c r="H978" t="s">
        <v>44</v>
      </c>
      <c r="I978" s="1">
        <v>31091</v>
      </c>
      <c r="J978" t="s">
        <v>1863</v>
      </c>
      <c r="K978" t="s">
        <v>40</v>
      </c>
      <c r="L978">
        <v>13</v>
      </c>
      <c r="M978">
        <v>4</v>
      </c>
      <c r="N978" t="s">
        <v>23</v>
      </c>
      <c r="O978" t="s">
        <v>23</v>
      </c>
      <c r="P978" t="s">
        <v>1283</v>
      </c>
      <c r="Q978" s="9" t="str">
        <f t="shared" si="31"/>
        <v>Valid</v>
      </c>
      <c r="R978">
        <v>9804507548</v>
      </c>
      <c r="S978" s="7" t="str">
        <f t="shared" si="30"/>
        <v>Valid</v>
      </c>
      <c r="T978" t="str">
        <f>IF(Table1[[#This Row],[Age]]&lt;25,"18-24",IF(Table1[[#This Row],[Age]]&lt;30,"25-29",IF(Table1[[#This Row],[Age]]&lt;35,"30-34",IF(Table1[[#This Row],[Age]]&lt;40,"35-39",IF(Table1[[#This Row],[Age]]&lt;50,"40-49","50+")))))</f>
        <v>25-29</v>
      </c>
    </row>
    <row r="979" spans="1:20" x14ac:dyDescent="0.35">
      <c r="A979">
        <v>1978</v>
      </c>
      <c r="B979" t="s">
        <v>37</v>
      </c>
      <c r="C979" t="s">
        <v>43</v>
      </c>
      <c r="D979" t="s">
        <v>27</v>
      </c>
      <c r="E979">
        <v>30</v>
      </c>
      <c r="F979" t="s">
        <v>69</v>
      </c>
      <c r="G979" t="s">
        <v>77</v>
      </c>
      <c r="H979" t="s">
        <v>44</v>
      </c>
      <c r="I979" s="1">
        <v>106339</v>
      </c>
      <c r="J979" t="s">
        <v>1864</v>
      </c>
      <c r="K979" t="s">
        <v>40</v>
      </c>
      <c r="L979">
        <v>22</v>
      </c>
      <c r="M979">
        <v>3</v>
      </c>
      <c r="N979" t="s">
        <v>23</v>
      </c>
      <c r="O979" t="s">
        <v>23</v>
      </c>
      <c r="P979" t="s">
        <v>1284</v>
      </c>
      <c r="Q979" s="9" t="str">
        <f t="shared" si="31"/>
        <v>Valid</v>
      </c>
      <c r="R979">
        <v>9761953311</v>
      </c>
      <c r="S979" s="7" t="str">
        <f t="shared" si="30"/>
        <v>Valid</v>
      </c>
      <c r="T979" t="str">
        <f>IF(Table1[[#This Row],[Age]]&lt;25,"18-24",IF(Table1[[#This Row],[Age]]&lt;30,"25-29",IF(Table1[[#This Row],[Age]]&lt;35,"30-34",IF(Table1[[#This Row],[Age]]&lt;40,"35-39",IF(Table1[[#This Row],[Age]]&lt;50,"40-49","50+")))))</f>
        <v>30-34</v>
      </c>
    </row>
    <row r="980" spans="1:20" x14ac:dyDescent="0.35">
      <c r="A980">
        <v>1979</v>
      </c>
      <c r="B980" t="s">
        <v>64</v>
      </c>
      <c r="C980" t="s">
        <v>61</v>
      </c>
      <c r="D980" t="s">
        <v>27</v>
      </c>
      <c r="E980">
        <v>55</v>
      </c>
      <c r="F980" t="s">
        <v>62</v>
      </c>
      <c r="G980" t="s">
        <v>39</v>
      </c>
      <c r="H980" t="s">
        <v>35</v>
      </c>
      <c r="I980" s="1">
        <v>103642</v>
      </c>
      <c r="J980" t="s">
        <v>1285</v>
      </c>
      <c r="K980" t="s">
        <v>46</v>
      </c>
      <c r="L980">
        <v>15</v>
      </c>
      <c r="M980">
        <v>3</v>
      </c>
      <c r="N980" t="s">
        <v>23</v>
      </c>
      <c r="O980" t="s">
        <v>22</v>
      </c>
      <c r="P980" t="s">
        <v>1286</v>
      </c>
      <c r="Q980" s="9" t="str">
        <f t="shared" si="31"/>
        <v>Valid</v>
      </c>
      <c r="R980">
        <v>9249620312</v>
      </c>
      <c r="S980" s="7" t="str">
        <f t="shared" si="30"/>
        <v>Valid</v>
      </c>
      <c r="T980" t="str">
        <f>IF(Table1[[#This Row],[Age]]&lt;25,"18-24",IF(Table1[[#This Row],[Age]]&lt;30,"25-29",IF(Table1[[#This Row],[Age]]&lt;35,"30-34",IF(Table1[[#This Row],[Age]]&lt;40,"35-39",IF(Table1[[#This Row],[Age]]&lt;50,"40-49","50+")))))</f>
        <v>50+</v>
      </c>
    </row>
    <row r="981" spans="1:20" x14ac:dyDescent="0.35">
      <c r="A981">
        <v>1980</v>
      </c>
      <c r="B981" t="s">
        <v>60</v>
      </c>
      <c r="C981" t="s">
        <v>16</v>
      </c>
      <c r="D981" t="s">
        <v>27</v>
      </c>
      <c r="E981">
        <v>43</v>
      </c>
      <c r="F981" t="s">
        <v>62</v>
      </c>
      <c r="G981" t="s">
        <v>77</v>
      </c>
      <c r="H981" t="s">
        <v>20</v>
      </c>
      <c r="I981" s="1">
        <v>62324</v>
      </c>
      <c r="J981" t="s">
        <v>1287</v>
      </c>
      <c r="K981" t="s">
        <v>21</v>
      </c>
      <c r="L981">
        <v>4</v>
      </c>
      <c r="M981">
        <v>4</v>
      </c>
      <c r="N981" t="s">
        <v>23</v>
      </c>
      <c r="O981" t="s">
        <v>23</v>
      </c>
      <c r="P981" t="s">
        <v>1288</v>
      </c>
      <c r="Q981" s="9" t="str">
        <f t="shared" si="31"/>
        <v>Valid</v>
      </c>
      <c r="R981">
        <v>9526433038</v>
      </c>
      <c r="S981" s="7" t="str">
        <f t="shared" si="30"/>
        <v>Valid</v>
      </c>
      <c r="T981" t="str">
        <f>IF(Table1[[#This Row],[Age]]&lt;25,"18-24",IF(Table1[[#This Row],[Age]]&lt;30,"25-29",IF(Table1[[#This Row],[Age]]&lt;35,"30-34",IF(Table1[[#This Row],[Age]]&lt;40,"35-39",IF(Table1[[#This Row],[Age]]&lt;50,"40-49","50+")))))</f>
        <v>40-49</v>
      </c>
    </row>
    <row r="982" spans="1:20" x14ac:dyDescent="0.35">
      <c r="A982">
        <v>1981</v>
      </c>
      <c r="B982" t="s">
        <v>67</v>
      </c>
      <c r="C982" t="s">
        <v>26</v>
      </c>
      <c r="D982" t="s">
        <v>27</v>
      </c>
      <c r="E982">
        <v>58</v>
      </c>
      <c r="F982" t="s">
        <v>33</v>
      </c>
      <c r="G982" t="s">
        <v>34</v>
      </c>
      <c r="H982" t="s">
        <v>35</v>
      </c>
      <c r="I982" s="1">
        <v>111108</v>
      </c>
      <c r="J982" t="s">
        <v>1289</v>
      </c>
      <c r="K982" t="s">
        <v>49</v>
      </c>
      <c r="L982">
        <v>14</v>
      </c>
      <c r="M982">
        <v>5</v>
      </c>
      <c r="N982" t="s">
        <v>23</v>
      </c>
      <c r="O982" t="s">
        <v>22</v>
      </c>
      <c r="P982" t="s">
        <v>1290</v>
      </c>
      <c r="Q982" s="9" t="str">
        <f t="shared" si="31"/>
        <v>Valid</v>
      </c>
      <c r="R982">
        <v>9547804176</v>
      </c>
      <c r="S982" s="7" t="str">
        <f t="shared" si="30"/>
        <v>Valid</v>
      </c>
      <c r="T982" t="str">
        <f>IF(Table1[[#This Row],[Age]]&lt;25,"18-24",IF(Table1[[#This Row],[Age]]&lt;30,"25-29",IF(Table1[[#This Row],[Age]]&lt;35,"30-34",IF(Table1[[#This Row],[Age]]&lt;40,"35-39",IF(Table1[[#This Row],[Age]]&lt;50,"40-49","50+")))))</f>
        <v>50+</v>
      </c>
    </row>
    <row r="983" spans="1:20" x14ac:dyDescent="0.35">
      <c r="A983">
        <v>1982</v>
      </c>
      <c r="B983" t="s">
        <v>82</v>
      </c>
      <c r="C983" t="s">
        <v>43</v>
      </c>
      <c r="D983" t="s">
        <v>17</v>
      </c>
      <c r="E983">
        <v>38</v>
      </c>
      <c r="F983" t="s">
        <v>69</v>
      </c>
      <c r="G983" t="s">
        <v>55</v>
      </c>
      <c r="H983" t="s">
        <v>35</v>
      </c>
      <c r="I983" s="1">
        <v>36241</v>
      </c>
      <c r="J983" t="s">
        <v>1291</v>
      </c>
      <c r="K983" t="s">
        <v>21</v>
      </c>
      <c r="L983">
        <v>6</v>
      </c>
      <c r="M983">
        <v>4</v>
      </c>
      <c r="N983" t="s">
        <v>23</v>
      </c>
      <c r="O983" t="s">
        <v>23</v>
      </c>
      <c r="P983" t="s">
        <v>1292</v>
      </c>
      <c r="Q983" s="9" t="str">
        <f t="shared" si="31"/>
        <v>Valid</v>
      </c>
      <c r="R983">
        <v>9732486587</v>
      </c>
      <c r="S983" s="7" t="str">
        <f t="shared" si="30"/>
        <v>Valid</v>
      </c>
      <c r="T983" t="str">
        <f>IF(Table1[[#This Row],[Age]]&lt;25,"18-24",IF(Table1[[#This Row],[Age]]&lt;30,"25-29",IF(Table1[[#This Row],[Age]]&lt;35,"30-34",IF(Table1[[#This Row],[Age]]&lt;40,"35-39",IF(Table1[[#This Row],[Age]]&lt;50,"40-49","50+")))))</f>
        <v>35-39</v>
      </c>
    </row>
    <row r="984" spans="1:20" x14ac:dyDescent="0.35">
      <c r="A984">
        <v>1983</v>
      </c>
      <c r="B984" t="s">
        <v>58</v>
      </c>
      <c r="C984" t="s">
        <v>43</v>
      </c>
      <c r="D984" t="s">
        <v>27</v>
      </c>
      <c r="E984">
        <v>23</v>
      </c>
      <c r="F984" t="s">
        <v>18</v>
      </c>
      <c r="G984" t="s">
        <v>19</v>
      </c>
      <c r="H984" t="s">
        <v>20</v>
      </c>
      <c r="I984" s="1">
        <v>66207</v>
      </c>
      <c r="J984" t="s">
        <v>1865</v>
      </c>
      <c r="K984" t="s">
        <v>46</v>
      </c>
      <c r="L984">
        <v>22</v>
      </c>
      <c r="M984">
        <v>1</v>
      </c>
      <c r="N984" t="s">
        <v>22</v>
      </c>
      <c r="O984" t="s">
        <v>23</v>
      </c>
      <c r="P984" t="s">
        <v>1293</v>
      </c>
      <c r="Q984" s="9" t="str">
        <f t="shared" si="31"/>
        <v>Valid</v>
      </c>
      <c r="R984">
        <v>9869351671</v>
      </c>
      <c r="S984" s="7" t="str">
        <f t="shared" si="30"/>
        <v>Valid</v>
      </c>
      <c r="T984" t="str">
        <f>IF(Table1[[#This Row],[Age]]&lt;25,"18-24",IF(Table1[[#This Row],[Age]]&lt;30,"25-29",IF(Table1[[#This Row],[Age]]&lt;35,"30-34",IF(Table1[[#This Row],[Age]]&lt;40,"35-39",IF(Table1[[#This Row],[Age]]&lt;50,"40-49","50+")))))</f>
        <v>18-24</v>
      </c>
    </row>
    <row r="985" spans="1:20" x14ac:dyDescent="0.35">
      <c r="A985">
        <v>1984</v>
      </c>
      <c r="B985" t="s">
        <v>67</v>
      </c>
      <c r="C985" t="s">
        <v>16</v>
      </c>
      <c r="D985" t="s">
        <v>27</v>
      </c>
      <c r="E985">
        <v>40</v>
      </c>
      <c r="F985" t="s">
        <v>18</v>
      </c>
      <c r="G985" t="s">
        <v>19</v>
      </c>
      <c r="H985" t="s">
        <v>28</v>
      </c>
      <c r="I985" s="1">
        <v>85150</v>
      </c>
      <c r="J985" t="s">
        <v>1866</v>
      </c>
      <c r="K985" t="s">
        <v>49</v>
      </c>
      <c r="L985">
        <v>6</v>
      </c>
      <c r="M985">
        <v>4</v>
      </c>
      <c r="N985" t="s">
        <v>23</v>
      </c>
      <c r="O985" t="s">
        <v>22</v>
      </c>
      <c r="P985" t="s">
        <v>1294</v>
      </c>
      <c r="Q985" s="9" t="str">
        <f t="shared" si="31"/>
        <v>Valid</v>
      </c>
      <c r="R985">
        <v>9684390266</v>
      </c>
      <c r="S985" s="7" t="str">
        <f t="shared" si="30"/>
        <v>Valid</v>
      </c>
      <c r="T985" t="str">
        <f>IF(Table1[[#This Row],[Age]]&lt;25,"18-24",IF(Table1[[#This Row],[Age]]&lt;30,"25-29",IF(Table1[[#This Row],[Age]]&lt;35,"30-34",IF(Table1[[#This Row],[Age]]&lt;40,"35-39",IF(Table1[[#This Row],[Age]]&lt;50,"40-49","50+")))))</f>
        <v>40-49</v>
      </c>
    </row>
    <row r="986" spans="1:20" x14ac:dyDescent="0.35">
      <c r="A986">
        <v>1985</v>
      </c>
      <c r="B986" t="s">
        <v>25</v>
      </c>
      <c r="C986" t="s">
        <v>26</v>
      </c>
      <c r="D986" t="s">
        <v>17</v>
      </c>
      <c r="E986">
        <v>56</v>
      </c>
      <c r="F986" t="s">
        <v>33</v>
      </c>
      <c r="G986" t="s">
        <v>34</v>
      </c>
      <c r="H986" t="s">
        <v>20</v>
      </c>
      <c r="I986" s="1">
        <v>43279</v>
      </c>
      <c r="J986" t="s">
        <v>1509</v>
      </c>
      <c r="K986" t="s">
        <v>49</v>
      </c>
      <c r="L986">
        <v>5</v>
      </c>
      <c r="M986">
        <v>4</v>
      </c>
      <c r="N986" t="s">
        <v>22</v>
      </c>
      <c r="O986" t="s">
        <v>22</v>
      </c>
      <c r="P986" t="s">
        <v>1295</v>
      </c>
      <c r="Q986" s="9" t="str">
        <f t="shared" si="31"/>
        <v>Valid</v>
      </c>
      <c r="R986">
        <v>9143558446</v>
      </c>
      <c r="S986" s="7" t="str">
        <f t="shared" si="30"/>
        <v>Valid</v>
      </c>
      <c r="T986" t="str">
        <f>IF(Table1[[#This Row],[Age]]&lt;25,"18-24",IF(Table1[[#This Row],[Age]]&lt;30,"25-29",IF(Table1[[#This Row],[Age]]&lt;35,"30-34",IF(Table1[[#This Row],[Age]]&lt;40,"35-39",IF(Table1[[#This Row],[Age]]&lt;50,"40-49","50+")))))</f>
        <v>50+</v>
      </c>
    </row>
    <row r="987" spans="1:20" x14ac:dyDescent="0.35">
      <c r="A987">
        <v>1986</v>
      </c>
      <c r="B987" t="s">
        <v>42</v>
      </c>
      <c r="C987" t="s">
        <v>26</v>
      </c>
      <c r="D987" t="s">
        <v>27</v>
      </c>
      <c r="E987">
        <v>57</v>
      </c>
      <c r="F987" t="s">
        <v>18</v>
      </c>
      <c r="G987" t="s">
        <v>77</v>
      </c>
      <c r="H987" t="s">
        <v>28</v>
      </c>
      <c r="I987" s="1">
        <v>52556</v>
      </c>
      <c r="J987" t="s">
        <v>1867</v>
      </c>
      <c r="K987" t="s">
        <v>40</v>
      </c>
      <c r="L987">
        <v>22</v>
      </c>
      <c r="M987">
        <v>4</v>
      </c>
      <c r="N987" t="s">
        <v>23</v>
      </c>
      <c r="O987" t="s">
        <v>22</v>
      </c>
      <c r="P987" t="s">
        <v>1296</v>
      </c>
      <c r="Q987" s="9" t="str">
        <f t="shared" si="31"/>
        <v>Valid</v>
      </c>
      <c r="R987">
        <v>9826613955</v>
      </c>
      <c r="S987" s="7" t="str">
        <f t="shared" si="30"/>
        <v>Valid</v>
      </c>
      <c r="T987" t="str">
        <f>IF(Table1[[#This Row],[Age]]&lt;25,"18-24",IF(Table1[[#This Row],[Age]]&lt;30,"25-29",IF(Table1[[#This Row],[Age]]&lt;35,"30-34",IF(Table1[[#This Row],[Age]]&lt;40,"35-39",IF(Table1[[#This Row],[Age]]&lt;50,"40-49","50+")))))</f>
        <v>50+</v>
      </c>
    </row>
    <row r="988" spans="1:20" x14ac:dyDescent="0.35">
      <c r="A988">
        <v>1987</v>
      </c>
      <c r="B988" t="s">
        <v>58</v>
      </c>
      <c r="C988" t="s">
        <v>43</v>
      </c>
      <c r="D988" t="s">
        <v>17</v>
      </c>
      <c r="E988">
        <v>37</v>
      </c>
      <c r="F988" t="s">
        <v>62</v>
      </c>
      <c r="G988" t="s">
        <v>39</v>
      </c>
      <c r="H988" t="s">
        <v>56</v>
      </c>
      <c r="I988" s="1">
        <v>87046</v>
      </c>
      <c r="J988" t="s">
        <v>1868</v>
      </c>
      <c r="K988" t="s">
        <v>49</v>
      </c>
      <c r="L988">
        <v>11</v>
      </c>
      <c r="M988">
        <v>3</v>
      </c>
      <c r="N988" t="s">
        <v>23</v>
      </c>
      <c r="O988" t="s">
        <v>23</v>
      </c>
      <c r="P988" t="s">
        <v>1297</v>
      </c>
      <c r="Q988" s="9" t="str">
        <f t="shared" si="31"/>
        <v>Valid</v>
      </c>
      <c r="R988">
        <v>9934063117</v>
      </c>
      <c r="S988" s="7" t="str">
        <f t="shared" si="30"/>
        <v>Valid</v>
      </c>
      <c r="T988" t="str">
        <f>IF(Table1[[#This Row],[Age]]&lt;25,"18-24",IF(Table1[[#This Row],[Age]]&lt;30,"25-29",IF(Table1[[#This Row],[Age]]&lt;35,"30-34",IF(Table1[[#This Row],[Age]]&lt;40,"35-39",IF(Table1[[#This Row],[Age]]&lt;50,"40-49","50+")))))</f>
        <v>35-39</v>
      </c>
    </row>
    <row r="989" spans="1:20" x14ac:dyDescent="0.35">
      <c r="A989">
        <v>1988</v>
      </c>
      <c r="B989" t="s">
        <v>54</v>
      </c>
      <c r="C989" t="s">
        <v>61</v>
      </c>
      <c r="D989" t="s">
        <v>17</v>
      </c>
      <c r="E989">
        <v>66</v>
      </c>
      <c r="F989" t="s">
        <v>33</v>
      </c>
      <c r="G989" t="s">
        <v>55</v>
      </c>
      <c r="H989" t="s">
        <v>20</v>
      </c>
      <c r="I989" s="1">
        <v>29028</v>
      </c>
      <c r="J989" t="s">
        <v>1298</v>
      </c>
      <c r="K989" t="s">
        <v>30</v>
      </c>
      <c r="L989">
        <v>21</v>
      </c>
      <c r="M989">
        <v>5</v>
      </c>
      <c r="N989" t="s">
        <v>22</v>
      </c>
      <c r="O989" t="s">
        <v>22</v>
      </c>
      <c r="P989" t="s">
        <v>1299</v>
      </c>
      <c r="Q989" s="9" t="str">
        <f t="shared" si="31"/>
        <v>Valid</v>
      </c>
      <c r="R989">
        <v>92397159</v>
      </c>
      <c r="S989" s="7" t="str">
        <f t="shared" si="30"/>
        <v>Invalid</v>
      </c>
      <c r="T989" t="str">
        <f>IF(Table1[[#This Row],[Age]]&lt;25,"18-24",IF(Table1[[#This Row],[Age]]&lt;30,"25-29",IF(Table1[[#This Row],[Age]]&lt;35,"30-34",IF(Table1[[#This Row],[Age]]&lt;40,"35-39",IF(Table1[[#This Row],[Age]]&lt;50,"40-49","50+")))))</f>
        <v>50+</v>
      </c>
    </row>
    <row r="990" spans="1:20" x14ac:dyDescent="0.35">
      <c r="A990">
        <v>1989</v>
      </c>
      <c r="B990" t="s">
        <v>42</v>
      </c>
      <c r="C990" t="s">
        <v>26</v>
      </c>
      <c r="D990" t="s">
        <v>17</v>
      </c>
      <c r="E990">
        <v>45</v>
      </c>
      <c r="F990" t="s">
        <v>18</v>
      </c>
      <c r="G990" t="s">
        <v>39</v>
      </c>
      <c r="H990" t="s">
        <v>35</v>
      </c>
      <c r="I990" s="1">
        <v>119947</v>
      </c>
      <c r="J990" t="s">
        <v>1300</v>
      </c>
      <c r="K990" t="s">
        <v>30</v>
      </c>
      <c r="L990">
        <v>24</v>
      </c>
      <c r="M990">
        <v>4</v>
      </c>
      <c r="N990" t="s">
        <v>23</v>
      </c>
      <c r="O990" t="s">
        <v>23</v>
      </c>
      <c r="P990" t="s">
        <v>1301</v>
      </c>
      <c r="Q990" s="9" t="str">
        <f t="shared" si="31"/>
        <v>Valid</v>
      </c>
      <c r="R990">
        <v>9731721586</v>
      </c>
      <c r="S990" s="7" t="str">
        <f t="shared" si="30"/>
        <v>Valid</v>
      </c>
      <c r="T990" t="str">
        <f>IF(Table1[[#This Row],[Age]]&lt;25,"18-24",IF(Table1[[#This Row],[Age]]&lt;30,"25-29",IF(Table1[[#This Row],[Age]]&lt;35,"30-34",IF(Table1[[#This Row],[Age]]&lt;40,"35-39",IF(Table1[[#This Row],[Age]]&lt;50,"40-49","50+")))))</f>
        <v>40-49</v>
      </c>
    </row>
    <row r="991" spans="1:20" x14ac:dyDescent="0.35">
      <c r="A991">
        <v>1990</v>
      </c>
      <c r="B991" t="s">
        <v>15</v>
      </c>
      <c r="C991" t="s">
        <v>16</v>
      </c>
      <c r="D991" t="s">
        <v>17</v>
      </c>
      <c r="E991">
        <v>50</v>
      </c>
      <c r="F991" t="s">
        <v>33</v>
      </c>
      <c r="G991" t="s">
        <v>55</v>
      </c>
      <c r="H991" t="s">
        <v>56</v>
      </c>
      <c r="I991" s="1">
        <v>44459</v>
      </c>
      <c r="J991" t="s">
        <v>1869</v>
      </c>
      <c r="K991" t="s">
        <v>30</v>
      </c>
      <c r="L991">
        <v>6</v>
      </c>
      <c r="M991">
        <v>5</v>
      </c>
      <c r="N991" t="s">
        <v>22</v>
      </c>
      <c r="O991" t="s">
        <v>23</v>
      </c>
      <c r="P991" t="s">
        <v>1302</v>
      </c>
      <c r="Q991" s="9" t="str">
        <f t="shared" si="31"/>
        <v>Valid</v>
      </c>
      <c r="R991">
        <v>98769687</v>
      </c>
      <c r="S991" s="7" t="str">
        <f t="shared" si="30"/>
        <v>Invalid</v>
      </c>
      <c r="T991" t="str">
        <f>IF(Table1[[#This Row],[Age]]&lt;25,"18-24",IF(Table1[[#This Row],[Age]]&lt;30,"25-29",IF(Table1[[#This Row],[Age]]&lt;35,"30-34",IF(Table1[[#This Row],[Age]]&lt;40,"35-39",IF(Table1[[#This Row],[Age]]&lt;50,"40-49","50+")))))</f>
        <v>50+</v>
      </c>
    </row>
    <row r="992" spans="1:20" x14ac:dyDescent="0.35">
      <c r="A992">
        <v>1991</v>
      </c>
      <c r="B992" t="s">
        <v>67</v>
      </c>
      <c r="C992" t="s">
        <v>32</v>
      </c>
      <c r="D992" t="s">
        <v>27</v>
      </c>
      <c r="E992">
        <v>32</v>
      </c>
      <c r="F992" t="s">
        <v>18</v>
      </c>
      <c r="G992" t="s">
        <v>77</v>
      </c>
      <c r="H992" t="s">
        <v>44</v>
      </c>
      <c r="I992" s="1">
        <v>30840</v>
      </c>
      <c r="J992" t="s">
        <v>1303</v>
      </c>
      <c r="K992" t="s">
        <v>30</v>
      </c>
      <c r="L992">
        <v>20</v>
      </c>
      <c r="M992">
        <v>2</v>
      </c>
      <c r="N992" t="s">
        <v>22</v>
      </c>
      <c r="O992" t="s">
        <v>23</v>
      </c>
      <c r="P992" t="s">
        <v>1304</v>
      </c>
      <c r="Q992" s="9" t="str">
        <f t="shared" si="31"/>
        <v>Valid</v>
      </c>
      <c r="R992">
        <v>9309487443</v>
      </c>
      <c r="S992" s="7" t="str">
        <f t="shared" si="30"/>
        <v>Valid</v>
      </c>
      <c r="T992" t="str">
        <f>IF(Table1[[#This Row],[Age]]&lt;25,"18-24",IF(Table1[[#This Row],[Age]]&lt;30,"25-29",IF(Table1[[#This Row],[Age]]&lt;35,"30-34",IF(Table1[[#This Row],[Age]]&lt;40,"35-39",IF(Table1[[#This Row],[Age]]&lt;50,"40-49","50+")))))</f>
        <v>30-34</v>
      </c>
    </row>
    <row r="993" spans="1:20" x14ac:dyDescent="0.35">
      <c r="A993">
        <v>1992</v>
      </c>
      <c r="B993" t="s">
        <v>67</v>
      </c>
      <c r="C993" t="s">
        <v>16</v>
      </c>
      <c r="D993" t="s">
        <v>17</v>
      </c>
      <c r="E993">
        <v>37</v>
      </c>
      <c r="F993" t="s">
        <v>38</v>
      </c>
      <c r="G993" t="s">
        <v>34</v>
      </c>
      <c r="H993" t="s">
        <v>56</v>
      </c>
      <c r="I993" s="1">
        <v>107975</v>
      </c>
      <c r="J993" t="s">
        <v>1870</v>
      </c>
      <c r="K993" t="s">
        <v>40</v>
      </c>
      <c r="L993">
        <v>5</v>
      </c>
      <c r="M993">
        <v>3</v>
      </c>
      <c r="N993" t="s">
        <v>22</v>
      </c>
      <c r="O993" t="s">
        <v>23</v>
      </c>
      <c r="P993" s="3" t="s">
        <v>1318</v>
      </c>
      <c r="Q993" s="9" t="str">
        <f t="shared" si="31"/>
        <v>Invalid</v>
      </c>
      <c r="R993">
        <v>9995663299</v>
      </c>
      <c r="S993" s="7" t="str">
        <f t="shared" si="30"/>
        <v>Valid</v>
      </c>
      <c r="T993" t="str">
        <f>IF(Table1[[#This Row],[Age]]&lt;25,"18-24",IF(Table1[[#This Row],[Age]]&lt;30,"25-29",IF(Table1[[#This Row],[Age]]&lt;35,"30-34",IF(Table1[[#This Row],[Age]]&lt;40,"35-39",IF(Table1[[#This Row],[Age]]&lt;50,"40-49","50+")))))</f>
        <v>35-39</v>
      </c>
    </row>
    <row r="994" spans="1:20" x14ac:dyDescent="0.35">
      <c r="A994">
        <v>1993</v>
      </c>
      <c r="B994" t="s">
        <v>37</v>
      </c>
      <c r="C994" t="s">
        <v>26</v>
      </c>
      <c r="D994" t="s">
        <v>27</v>
      </c>
      <c r="E994">
        <v>41</v>
      </c>
      <c r="F994" t="s">
        <v>33</v>
      </c>
      <c r="G994" t="s">
        <v>34</v>
      </c>
      <c r="H994" t="s">
        <v>35</v>
      </c>
      <c r="I994" s="1">
        <v>91451</v>
      </c>
      <c r="J994" t="s">
        <v>1305</v>
      </c>
      <c r="K994" t="s">
        <v>30</v>
      </c>
      <c r="L994">
        <v>22</v>
      </c>
      <c r="M994">
        <v>1</v>
      </c>
      <c r="N994" t="s">
        <v>23</v>
      </c>
      <c r="O994" t="s">
        <v>22</v>
      </c>
      <c r="P994" t="s">
        <v>1306</v>
      </c>
      <c r="Q994" s="9" t="str">
        <f t="shared" si="31"/>
        <v>Invalid</v>
      </c>
      <c r="R994">
        <v>9155590963</v>
      </c>
      <c r="S994" s="7" t="str">
        <f t="shared" si="30"/>
        <v>Valid</v>
      </c>
      <c r="T994" t="str">
        <f>IF(Table1[[#This Row],[Age]]&lt;25,"18-24",IF(Table1[[#This Row],[Age]]&lt;30,"25-29",IF(Table1[[#This Row],[Age]]&lt;35,"30-34",IF(Table1[[#This Row],[Age]]&lt;40,"35-39",IF(Table1[[#This Row],[Age]]&lt;50,"40-49","50+")))))</f>
        <v>40-49</v>
      </c>
    </row>
    <row r="995" spans="1:20" x14ac:dyDescent="0.35">
      <c r="A995">
        <v>1994</v>
      </c>
      <c r="B995" t="s">
        <v>82</v>
      </c>
      <c r="C995" t="s">
        <v>32</v>
      </c>
      <c r="D995" t="s">
        <v>17</v>
      </c>
      <c r="E995">
        <v>30</v>
      </c>
      <c r="F995" t="s">
        <v>33</v>
      </c>
      <c r="G995" t="s">
        <v>39</v>
      </c>
      <c r="H995" t="s">
        <v>56</v>
      </c>
      <c r="I995" s="1">
        <v>53797</v>
      </c>
      <c r="J995" t="s">
        <v>172</v>
      </c>
      <c r="K995" t="s">
        <v>21</v>
      </c>
      <c r="L995">
        <v>5</v>
      </c>
      <c r="M995">
        <v>1</v>
      </c>
      <c r="N995" t="s">
        <v>23</v>
      </c>
      <c r="O995" t="s">
        <v>23</v>
      </c>
      <c r="P995" t="s">
        <v>1307</v>
      </c>
      <c r="Q995" s="9" t="str">
        <f t="shared" si="31"/>
        <v>Valid</v>
      </c>
      <c r="R995">
        <v>9757626725</v>
      </c>
      <c r="S995" s="7" t="str">
        <f t="shared" si="30"/>
        <v>Valid</v>
      </c>
      <c r="T995" t="str">
        <f>IF(Table1[[#This Row],[Age]]&lt;25,"18-24",IF(Table1[[#This Row],[Age]]&lt;30,"25-29",IF(Table1[[#This Row],[Age]]&lt;35,"30-34",IF(Table1[[#This Row],[Age]]&lt;40,"35-39",IF(Table1[[#This Row],[Age]]&lt;50,"40-49","50+")))))</f>
        <v>30-34</v>
      </c>
    </row>
    <row r="996" spans="1:20" x14ac:dyDescent="0.35">
      <c r="A996">
        <v>1995</v>
      </c>
      <c r="B996" t="s">
        <v>25</v>
      </c>
      <c r="C996" t="s">
        <v>32</v>
      </c>
      <c r="D996" t="s">
        <v>27</v>
      </c>
      <c r="E996">
        <v>24</v>
      </c>
      <c r="F996" t="s">
        <v>38</v>
      </c>
      <c r="G996" t="s">
        <v>39</v>
      </c>
      <c r="H996" t="s">
        <v>56</v>
      </c>
      <c r="I996" s="1">
        <v>104807</v>
      </c>
      <c r="J996" t="s">
        <v>189</v>
      </c>
      <c r="K996" t="s">
        <v>40</v>
      </c>
      <c r="L996">
        <v>20</v>
      </c>
      <c r="M996">
        <v>3</v>
      </c>
      <c r="N996" t="s">
        <v>22</v>
      </c>
      <c r="O996" t="s">
        <v>22</v>
      </c>
      <c r="P996" t="s">
        <v>1308</v>
      </c>
      <c r="Q996" s="9" t="str">
        <f t="shared" si="31"/>
        <v>Valid</v>
      </c>
      <c r="R996">
        <v>9260738318</v>
      </c>
      <c r="S996" s="7" t="str">
        <f t="shared" si="30"/>
        <v>Valid</v>
      </c>
      <c r="T996" t="str">
        <f>IF(Table1[[#This Row],[Age]]&lt;25,"18-24",IF(Table1[[#This Row],[Age]]&lt;30,"25-29",IF(Table1[[#This Row],[Age]]&lt;35,"30-34",IF(Table1[[#This Row],[Age]]&lt;40,"35-39",IF(Table1[[#This Row],[Age]]&lt;50,"40-49","50+")))))</f>
        <v>18-24</v>
      </c>
    </row>
    <row r="997" spans="1:20" x14ac:dyDescent="0.35">
      <c r="A997">
        <v>1996</v>
      </c>
      <c r="B997" t="s">
        <v>64</v>
      </c>
      <c r="C997" t="s">
        <v>16</v>
      </c>
      <c r="D997" t="s">
        <v>27</v>
      </c>
      <c r="E997">
        <v>48</v>
      </c>
      <c r="F997" t="s">
        <v>38</v>
      </c>
      <c r="G997" t="s">
        <v>77</v>
      </c>
      <c r="H997" t="s">
        <v>20</v>
      </c>
      <c r="I997" s="1">
        <v>53433</v>
      </c>
      <c r="J997" t="s">
        <v>1871</v>
      </c>
      <c r="K997" t="s">
        <v>30</v>
      </c>
      <c r="L997">
        <v>4</v>
      </c>
      <c r="M997">
        <v>2</v>
      </c>
      <c r="N997" t="s">
        <v>23</v>
      </c>
      <c r="O997" t="s">
        <v>22</v>
      </c>
      <c r="P997" t="s">
        <v>1309</v>
      </c>
      <c r="Q997" s="9" t="str">
        <f t="shared" si="31"/>
        <v>Valid</v>
      </c>
      <c r="R997">
        <v>9410331553</v>
      </c>
      <c r="S997" s="7" t="str">
        <f t="shared" si="30"/>
        <v>Valid</v>
      </c>
      <c r="T997" t="str">
        <f>IF(Table1[[#This Row],[Age]]&lt;25,"18-24",IF(Table1[[#This Row],[Age]]&lt;30,"25-29",IF(Table1[[#This Row],[Age]]&lt;35,"30-34",IF(Table1[[#This Row],[Age]]&lt;40,"35-39",IF(Table1[[#This Row],[Age]]&lt;50,"40-49","50+")))))</f>
        <v>40-49</v>
      </c>
    </row>
    <row r="998" spans="1:20" x14ac:dyDescent="0.35">
      <c r="A998">
        <v>1997</v>
      </c>
      <c r="B998" t="s">
        <v>15</v>
      </c>
      <c r="C998" t="s">
        <v>43</v>
      </c>
      <c r="D998" t="s">
        <v>17</v>
      </c>
      <c r="E998">
        <v>33</v>
      </c>
      <c r="F998" t="s">
        <v>38</v>
      </c>
      <c r="G998" t="s">
        <v>19</v>
      </c>
      <c r="H998" t="s">
        <v>20</v>
      </c>
      <c r="I998" s="2" t="s">
        <v>1316</v>
      </c>
      <c r="J998" t="s">
        <v>1872</v>
      </c>
      <c r="K998" t="s">
        <v>21</v>
      </c>
      <c r="L998">
        <v>16</v>
      </c>
      <c r="M998">
        <v>3</v>
      </c>
      <c r="N998" t="s">
        <v>23</v>
      </c>
      <c r="O998" t="s">
        <v>22</v>
      </c>
      <c r="P998" t="s">
        <v>1310</v>
      </c>
      <c r="Q998" s="9" t="str">
        <f t="shared" si="31"/>
        <v>Valid</v>
      </c>
      <c r="R998">
        <v>9053242653</v>
      </c>
      <c r="S998" s="7" t="str">
        <f t="shared" si="30"/>
        <v>Valid</v>
      </c>
      <c r="T998" t="str">
        <f>IF(Table1[[#This Row],[Age]]&lt;25,"18-24",IF(Table1[[#This Row],[Age]]&lt;30,"25-29",IF(Table1[[#This Row],[Age]]&lt;35,"30-34",IF(Table1[[#This Row],[Age]]&lt;40,"35-39",IF(Table1[[#This Row],[Age]]&lt;50,"40-49","50+")))))</f>
        <v>30-34</v>
      </c>
    </row>
    <row r="999" spans="1:20" x14ac:dyDescent="0.35">
      <c r="A999">
        <v>1998</v>
      </c>
      <c r="B999" t="s">
        <v>58</v>
      </c>
      <c r="C999" t="s">
        <v>61</v>
      </c>
      <c r="D999" t="s">
        <v>27</v>
      </c>
      <c r="E999">
        <v>53</v>
      </c>
      <c r="F999" t="s">
        <v>33</v>
      </c>
      <c r="G999" t="s">
        <v>77</v>
      </c>
      <c r="H999" t="s">
        <v>44</v>
      </c>
      <c r="I999" s="1">
        <v>29035</v>
      </c>
      <c r="J999" t="s">
        <v>1873</v>
      </c>
      <c r="K999" t="s">
        <v>49</v>
      </c>
      <c r="L999">
        <v>13</v>
      </c>
      <c r="M999">
        <v>4</v>
      </c>
      <c r="N999" t="s">
        <v>23</v>
      </c>
      <c r="O999" t="s">
        <v>23</v>
      </c>
      <c r="P999" t="s">
        <v>1311</v>
      </c>
      <c r="Q999" s="9" t="str">
        <f t="shared" si="31"/>
        <v>Valid</v>
      </c>
      <c r="R999">
        <v>94224356</v>
      </c>
      <c r="S999" s="7" t="str">
        <f t="shared" si="30"/>
        <v>Invalid</v>
      </c>
      <c r="T999" t="str">
        <f>IF(Table1[[#This Row],[Age]]&lt;25,"18-24",IF(Table1[[#This Row],[Age]]&lt;30,"25-29",IF(Table1[[#This Row],[Age]]&lt;35,"30-34",IF(Table1[[#This Row],[Age]]&lt;40,"35-39",IF(Table1[[#This Row],[Age]]&lt;50,"40-49","50+")))))</f>
        <v>50+</v>
      </c>
    </row>
    <row r="1000" spans="1:20" x14ac:dyDescent="0.35">
      <c r="A1000">
        <v>1999</v>
      </c>
      <c r="B1000" t="s">
        <v>37</v>
      </c>
      <c r="C1000" t="s">
        <v>61</v>
      </c>
      <c r="D1000" t="s">
        <v>17</v>
      </c>
      <c r="E1000">
        <v>30</v>
      </c>
      <c r="F1000" t="s">
        <v>62</v>
      </c>
      <c r="G1000" t="s">
        <v>55</v>
      </c>
      <c r="H1000" t="s">
        <v>44</v>
      </c>
      <c r="I1000" s="1">
        <v>91074</v>
      </c>
      <c r="J1000" t="s">
        <v>1312</v>
      </c>
      <c r="K1000" t="s">
        <v>30</v>
      </c>
      <c r="L1000">
        <v>10</v>
      </c>
      <c r="M1000">
        <v>1</v>
      </c>
      <c r="N1000" t="s">
        <v>23</v>
      </c>
      <c r="O1000" t="s">
        <v>23</v>
      </c>
      <c r="P1000" t="s">
        <v>1313</v>
      </c>
      <c r="Q1000" s="9" t="str">
        <f t="shared" si="31"/>
        <v>Valid</v>
      </c>
      <c r="R1000">
        <v>9481060234</v>
      </c>
      <c r="S1000" s="7" t="str">
        <f t="shared" si="30"/>
        <v>Valid</v>
      </c>
      <c r="T1000" t="str">
        <f>IF(Table1[[#This Row],[Age]]&lt;25,"18-24",IF(Table1[[#This Row],[Age]]&lt;30,"25-29",IF(Table1[[#This Row],[Age]]&lt;35,"30-34",IF(Table1[[#This Row],[Age]]&lt;40,"35-39",IF(Table1[[#This Row],[Age]]&lt;50,"40-49","50+")))))</f>
        <v>30-34</v>
      </c>
    </row>
    <row r="1001" spans="1:20" x14ac:dyDescent="0.35">
      <c r="A1001">
        <v>2000</v>
      </c>
      <c r="B1001" t="s">
        <v>42</v>
      </c>
      <c r="C1001" t="s">
        <v>26</v>
      </c>
      <c r="D1001" t="s">
        <v>27</v>
      </c>
      <c r="E1001">
        <v>37</v>
      </c>
      <c r="F1001" t="s">
        <v>62</v>
      </c>
      <c r="G1001" t="s">
        <v>55</v>
      </c>
      <c r="H1001" t="s">
        <v>35</v>
      </c>
      <c r="I1001" s="1">
        <v>49242</v>
      </c>
      <c r="J1001" t="s">
        <v>1314</v>
      </c>
      <c r="K1001" t="s">
        <v>30</v>
      </c>
      <c r="L1001">
        <v>21</v>
      </c>
      <c r="M1001">
        <v>2</v>
      </c>
      <c r="N1001" t="s">
        <v>23</v>
      </c>
      <c r="O1001" t="s">
        <v>22</v>
      </c>
      <c r="P1001" t="s">
        <v>1315</v>
      </c>
      <c r="Q1001" s="9" t="str">
        <f t="shared" si="31"/>
        <v>Invalid</v>
      </c>
      <c r="R1001">
        <v>9461715732</v>
      </c>
      <c r="S1001" s="7" t="str">
        <f t="shared" si="30"/>
        <v>Valid</v>
      </c>
      <c r="T1001" t="str">
        <f>IF(Table1[[#This Row],[Age]]&lt;25,"18-24",IF(Table1[[#This Row],[Age]]&lt;30,"25-29",IF(Table1[[#This Row],[Age]]&lt;35,"30-34",IF(Table1[[#This Row],[Age]]&lt;40,"35-39",IF(Table1[[#This Row],[Age]]&lt;50,"40-49","50+")))))</f>
        <v>35-39</v>
      </c>
    </row>
    <row r="1002" spans="1:20" x14ac:dyDescent="0.35">
      <c r="B1002" t="s">
        <v>1321</v>
      </c>
      <c r="P1002" t="s">
        <v>1321</v>
      </c>
    </row>
    <row r="1003" spans="1:20" x14ac:dyDescent="0.35">
      <c r="B1003" t="s">
        <v>1321</v>
      </c>
      <c r="P1003" t="s">
        <v>1321</v>
      </c>
    </row>
    <row r="1004" spans="1:20" x14ac:dyDescent="0.35">
      <c r="B1004" t="s">
        <v>1321</v>
      </c>
      <c r="P1004" t="s">
        <v>1321</v>
      </c>
    </row>
    <row r="1005" spans="1:20" x14ac:dyDescent="0.35">
      <c r="B1005" t="s">
        <v>1321</v>
      </c>
      <c r="P1005" t="s">
        <v>1321</v>
      </c>
    </row>
    <row r="1006" spans="1:20" x14ac:dyDescent="0.35">
      <c r="B1006" t="s">
        <v>1321</v>
      </c>
      <c r="P1006" t="s">
        <v>1321</v>
      </c>
    </row>
    <row r="1007" spans="1:20" x14ac:dyDescent="0.35">
      <c r="B1007" t="s">
        <v>1321</v>
      </c>
      <c r="P1007" t="s">
        <v>1321</v>
      </c>
    </row>
    <row r="1008" spans="1:20" x14ac:dyDescent="0.35">
      <c r="B1008" t="s">
        <v>1321</v>
      </c>
      <c r="P1008" t="s">
        <v>1321</v>
      </c>
    </row>
    <row r="1009" spans="2:16" x14ac:dyDescent="0.35">
      <c r="B1009" t="s">
        <v>1321</v>
      </c>
      <c r="P1009" t="s">
        <v>1321</v>
      </c>
    </row>
    <row r="1010" spans="2:16" x14ac:dyDescent="0.35">
      <c r="B1010" t="s">
        <v>1321</v>
      </c>
      <c r="P1010" t="s">
        <v>1321</v>
      </c>
    </row>
    <row r="1011" spans="2:16" x14ac:dyDescent="0.35">
      <c r="B1011" t="s">
        <v>1321</v>
      </c>
      <c r="P1011" t="s">
        <v>1321</v>
      </c>
    </row>
    <row r="1012" spans="2:16" x14ac:dyDescent="0.35">
      <c r="B1012" t="s">
        <v>1321</v>
      </c>
      <c r="P1012" t="s">
        <v>1321</v>
      </c>
    </row>
    <row r="1013" spans="2:16" x14ac:dyDescent="0.35">
      <c r="B1013" t="s">
        <v>1321</v>
      </c>
      <c r="P1013" t="s">
        <v>1321</v>
      </c>
    </row>
    <row r="1014" spans="2:16" x14ac:dyDescent="0.35">
      <c r="B1014" t="s">
        <v>1321</v>
      </c>
      <c r="P1014" t="s">
        <v>1321</v>
      </c>
    </row>
    <row r="1015" spans="2:16" x14ac:dyDescent="0.35">
      <c r="B1015" t="s">
        <v>1321</v>
      </c>
      <c r="P1015" t="s">
        <v>1321</v>
      </c>
    </row>
    <row r="1016" spans="2:16" x14ac:dyDescent="0.35">
      <c r="B1016" t="s">
        <v>1321</v>
      </c>
      <c r="P1016" t="s">
        <v>1321</v>
      </c>
    </row>
    <row r="1017" spans="2:16" x14ac:dyDescent="0.35">
      <c r="B1017" t="s">
        <v>1321</v>
      </c>
      <c r="C1017" t="s">
        <v>1321</v>
      </c>
      <c r="P1017" t="s">
        <v>1321</v>
      </c>
    </row>
    <row r="1018" spans="2:16" x14ac:dyDescent="0.35">
      <c r="B1018" t="s">
        <v>1321</v>
      </c>
      <c r="C1018" t="s">
        <v>1321</v>
      </c>
      <c r="P1018" t="s">
        <v>1321</v>
      </c>
    </row>
    <row r="1019" spans="2:16" x14ac:dyDescent="0.35">
      <c r="B1019" t="s">
        <v>1321</v>
      </c>
      <c r="C1019" t="s">
        <v>1321</v>
      </c>
      <c r="P1019" t="s">
        <v>1321</v>
      </c>
    </row>
    <row r="1020" spans="2:16" x14ac:dyDescent="0.35">
      <c r="B1020" t="s">
        <v>1321</v>
      </c>
      <c r="C1020" t="s">
        <v>1321</v>
      </c>
      <c r="P1020" t="s">
        <v>1321</v>
      </c>
    </row>
    <row r="1021" spans="2:16" x14ac:dyDescent="0.35">
      <c r="B1021" t="s">
        <v>1321</v>
      </c>
      <c r="C1021" t="s">
        <v>1321</v>
      </c>
      <c r="P1021" t="s">
        <v>1321</v>
      </c>
    </row>
    <row r="1022" spans="2:16" x14ac:dyDescent="0.35">
      <c r="B1022" t="s">
        <v>1321</v>
      </c>
      <c r="C1022" t="s">
        <v>1321</v>
      </c>
      <c r="P1022" t="s">
        <v>1321</v>
      </c>
    </row>
    <row r="1023" spans="2:16" x14ac:dyDescent="0.35">
      <c r="B1023" t="s">
        <v>1321</v>
      </c>
      <c r="C1023" t="s">
        <v>1321</v>
      </c>
      <c r="P1023" t="s">
        <v>1321</v>
      </c>
    </row>
    <row r="1024" spans="2:16" x14ac:dyDescent="0.35">
      <c r="B1024" t="s">
        <v>1321</v>
      </c>
      <c r="C1024" t="s">
        <v>1321</v>
      </c>
      <c r="P1024" t="s">
        <v>1321</v>
      </c>
    </row>
    <row r="1025" spans="2:16" x14ac:dyDescent="0.35">
      <c r="B1025" t="s">
        <v>1321</v>
      </c>
      <c r="C1025" t="s">
        <v>1321</v>
      </c>
      <c r="P1025" t="s">
        <v>1321</v>
      </c>
    </row>
    <row r="1026" spans="2:16" x14ac:dyDescent="0.35">
      <c r="B1026" t="s">
        <v>1321</v>
      </c>
      <c r="C1026" t="s">
        <v>1321</v>
      </c>
      <c r="P1026" t="s">
        <v>1321</v>
      </c>
    </row>
    <row r="1027" spans="2:16" x14ac:dyDescent="0.35">
      <c r="B1027" t="s">
        <v>1321</v>
      </c>
      <c r="C1027" t="s">
        <v>1321</v>
      </c>
      <c r="P1027" t="s">
        <v>1321</v>
      </c>
    </row>
    <row r="1028" spans="2:16" x14ac:dyDescent="0.35">
      <c r="B1028" t="s">
        <v>1321</v>
      </c>
      <c r="C1028" t="s">
        <v>1321</v>
      </c>
      <c r="P1028" t="s">
        <v>1321</v>
      </c>
    </row>
    <row r="1029" spans="2:16" x14ac:dyDescent="0.35">
      <c r="B1029" t="s">
        <v>1321</v>
      </c>
      <c r="C1029" t="s">
        <v>1321</v>
      </c>
      <c r="P1029" t="s">
        <v>1321</v>
      </c>
    </row>
    <row r="1030" spans="2:16" x14ac:dyDescent="0.35">
      <c r="B1030" t="s">
        <v>1321</v>
      </c>
      <c r="C1030" t="s">
        <v>1321</v>
      </c>
      <c r="P1030" t="s">
        <v>1321</v>
      </c>
    </row>
    <row r="1031" spans="2:16" x14ac:dyDescent="0.35">
      <c r="B1031" t="s">
        <v>1321</v>
      </c>
      <c r="C1031" t="s">
        <v>1321</v>
      </c>
      <c r="P1031" t="s">
        <v>1321</v>
      </c>
    </row>
    <row r="1032" spans="2:16" x14ac:dyDescent="0.35">
      <c r="B1032" t="s">
        <v>1321</v>
      </c>
      <c r="C1032" t="s">
        <v>1321</v>
      </c>
      <c r="P1032" t="s">
        <v>1321</v>
      </c>
    </row>
    <row r="1033" spans="2:16" x14ac:dyDescent="0.35">
      <c r="B1033" t="s">
        <v>1321</v>
      </c>
      <c r="C1033" t="s">
        <v>1321</v>
      </c>
      <c r="P1033" t="s">
        <v>1321</v>
      </c>
    </row>
    <row r="1034" spans="2:16" x14ac:dyDescent="0.35">
      <c r="B1034" t="s">
        <v>1321</v>
      </c>
      <c r="C1034" t="s">
        <v>1321</v>
      </c>
      <c r="P1034" t="s">
        <v>1321</v>
      </c>
    </row>
    <row r="1035" spans="2:16" x14ac:dyDescent="0.35">
      <c r="B1035" t="s">
        <v>1321</v>
      </c>
      <c r="C1035" t="s">
        <v>1321</v>
      </c>
      <c r="P1035" t="s">
        <v>1321</v>
      </c>
    </row>
    <row r="1036" spans="2:16" x14ac:dyDescent="0.35">
      <c r="B1036" t="s">
        <v>1321</v>
      </c>
      <c r="C1036" t="s">
        <v>1321</v>
      </c>
      <c r="P1036" t="s">
        <v>1321</v>
      </c>
    </row>
    <row r="1037" spans="2:16" x14ac:dyDescent="0.35">
      <c r="B1037" t="s">
        <v>1321</v>
      </c>
      <c r="C1037" t="s">
        <v>1321</v>
      </c>
      <c r="P1037" t="s">
        <v>1321</v>
      </c>
    </row>
    <row r="1038" spans="2:16" x14ac:dyDescent="0.35">
      <c r="B1038" t="s">
        <v>1321</v>
      </c>
      <c r="C1038" t="s">
        <v>1321</v>
      </c>
      <c r="P1038" t="s">
        <v>1321</v>
      </c>
    </row>
    <row r="1039" spans="2:16" x14ac:dyDescent="0.35">
      <c r="B1039" t="s">
        <v>1321</v>
      </c>
      <c r="C1039" t="s">
        <v>1321</v>
      </c>
      <c r="P1039" t="s">
        <v>1321</v>
      </c>
    </row>
    <row r="1040" spans="2:16" x14ac:dyDescent="0.35">
      <c r="B1040" t="s">
        <v>1321</v>
      </c>
      <c r="C1040" t="s">
        <v>1321</v>
      </c>
      <c r="P1040" t="s">
        <v>1321</v>
      </c>
    </row>
    <row r="1041" spans="2:16" x14ac:dyDescent="0.35">
      <c r="B1041" t="s">
        <v>1321</v>
      </c>
      <c r="C1041" t="s">
        <v>1321</v>
      </c>
      <c r="P1041" t="s">
        <v>1321</v>
      </c>
    </row>
    <row r="1042" spans="2:16" x14ac:dyDescent="0.35">
      <c r="B1042" t="s">
        <v>1321</v>
      </c>
      <c r="C1042" t="s">
        <v>1321</v>
      </c>
      <c r="P1042" t="s">
        <v>1321</v>
      </c>
    </row>
    <row r="1043" spans="2:16" x14ac:dyDescent="0.35">
      <c r="B1043" t="s">
        <v>1321</v>
      </c>
      <c r="C1043" t="s">
        <v>1321</v>
      </c>
      <c r="P1043" t="s">
        <v>1321</v>
      </c>
    </row>
    <row r="1044" spans="2:16" x14ac:dyDescent="0.35">
      <c r="B1044" t="s">
        <v>1321</v>
      </c>
      <c r="C1044" t="s">
        <v>1321</v>
      </c>
      <c r="P1044" t="s">
        <v>1321</v>
      </c>
    </row>
    <row r="1045" spans="2:16" x14ac:dyDescent="0.35">
      <c r="B1045" t="s">
        <v>1321</v>
      </c>
      <c r="C1045" t="s">
        <v>1321</v>
      </c>
      <c r="P1045" t="s">
        <v>1321</v>
      </c>
    </row>
    <row r="1046" spans="2:16" x14ac:dyDescent="0.35">
      <c r="B1046" t="s">
        <v>1321</v>
      </c>
      <c r="C1046" t="s">
        <v>1321</v>
      </c>
      <c r="P1046" t="s">
        <v>1321</v>
      </c>
    </row>
    <row r="1047" spans="2:16" x14ac:dyDescent="0.35">
      <c r="B1047" t="s">
        <v>1321</v>
      </c>
      <c r="C1047" t="s">
        <v>1321</v>
      </c>
      <c r="P1047" t="s">
        <v>1321</v>
      </c>
    </row>
    <row r="1048" spans="2:16" x14ac:dyDescent="0.35">
      <c r="B1048" t="s">
        <v>1321</v>
      </c>
      <c r="C1048" t="s">
        <v>1321</v>
      </c>
      <c r="P1048" t="s">
        <v>1321</v>
      </c>
    </row>
    <row r="1049" spans="2:16" x14ac:dyDescent="0.35">
      <c r="B1049" t="s">
        <v>1321</v>
      </c>
      <c r="C1049" t="s">
        <v>1321</v>
      </c>
      <c r="P1049" t="s">
        <v>1321</v>
      </c>
    </row>
    <row r="1050" spans="2:16" x14ac:dyDescent="0.35">
      <c r="B1050" t="s">
        <v>1321</v>
      </c>
      <c r="C1050" t="s">
        <v>1321</v>
      </c>
      <c r="P1050" t="s">
        <v>1321</v>
      </c>
    </row>
    <row r="1051" spans="2:16" x14ac:dyDescent="0.35">
      <c r="B1051" t="s">
        <v>1321</v>
      </c>
      <c r="C1051" t="s">
        <v>1321</v>
      </c>
      <c r="P1051" t="s">
        <v>1321</v>
      </c>
    </row>
    <row r="1052" spans="2:16" x14ac:dyDescent="0.35">
      <c r="B1052" t="s">
        <v>1321</v>
      </c>
      <c r="C1052" t="s">
        <v>1321</v>
      </c>
      <c r="P1052" t="s">
        <v>1321</v>
      </c>
    </row>
    <row r="1053" spans="2:16" x14ac:dyDescent="0.35">
      <c r="B1053" t="s">
        <v>1321</v>
      </c>
      <c r="C1053" t="s">
        <v>1321</v>
      </c>
      <c r="P1053" t="s">
        <v>1321</v>
      </c>
    </row>
    <row r="1054" spans="2:16" x14ac:dyDescent="0.35">
      <c r="B1054" t="s">
        <v>1321</v>
      </c>
      <c r="C1054" t="s">
        <v>1321</v>
      </c>
      <c r="P1054" t="s">
        <v>1321</v>
      </c>
    </row>
    <row r="1055" spans="2:16" x14ac:dyDescent="0.35">
      <c r="B1055" t="s">
        <v>1321</v>
      </c>
      <c r="C1055" t="s">
        <v>1321</v>
      </c>
      <c r="P1055" t="s">
        <v>1321</v>
      </c>
    </row>
    <row r="1056" spans="2:16" x14ac:dyDescent="0.35">
      <c r="B1056" t="s">
        <v>1321</v>
      </c>
      <c r="C1056" t="s">
        <v>1321</v>
      </c>
      <c r="P1056" t="s">
        <v>1321</v>
      </c>
    </row>
    <row r="1057" spans="2:16" x14ac:dyDescent="0.35">
      <c r="B1057" t="s">
        <v>1321</v>
      </c>
      <c r="C1057" t="s">
        <v>1321</v>
      </c>
      <c r="P1057" t="s">
        <v>1321</v>
      </c>
    </row>
    <row r="1058" spans="2:16" x14ac:dyDescent="0.35">
      <c r="B1058" t="s">
        <v>1321</v>
      </c>
      <c r="C1058" t="s">
        <v>1321</v>
      </c>
      <c r="P1058" t="s">
        <v>1321</v>
      </c>
    </row>
    <row r="1059" spans="2:16" x14ac:dyDescent="0.35">
      <c r="B1059" t="s">
        <v>1321</v>
      </c>
      <c r="C1059" t="s">
        <v>1321</v>
      </c>
      <c r="P1059" t="s">
        <v>1321</v>
      </c>
    </row>
    <row r="1060" spans="2:16" x14ac:dyDescent="0.35">
      <c r="B1060" t="s">
        <v>1321</v>
      </c>
      <c r="C1060" t="s">
        <v>1321</v>
      </c>
      <c r="P1060" t="s">
        <v>1321</v>
      </c>
    </row>
    <row r="1061" spans="2:16" x14ac:dyDescent="0.35">
      <c r="B1061" t="s">
        <v>1321</v>
      </c>
      <c r="C1061" t="s">
        <v>1321</v>
      </c>
      <c r="P1061" t="s">
        <v>1321</v>
      </c>
    </row>
    <row r="1062" spans="2:16" x14ac:dyDescent="0.35">
      <c r="B1062" t="s">
        <v>1321</v>
      </c>
      <c r="C1062" t="s">
        <v>1321</v>
      </c>
      <c r="P1062" t="s">
        <v>1321</v>
      </c>
    </row>
    <row r="1063" spans="2:16" x14ac:dyDescent="0.35">
      <c r="B1063" t="s">
        <v>1321</v>
      </c>
      <c r="C1063" t="s">
        <v>1321</v>
      </c>
      <c r="P1063" t="s">
        <v>1321</v>
      </c>
    </row>
    <row r="1064" spans="2:16" x14ac:dyDescent="0.35">
      <c r="B1064" t="s">
        <v>1321</v>
      </c>
      <c r="C1064" t="s">
        <v>1321</v>
      </c>
      <c r="P1064" t="s">
        <v>1321</v>
      </c>
    </row>
    <row r="1065" spans="2:16" x14ac:dyDescent="0.35">
      <c r="B1065" t="s">
        <v>1321</v>
      </c>
      <c r="C1065" t="s">
        <v>1321</v>
      </c>
      <c r="P1065" t="s">
        <v>1321</v>
      </c>
    </row>
    <row r="1066" spans="2:16" x14ac:dyDescent="0.35">
      <c r="B1066" t="s">
        <v>1321</v>
      </c>
      <c r="C1066" t="s">
        <v>1321</v>
      </c>
      <c r="P1066" t="s">
        <v>1321</v>
      </c>
    </row>
    <row r="1067" spans="2:16" x14ac:dyDescent="0.35">
      <c r="B1067" t="s">
        <v>1321</v>
      </c>
      <c r="C1067" t="s">
        <v>1321</v>
      </c>
      <c r="P1067" t="s">
        <v>1321</v>
      </c>
    </row>
    <row r="1068" spans="2:16" x14ac:dyDescent="0.35">
      <c r="B1068" t="s">
        <v>1321</v>
      </c>
      <c r="C1068" t="s">
        <v>1321</v>
      </c>
      <c r="P1068" t="s">
        <v>1321</v>
      </c>
    </row>
    <row r="1069" spans="2:16" x14ac:dyDescent="0.35">
      <c r="B1069" t="s">
        <v>1321</v>
      </c>
      <c r="C1069" t="s">
        <v>1321</v>
      </c>
      <c r="P1069" t="s">
        <v>1321</v>
      </c>
    </row>
    <row r="1070" spans="2:16" x14ac:dyDescent="0.35">
      <c r="B1070" t="s">
        <v>1321</v>
      </c>
      <c r="C1070" t="s">
        <v>1321</v>
      </c>
      <c r="P1070" t="s">
        <v>1321</v>
      </c>
    </row>
    <row r="1071" spans="2:16" x14ac:dyDescent="0.35">
      <c r="B1071" t="s">
        <v>1321</v>
      </c>
      <c r="C1071" t="s">
        <v>1321</v>
      </c>
      <c r="P1071" t="s">
        <v>1321</v>
      </c>
    </row>
    <row r="1072" spans="2:16" x14ac:dyDescent="0.35">
      <c r="B1072" t="s">
        <v>1321</v>
      </c>
      <c r="C1072" t="s">
        <v>1321</v>
      </c>
      <c r="P1072" t="s">
        <v>1321</v>
      </c>
    </row>
    <row r="1073" spans="2:16" x14ac:dyDescent="0.35">
      <c r="B1073" t="s">
        <v>1321</v>
      </c>
      <c r="C1073" t="s">
        <v>1321</v>
      </c>
      <c r="P1073" t="s">
        <v>1321</v>
      </c>
    </row>
    <row r="1074" spans="2:16" x14ac:dyDescent="0.35">
      <c r="B1074" t="s">
        <v>1321</v>
      </c>
      <c r="C1074" t="s">
        <v>1321</v>
      </c>
      <c r="P1074" t="s">
        <v>1321</v>
      </c>
    </row>
    <row r="1075" spans="2:16" x14ac:dyDescent="0.35">
      <c r="B1075" t="s">
        <v>1321</v>
      </c>
      <c r="C1075" t="s">
        <v>1321</v>
      </c>
      <c r="P1075" t="s">
        <v>1321</v>
      </c>
    </row>
    <row r="1076" spans="2:16" x14ac:dyDescent="0.35">
      <c r="B1076" t="s">
        <v>1321</v>
      </c>
      <c r="C1076" t="s">
        <v>1321</v>
      </c>
      <c r="P1076" t="s">
        <v>1321</v>
      </c>
    </row>
    <row r="1077" spans="2:16" x14ac:dyDescent="0.35">
      <c r="B1077" t="s">
        <v>1321</v>
      </c>
      <c r="C1077" t="s">
        <v>1321</v>
      </c>
      <c r="P1077" t="s">
        <v>1321</v>
      </c>
    </row>
    <row r="1078" spans="2:16" x14ac:dyDescent="0.35">
      <c r="B1078" t="s">
        <v>1321</v>
      </c>
      <c r="C1078" t="s">
        <v>1321</v>
      </c>
      <c r="P1078" t="s">
        <v>1321</v>
      </c>
    </row>
    <row r="1079" spans="2:16" x14ac:dyDescent="0.35">
      <c r="B1079" t="s">
        <v>1321</v>
      </c>
      <c r="C1079" t="s">
        <v>1321</v>
      </c>
      <c r="P1079" t="s">
        <v>1321</v>
      </c>
    </row>
    <row r="1080" spans="2:16" x14ac:dyDescent="0.35">
      <c r="B1080" t="s">
        <v>1321</v>
      </c>
      <c r="C1080" t="s">
        <v>1321</v>
      </c>
      <c r="P1080" t="s">
        <v>1321</v>
      </c>
    </row>
    <row r="1081" spans="2:16" x14ac:dyDescent="0.35">
      <c r="B1081" t="s">
        <v>1321</v>
      </c>
      <c r="C1081" t="s">
        <v>1321</v>
      </c>
      <c r="P1081" t="s">
        <v>1321</v>
      </c>
    </row>
    <row r="1082" spans="2:16" x14ac:dyDescent="0.35">
      <c r="B1082" t="s">
        <v>1321</v>
      </c>
      <c r="C1082" t="s">
        <v>1321</v>
      </c>
      <c r="P1082" t="s">
        <v>1321</v>
      </c>
    </row>
    <row r="1083" spans="2:16" x14ac:dyDescent="0.35">
      <c r="B1083" t="s">
        <v>1321</v>
      </c>
      <c r="C1083" t="s">
        <v>1321</v>
      </c>
      <c r="P1083" t="s">
        <v>1321</v>
      </c>
    </row>
    <row r="1084" spans="2:16" x14ac:dyDescent="0.35">
      <c r="B1084" t="s">
        <v>1321</v>
      </c>
      <c r="C1084" t="s">
        <v>1321</v>
      </c>
      <c r="P1084" t="s">
        <v>1321</v>
      </c>
    </row>
    <row r="1085" spans="2:16" x14ac:dyDescent="0.35">
      <c r="B1085" t="s">
        <v>1321</v>
      </c>
      <c r="C1085" t="s">
        <v>1321</v>
      </c>
      <c r="P1085" t="s">
        <v>1321</v>
      </c>
    </row>
    <row r="1086" spans="2:16" x14ac:dyDescent="0.35">
      <c r="B1086" t="s">
        <v>1321</v>
      </c>
      <c r="C1086" t="s">
        <v>1321</v>
      </c>
      <c r="P1086" t="s">
        <v>1321</v>
      </c>
    </row>
    <row r="1087" spans="2:16" x14ac:dyDescent="0.35">
      <c r="B1087" t="s">
        <v>1321</v>
      </c>
      <c r="C1087" t="s">
        <v>1321</v>
      </c>
      <c r="P1087" t="s">
        <v>1321</v>
      </c>
    </row>
    <row r="1088" spans="2:16" x14ac:dyDescent="0.35">
      <c r="B1088" t="s">
        <v>1321</v>
      </c>
      <c r="C1088" t="s">
        <v>1321</v>
      </c>
      <c r="P1088" t="s">
        <v>1321</v>
      </c>
    </row>
    <row r="1089" spans="2:16" x14ac:dyDescent="0.35">
      <c r="B1089" t="s">
        <v>1321</v>
      </c>
      <c r="C1089" t="s">
        <v>1321</v>
      </c>
      <c r="P1089" t="s">
        <v>1321</v>
      </c>
    </row>
    <row r="1090" spans="2:16" x14ac:dyDescent="0.35">
      <c r="B1090" t="s">
        <v>1321</v>
      </c>
      <c r="C1090" t="s">
        <v>1321</v>
      </c>
      <c r="P1090" t="s">
        <v>1321</v>
      </c>
    </row>
    <row r="1091" spans="2:16" x14ac:dyDescent="0.35">
      <c r="B1091" t="s">
        <v>1321</v>
      </c>
      <c r="C1091" t="s">
        <v>1321</v>
      </c>
      <c r="P1091" t="s">
        <v>1321</v>
      </c>
    </row>
    <row r="1092" spans="2:16" x14ac:dyDescent="0.35">
      <c r="B1092" t="s">
        <v>1321</v>
      </c>
      <c r="C1092" t="s">
        <v>1321</v>
      </c>
      <c r="P1092" t="s">
        <v>1321</v>
      </c>
    </row>
    <row r="1093" spans="2:16" x14ac:dyDescent="0.35">
      <c r="B1093" t="s">
        <v>1321</v>
      </c>
      <c r="C1093" t="s">
        <v>1321</v>
      </c>
      <c r="P1093" t="s">
        <v>1321</v>
      </c>
    </row>
    <row r="1094" spans="2:16" x14ac:dyDescent="0.35">
      <c r="B1094" t="s">
        <v>1321</v>
      </c>
      <c r="C1094" t="s">
        <v>1321</v>
      </c>
      <c r="P1094" t="s">
        <v>1321</v>
      </c>
    </row>
    <row r="1095" spans="2:16" x14ac:dyDescent="0.35">
      <c r="B1095" t="s">
        <v>1321</v>
      </c>
      <c r="C1095" t="s">
        <v>1321</v>
      </c>
      <c r="P1095" t="s">
        <v>1321</v>
      </c>
    </row>
    <row r="1096" spans="2:16" x14ac:dyDescent="0.35">
      <c r="B1096" t="s">
        <v>1321</v>
      </c>
      <c r="C1096" t="s">
        <v>1321</v>
      </c>
      <c r="P1096" t="s">
        <v>1321</v>
      </c>
    </row>
    <row r="1097" spans="2:16" x14ac:dyDescent="0.35">
      <c r="B1097" t="s">
        <v>1321</v>
      </c>
      <c r="C1097" t="s">
        <v>1321</v>
      </c>
      <c r="P1097" t="s">
        <v>1321</v>
      </c>
    </row>
    <row r="1098" spans="2:16" x14ac:dyDescent="0.35">
      <c r="B1098" t="s">
        <v>1321</v>
      </c>
      <c r="C1098" t="s">
        <v>1321</v>
      </c>
      <c r="P1098" t="s">
        <v>1321</v>
      </c>
    </row>
    <row r="1099" spans="2:16" x14ac:dyDescent="0.35">
      <c r="B1099" t="s">
        <v>1321</v>
      </c>
      <c r="C1099" t="s">
        <v>1321</v>
      </c>
      <c r="P1099" t="s">
        <v>1321</v>
      </c>
    </row>
    <row r="1100" spans="2:16" x14ac:dyDescent="0.35">
      <c r="B1100" t="s">
        <v>1321</v>
      </c>
      <c r="C1100" t="s">
        <v>1321</v>
      </c>
      <c r="P1100" t="s">
        <v>1321</v>
      </c>
    </row>
    <row r="1101" spans="2:16" x14ac:dyDescent="0.35">
      <c r="B1101" t="s">
        <v>1321</v>
      </c>
      <c r="C1101" t="s">
        <v>1321</v>
      </c>
      <c r="P1101" t="s">
        <v>1321</v>
      </c>
    </row>
    <row r="1102" spans="2:16" x14ac:dyDescent="0.35">
      <c r="B1102" t="s">
        <v>1321</v>
      </c>
      <c r="C1102" t="s">
        <v>1321</v>
      </c>
      <c r="P1102" t="s">
        <v>1321</v>
      </c>
    </row>
    <row r="1103" spans="2:16" x14ac:dyDescent="0.35">
      <c r="B1103" t="s">
        <v>1321</v>
      </c>
      <c r="C1103" t="s">
        <v>1321</v>
      </c>
      <c r="P1103" t="s">
        <v>1321</v>
      </c>
    </row>
    <row r="1104" spans="2:16" x14ac:dyDescent="0.35">
      <c r="B1104" t="s">
        <v>1321</v>
      </c>
      <c r="C1104" t="s">
        <v>1321</v>
      </c>
      <c r="P1104" t="s">
        <v>1321</v>
      </c>
    </row>
    <row r="1105" spans="2:16" x14ac:dyDescent="0.35">
      <c r="B1105" t="s">
        <v>1321</v>
      </c>
      <c r="C1105" t="s">
        <v>1321</v>
      </c>
      <c r="P1105" t="s">
        <v>1321</v>
      </c>
    </row>
    <row r="1106" spans="2:16" x14ac:dyDescent="0.35">
      <c r="B1106" t="s">
        <v>1321</v>
      </c>
      <c r="C1106" t="s">
        <v>1321</v>
      </c>
      <c r="P1106" t="s">
        <v>1321</v>
      </c>
    </row>
    <row r="1107" spans="2:16" x14ac:dyDescent="0.35">
      <c r="B1107" t="s">
        <v>1321</v>
      </c>
      <c r="C1107" t="s">
        <v>1321</v>
      </c>
      <c r="P1107" t="s">
        <v>1321</v>
      </c>
    </row>
    <row r="1108" spans="2:16" x14ac:dyDescent="0.35">
      <c r="B1108" t="s">
        <v>1321</v>
      </c>
      <c r="C1108" t="s">
        <v>1321</v>
      </c>
      <c r="P1108" t="s">
        <v>1321</v>
      </c>
    </row>
    <row r="1109" spans="2:16" x14ac:dyDescent="0.35">
      <c r="B1109" t="s">
        <v>1321</v>
      </c>
      <c r="C1109" t="s">
        <v>1321</v>
      </c>
      <c r="P1109" t="s">
        <v>1321</v>
      </c>
    </row>
    <row r="1110" spans="2:16" x14ac:dyDescent="0.35">
      <c r="B1110" t="s">
        <v>1321</v>
      </c>
      <c r="C1110" t="s">
        <v>1321</v>
      </c>
      <c r="P1110" t="s">
        <v>1321</v>
      </c>
    </row>
    <row r="1111" spans="2:16" x14ac:dyDescent="0.35">
      <c r="B1111" t="s">
        <v>1321</v>
      </c>
      <c r="C1111" t="s">
        <v>1321</v>
      </c>
      <c r="P1111" t="s">
        <v>1321</v>
      </c>
    </row>
    <row r="1112" spans="2:16" x14ac:dyDescent="0.35">
      <c r="B1112" t="s">
        <v>1321</v>
      </c>
      <c r="C1112" t="s">
        <v>1321</v>
      </c>
      <c r="P1112" t="s">
        <v>1321</v>
      </c>
    </row>
    <row r="1113" spans="2:16" x14ac:dyDescent="0.35">
      <c r="B1113" t="s">
        <v>1321</v>
      </c>
      <c r="C1113" t="s">
        <v>1321</v>
      </c>
      <c r="P1113" t="s">
        <v>1321</v>
      </c>
    </row>
    <row r="1114" spans="2:16" x14ac:dyDescent="0.35">
      <c r="B1114" t="s">
        <v>1321</v>
      </c>
      <c r="C1114" t="s">
        <v>1321</v>
      </c>
      <c r="P1114" t="s">
        <v>1321</v>
      </c>
    </row>
    <row r="1115" spans="2:16" x14ac:dyDescent="0.35">
      <c r="B1115" t="s">
        <v>1321</v>
      </c>
      <c r="C1115" t="s">
        <v>1321</v>
      </c>
      <c r="P1115" t="s">
        <v>1321</v>
      </c>
    </row>
    <row r="1116" spans="2:16" x14ac:dyDescent="0.35">
      <c r="B1116" t="s">
        <v>1321</v>
      </c>
      <c r="C1116" t="s">
        <v>1321</v>
      </c>
      <c r="P1116" t="s">
        <v>1321</v>
      </c>
    </row>
    <row r="1117" spans="2:16" x14ac:dyDescent="0.35">
      <c r="B1117" t="s">
        <v>1321</v>
      </c>
      <c r="C1117" t="s">
        <v>1321</v>
      </c>
      <c r="P1117" t="s">
        <v>1321</v>
      </c>
    </row>
    <row r="1118" spans="2:16" x14ac:dyDescent="0.35">
      <c r="B1118" t="s">
        <v>1321</v>
      </c>
      <c r="C1118" t="s">
        <v>1321</v>
      </c>
      <c r="P1118" t="s">
        <v>1321</v>
      </c>
    </row>
    <row r="1119" spans="2:16" x14ac:dyDescent="0.35">
      <c r="B1119" t="s">
        <v>1321</v>
      </c>
      <c r="C1119" t="s">
        <v>1321</v>
      </c>
      <c r="P1119" t="s">
        <v>1321</v>
      </c>
    </row>
    <row r="1120" spans="2:16" x14ac:dyDescent="0.35">
      <c r="B1120" t="s">
        <v>1321</v>
      </c>
      <c r="C1120" t="s">
        <v>1321</v>
      </c>
      <c r="P1120" t="s">
        <v>1321</v>
      </c>
    </row>
    <row r="1121" spans="2:16" x14ac:dyDescent="0.35">
      <c r="B1121" t="s">
        <v>1321</v>
      </c>
      <c r="C1121" t="s">
        <v>1321</v>
      </c>
      <c r="P1121" t="s">
        <v>1321</v>
      </c>
    </row>
    <row r="1122" spans="2:16" x14ac:dyDescent="0.35">
      <c r="B1122" t="s">
        <v>1321</v>
      </c>
      <c r="C1122" t="s">
        <v>1321</v>
      </c>
      <c r="P1122" t="s">
        <v>1321</v>
      </c>
    </row>
    <row r="1123" spans="2:16" x14ac:dyDescent="0.35">
      <c r="B1123" t="s">
        <v>1321</v>
      </c>
      <c r="C1123" t="s">
        <v>1321</v>
      </c>
      <c r="P1123" t="s">
        <v>1321</v>
      </c>
    </row>
    <row r="1124" spans="2:16" x14ac:dyDescent="0.35">
      <c r="P1124" t="s">
        <v>1321</v>
      </c>
    </row>
    <row r="1125" spans="2:16" x14ac:dyDescent="0.35">
      <c r="P1125" t="s">
        <v>1321</v>
      </c>
    </row>
    <row r="1126" spans="2:16" x14ac:dyDescent="0.35">
      <c r="P1126" t="s">
        <v>1321</v>
      </c>
    </row>
    <row r="1127" spans="2:16" x14ac:dyDescent="0.35">
      <c r="P1127" t="s">
        <v>1321</v>
      </c>
    </row>
    <row r="1128" spans="2:16" x14ac:dyDescent="0.35">
      <c r="P1128" t="s">
        <v>1321</v>
      </c>
    </row>
    <row r="1129" spans="2:16" x14ac:dyDescent="0.35">
      <c r="P1129" t="s">
        <v>1321</v>
      </c>
    </row>
    <row r="1130" spans="2:16" x14ac:dyDescent="0.35">
      <c r="P1130" t="s">
        <v>1321</v>
      </c>
    </row>
    <row r="1131" spans="2:16" x14ac:dyDescent="0.35">
      <c r="P1131" t="s">
        <v>1321</v>
      </c>
    </row>
    <row r="1132" spans="2:16" x14ac:dyDescent="0.35">
      <c r="P1132" t="s">
        <v>1321</v>
      </c>
    </row>
    <row r="1133" spans="2:16" x14ac:dyDescent="0.35">
      <c r="P1133" t="s">
        <v>1321</v>
      </c>
    </row>
    <row r="1134" spans="2:16" x14ac:dyDescent="0.35">
      <c r="P1134" t="s">
        <v>1321</v>
      </c>
    </row>
    <row r="1135" spans="2:16" x14ac:dyDescent="0.35">
      <c r="P1135" t="s">
        <v>1321</v>
      </c>
    </row>
    <row r="1136" spans="2:16" x14ac:dyDescent="0.35">
      <c r="P1136" t="s">
        <v>1321</v>
      </c>
    </row>
    <row r="1137" spans="16:16" x14ac:dyDescent="0.35">
      <c r="P1137" t="s">
        <v>1321</v>
      </c>
    </row>
    <row r="1138" spans="16:16" x14ac:dyDescent="0.35">
      <c r="P1138" t="s">
        <v>1321</v>
      </c>
    </row>
    <row r="1139" spans="16:16" x14ac:dyDescent="0.35">
      <c r="P1139" t="s">
        <v>1321</v>
      </c>
    </row>
    <row r="1140" spans="16:16" x14ac:dyDescent="0.35">
      <c r="P1140" t="s">
        <v>1321</v>
      </c>
    </row>
    <row r="1141" spans="16:16" x14ac:dyDescent="0.35">
      <c r="P1141" t="s">
        <v>1321</v>
      </c>
    </row>
    <row r="1142" spans="16:16" x14ac:dyDescent="0.35">
      <c r="P1142" t="s">
        <v>1321</v>
      </c>
    </row>
    <row r="1143" spans="16:16" x14ac:dyDescent="0.35">
      <c r="P1143" t="s">
        <v>1321</v>
      </c>
    </row>
    <row r="1144" spans="16:16" x14ac:dyDescent="0.35">
      <c r="P1144" t="s">
        <v>1321</v>
      </c>
    </row>
    <row r="1145" spans="16:16" x14ac:dyDescent="0.35">
      <c r="P1145" t="s">
        <v>1321</v>
      </c>
    </row>
    <row r="1146" spans="16:16" x14ac:dyDescent="0.35">
      <c r="P1146" t="s">
        <v>1321</v>
      </c>
    </row>
    <row r="1147" spans="16:16" x14ac:dyDescent="0.35">
      <c r="P1147" t="s">
        <v>1321</v>
      </c>
    </row>
    <row r="1148" spans="16:16" x14ac:dyDescent="0.35">
      <c r="P1148" t="s">
        <v>1321</v>
      </c>
    </row>
    <row r="1149" spans="16:16" x14ac:dyDescent="0.35">
      <c r="P1149" t="s">
        <v>1321</v>
      </c>
    </row>
    <row r="1150" spans="16:16" x14ac:dyDescent="0.35">
      <c r="P1150" t="s">
        <v>1321</v>
      </c>
    </row>
  </sheetData>
  <conditionalFormatting sqref="A1 A1002:A1048576">
    <cfRule type="duplicateValues" dxfId="777" priority="4"/>
  </conditionalFormatting>
  <conditionalFormatting sqref="I1:I1048576">
    <cfRule type="containsText" dxfId="776" priority="2" operator="containsText" text="missing">
      <formula>NOT(ISERROR(SEARCH("missing",I1)))</formula>
    </cfRule>
    <cfRule type="cellIs" dxfId="775" priority="3" operator="lessThan">
      <formula>0</formula>
    </cfRule>
  </conditionalFormatting>
  <conditionalFormatting sqref="L56">
    <cfRule type="duplicateValues" dxfId="774" priority="1"/>
  </conditionalFormatting>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KPIs</vt:lpstr>
      <vt:lpstr>dashboard</vt:lpstr>
      <vt:lpstr>rating</vt:lpstr>
      <vt:lpstr>Gender</vt:lpstr>
      <vt:lpstr>educationn by attrition</vt:lpstr>
      <vt:lpstr>Attrition by jobrole</vt:lpstr>
      <vt:lpstr>Department wise attrition</vt:lpstr>
      <vt:lpstr>Attrition by Age group</vt:lpstr>
      <vt:lpstr>City wise Attrition </vt:lpstr>
      <vt:lpstr>Raw_HR_Data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Tharun patel</cp:lastModifiedBy>
  <dcterms:created xsi:type="dcterms:W3CDTF">2026-07-15T05:31:21Z</dcterms:created>
  <dcterms:modified xsi:type="dcterms:W3CDTF">2026-10-07T09:13:27Z</dcterms:modified>
</cp:coreProperties>
</file>